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4" activeTab="10" autoFilterDateGrouping="1"/>
  </bookViews>
  <sheets>
    <sheet name="Cover" sheetId="1" state="visible" r:id="rId1"/>
    <sheet name="Dashboard" sheetId="2" state="visible" r:id="rId2"/>
    <sheet name="Invoice" sheetId="3" state="visible" r:id="rId3"/>
    <sheet name="Annex" sheetId="4" state="visible" r:id="rId4"/>
    <sheet name="Claims" sheetId="5" state="visible" r:id="rId5"/>
    <sheet name="Trips Ledger" sheetId="6" state="visible" r:id="rId6"/>
    <sheet name="Deals" sheetId="7" state="visible" r:id="rId7"/>
    <sheet name="Assumptions" sheetId="8" state="visible" r:id="rId8"/>
    <sheet name="Company" sheetId="9" state="visible" r:id="rId9"/>
    <sheet name="AuditLog" sheetId="10" state="visible" r:id="rId10"/>
    <sheet name="Macros" sheetId="11" state="visible" r:id="rId11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VAT_RATE">Company!$C$26</definedName>
    <definedName name="_xlnm.Print_Area" localSheetId="2">'Invoice'!$B$1:$I$50</definedName>
    <definedName name="_xlnm.Print_Titles" localSheetId="3">'Annex'!$5:$11</definedName>
    <definedName name="_xlnm.Print_Area" localSheetId="3">'Annex'!$B$1:$K$62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#,##0;[Red]\-#,##0;&quot;-&quot;"/>
    <numFmt numFmtId="165" formatCode="dd\-mmm\-yyyy"/>
    <numFmt numFmtId="166" formatCode="_-[$$-409]* #,##0_-;[Red]\-[$$-409]* #,##0_-;_-[$$-409]* &quot;-&quot;??_-;_-@_-"/>
    <numFmt numFmtId="167" formatCode="#,##0.00;&quot;-&quot;"/>
    <numFmt numFmtId="168" formatCode="0.0000"/>
    <numFmt numFmtId="169" formatCode="0.0%"/>
    <numFmt numFmtId="170" formatCode="#,##0&quot; d&quot;"/>
    <numFmt numFmtId="171" formatCode="[$$-409]#,##0.00"/>
    <numFmt numFmtId="172" formatCode="[$$-409]#,##0"/>
  </numFmts>
  <fonts count="63">
    <font>
      <name val="Calibri"/>
      <family val="2"/>
      <color theme="1"/>
      <sz val="11"/>
      <scheme val="minor"/>
    </font>
    <font>
      <name val="Calibri"/>
      <b val="1"/>
      <color rgb="FFFFFFFF"/>
      <sz val="32"/>
    </font>
    <font>
      <name val="Calibri"/>
      <b val="1"/>
      <color rgb="FFF5A623"/>
      <sz val="12"/>
    </font>
    <font>
      <name val="Calibri"/>
      <b val="1"/>
      <color rgb="FF1F3D8E"/>
      <sz val="12"/>
    </font>
    <font>
      <name val="Calibri"/>
      <b val="1"/>
      <color rgb="FFFFFFFF"/>
      <sz val="18"/>
    </font>
    <font>
      <name val="Calibri"/>
      <color rgb="FF111827"/>
      <sz val="12"/>
    </font>
    <font>
      <name val="Calibri"/>
      <b val="1"/>
      <color rgb="FFFFFFFF"/>
      <sz val="9"/>
    </font>
    <font>
      <name val="Calibri"/>
      <b val="1"/>
      <color rgb="FF1F3D8E"/>
      <sz val="18"/>
    </font>
    <font>
      <name val="Calibri"/>
      <i val="1"/>
      <color rgb="FF6B7280"/>
      <sz val="9"/>
    </font>
    <font>
      <name val="Calibri"/>
      <b val="1"/>
      <color rgb="FF1F3D8E"/>
      <sz val="20"/>
    </font>
    <font>
      <name val="Calibri"/>
      <i val="1"/>
      <color rgb="FF6B7280"/>
      <sz val="10"/>
    </font>
    <font>
      <name val="Calibri"/>
      <b val="1"/>
      <color rgb="FFFFFFFF"/>
      <sz val="11"/>
    </font>
    <font>
      <name val="Calibri"/>
      <color rgb="FF111827"/>
      <sz val="11"/>
    </font>
    <font>
      <name val="Calibri"/>
      <b val="1"/>
      <color rgb="FF1F3D8E"/>
      <sz val="11"/>
    </font>
    <font>
      <name val="Calibri"/>
      <b val="1"/>
      <color rgb="FFFFFFFF"/>
      <sz val="10"/>
    </font>
    <font>
      <name val="Calibri"/>
      <color rgb="FF111827"/>
      <sz val="10"/>
    </font>
    <font>
      <name val="Calibri"/>
      <b val="1"/>
      <color rgb="FF6B7280"/>
      <sz val="9"/>
    </font>
    <font>
      <name val="Calibri"/>
      <color rgb="FF6B7280"/>
      <sz val="9"/>
    </font>
    <font>
      <name val="Calibri"/>
      <b val="1"/>
      <color rgb="FF1F3D8E"/>
      <sz val="14"/>
    </font>
    <font>
      <name val="Calibri"/>
      <b val="1"/>
      <color rgb="FF111827"/>
      <sz val="11"/>
    </font>
    <font>
      <name val="Calibri"/>
      <b val="1"/>
      <color rgb="FF1F3D8E"/>
      <sz val="10"/>
    </font>
    <font>
      <name val="Calibri"/>
      <b val="1"/>
      <color rgb="FFFFFFFF"/>
      <sz val="12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9CA3AF"/>
      <sz val="9"/>
      <scheme val="minor"/>
    </font>
    <font>
      <name val="Calibri"/>
      <family val="2"/>
      <b val="1"/>
      <color rgb="FF1F3D8E"/>
      <sz val="11"/>
      <u val="single"/>
      <scheme val="minor"/>
    </font>
    <font>
      <name val="Calibri"/>
      <family val="2"/>
      <b val="1"/>
      <color rgb="FF1F3D8E"/>
      <sz val="11"/>
      <scheme val="minor"/>
    </font>
    <font>
      <name val="Calibri"/>
      <family val="2"/>
      <b val="1"/>
      <color rgb="FF1F3D8E"/>
      <sz val="18"/>
      <scheme val="minor"/>
    </font>
    <font>
      <name val="Calibri"/>
      <family val="2"/>
      <color rgb="FF6B7280"/>
      <sz val="11"/>
      <scheme val="minor"/>
    </font>
    <font>
      <name val="Calibri"/>
      <family val="2"/>
      <b val="1"/>
      <color rgb="FF6B7280"/>
      <sz val="9"/>
      <scheme val="minor"/>
    </font>
    <font>
      <name val="Calibri"/>
      <family val="2"/>
      <color rgb="FF111827"/>
      <sz val="11"/>
      <scheme val="minor"/>
    </font>
    <font>
      <name val="Calibri"/>
      <family val="2"/>
      <b val="1"/>
      <color rgb="FF111827"/>
      <sz val="11"/>
      <scheme val="minor"/>
    </font>
    <font>
      <name val="Calibri"/>
      <family val="2"/>
      <b val="1"/>
      <color rgb="FFFFFFFF"/>
      <sz val="10"/>
      <scheme val="minor"/>
    </font>
    <font>
      <name val="Calibri"/>
      <family val="2"/>
      <color rgb="FF6C757D"/>
      <sz val="10"/>
      <scheme val="minor"/>
    </font>
    <font>
      <name val="Calibri"/>
      <family val="2"/>
      <i val="1"/>
      <color rgb="FF6C757D"/>
      <sz val="10"/>
      <scheme val="minor"/>
    </font>
    <font>
      <name val="Calibri"/>
      <family val="2"/>
      <color rgb="FF6C757D"/>
      <sz val="9"/>
      <scheme val="minor"/>
    </font>
    <font>
      <name val="Calibri"/>
      <family val="2"/>
      <b val="1"/>
      <color rgb="FF6C757D"/>
      <sz val="9"/>
      <scheme val="minor"/>
    </font>
    <font>
      <name val="Calibri"/>
      <family val="2"/>
      <color rgb="FF495057"/>
      <sz val="11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rgb="FFFFFFFF"/>
      <sz val="20"/>
      <scheme val="minor"/>
    </font>
    <font>
      <name val="Calibri"/>
      <family val="2"/>
      <color rgb="FF1F3D8E"/>
      <sz val="10"/>
      <scheme val="minor"/>
    </font>
    <font>
      <name val="Calibri"/>
      <family val="2"/>
      <b val="1"/>
      <color rgb="FF1F3D8E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rgb="FFFFA500"/>
      <sz val="10"/>
      <scheme val="minor"/>
    </font>
    <font>
      <name val="Calibri"/>
      <family val="2"/>
      <i val="1"/>
      <color rgb="FF9CA3AF"/>
      <sz val="10"/>
      <scheme val="minor"/>
    </font>
    <font>
      <name val="Calibri"/>
      <family val="2"/>
      <i val="1"/>
      <color rgb="FF6C757D"/>
      <sz val="9"/>
      <scheme val="minor"/>
    </font>
    <font>
      <name val="Calibri"/>
      <b val="1"/>
      <i val="1"/>
      <color rgb="FF6C757D"/>
      <sz val="9"/>
    </font>
    <font>
      <name val="Calibri"/>
      <family val="2"/>
      <b val="1"/>
      <color rgb="FF1F3D8E"/>
      <sz val="9"/>
      <scheme val="minor"/>
    </font>
    <font>
      <name val="Calibri"/>
      <family val="2"/>
      <b val="1"/>
      <i val="1"/>
      <color rgb="FF1F3D8E"/>
      <sz val="9"/>
      <scheme val="minor"/>
    </font>
    <font>
      <name val="Calibri"/>
      <b val="1"/>
      <i val="1"/>
      <color rgb="FFFFFFFF"/>
      <sz val="10"/>
    </font>
    <font>
      <name val="Calibri"/>
      <family val="2"/>
      <b val="1"/>
      <color rgb="FF1F3D8E"/>
      <sz val="10"/>
      <u val="single"/>
      <scheme val="minor"/>
    </font>
    <font>
      <name val="Calibri"/>
      <family val="2"/>
      <b val="1"/>
      <color rgb="FF1F3D8E"/>
      <sz val="16"/>
      <scheme val="minor"/>
    </font>
    <font>
      <name val="Calibri"/>
      <family val="2"/>
      <i val="1"/>
      <color rgb="FF6C757D"/>
      <sz val="11"/>
      <scheme val="minor"/>
    </font>
    <font>
      <name val="Calibri"/>
      <family val="2"/>
      <b val="1"/>
      <color rgb="FFFFFFFF"/>
      <sz val="11"/>
      <scheme val="minor"/>
    </font>
    <font>
      <name val="Consolas"/>
      <color theme="1"/>
      <sz val="9"/>
    </font>
    <font>
      <name val="Consolas"/>
      <b val="1"/>
      <color rgb="FFFFFFFF"/>
      <sz val="9"/>
    </font>
    <font>
      <name val="Calibri"/>
      <family val="2"/>
      <b val="1"/>
      <i val="1"/>
      <color rgb="FF1F3D8E"/>
      <sz val="10"/>
      <scheme val="minor"/>
    </font>
    <font>
      <i val="1"/>
      <color rgb="006B7280"/>
      <sz val="10"/>
    </font>
    <font>
      <b val="1"/>
      <color rgb="001F4E79"/>
    </font>
    <font>
      <color rgb="001F4E79"/>
      <u val="single"/>
    </font>
    <font>
      <b val="1"/>
      <sz val="14"/>
    </font>
    <font>
      <b val="1"/>
      <color rgb="001F4E79"/>
      <sz val="12"/>
    </font>
  </fonts>
  <fills count="11">
    <fill>
      <patternFill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24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  <border>
      <left/>
      <right/>
      <top style="thin">
        <color rgb="FFF5A623"/>
      </top>
      <bottom/>
      <diagonal/>
    </border>
    <border>
      <left/>
      <right style="thin">
        <color rgb="FFF5A623"/>
      </right>
      <top style="thin">
        <color rgb="FFF5A623"/>
      </top>
      <bottom/>
      <diagonal/>
    </border>
    <border>
      <left style="thin">
        <color rgb="FFF5A623"/>
      </left>
      <right/>
      <top/>
      <bottom/>
      <diagonal/>
    </border>
    <border>
      <left/>
      <right style="thin">
        <color rgb="FFF5A623"/>
      </right>
      <top/>
      <bottom/>
      <diagonal/>
    </border>
    <border>
      <left style="thin">
        <color rgb="FFF5A623"/>
      </left>
      <right/>
      <top/>
      <bottom style="thin">
        <color rgb="FFF5A623"/>
      </bottom>
      <diagonal/>
    </border>
    <border>
      <left/>
      <right style="thin">
        <color rgb="FFF5A623"/>
      </right>
      <top/>
      <bottom style="thin">
        <color rgb="FFF5A623"/>
      </bottom>
      <diagonal/>
    </border>
    <border>
      <left/>
      <right style="medium">
        <color rgb="FFF5A623"/>
      </right>
      <top style="medium">
        <color rgb="FFF5A623"/>
      </top>
      <bottom/>
      <diagonal/>
    </border>
    <border>
      <left/>
      <right style="medium">
        <color rgb="FFF5A623"/>
      </right>
      <top style="medium">
        <color rgb="FFF5A623"/>
      </top>
      <bottom style="medium">
        <color rgb="FFF5A623"/>
      </bottom>
      <diagonal/>
    </border>
  </borders>
  <cellStyleXfs count="2">
    <xf numFmtId="0" fontId="0" fillId="0" borderId="0"/>
    <xf numFmtId="0" fontId="23" fillId="0" borderId="0"/>
  </cellStyleXfs>
  <cellXfs count="207">
    <xf numFmtId="0" fontId="0" fillId="0" borderId="0" pivotButton="0" quotePrefix="0" xfId="0"/>
    <xf numFmtId="0" fontId="0" fillId="2" borderId="0" pivotButton="0" quotePrefix="0" xfId="0"/>
    <xf numFmtId="0" fontId="0" fillId="3" borderId="0" pivotButton="0" quotePrefix="0" xfId="0"/>
    <xf numFmtId="0" fontId="3" fillId="0" borderId="0" pivotButton="0" quotePrefix="0" xfId="0"/>
    <xf numFmtId="0" fontId="4" fillId="3" borderId="1" applyAlignment="1" pivotButton="0" quotePrefix="0" xfId="0">
      <alignment horizontal="center" vertical="center"/>
    </xf>
    <xf numFmtId="0" fontId="0" fillId="0" borderId="4" pivotButton="0" quotePrefix="0" xfId="0"/>
    <xf numFmtId="0" fontId="15" fillId="0" borderId="11" applyAlignment="1" pivotButton="0" quotePrefix="0" xfId="0">
      <alignment horizontal="left" vertical="center" indent="1"/>
    </xf>
    <xf numFmtId="164" fontId="15" fillId="0" borderId="11" applyAlignment="1" pivotButton="0" quotePrefix="0" xfId="0">
      <alignment horizontal="right" vertical="center"/>
    </xf>
    <xf numFmtId="0" fontId="15" fillId="4" borderId="11" applyAlignment="1" pivotButton="0" quotePrefix="0" xfId="0">
      <alignment horizontal="left" vertical="center" indent="1"/>
    </xf>
    <xf numFmtId="164" fontId="15" fillId="4" borderId="11" applyAlignment="1" pivotButton="0" quotePrefix="0" xfId="0">
      <alignment horizontal="right" vertical="center"/>
    </xf>
    <xf numFmtId="0" fontId="14" fillId="2" borderId="4" applyAlignment="1" pivotButton="0" quotePrefix="0" xfId="0">
      <alignment horizontal="left" vertical="center" indent="1"/>
    </xf>
    <xf numFmtId="0" fontId="0" fillId="0" borderId="5" pivotButton="0" quotePrefix="0" xfId="0"/>
    <xf numFmtId="0" fontId="16" fillId="0" borderId="0" pivotButton="0" quotePrefix="0" xfId="0"/>
    <xf numFmtId="0" fontId="16" fillId="0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left" vertical="center"/>
    </xf>
    <xf numFmtId="0" fontId="14" fillId="2" borderId="1" applyAlignment="1" pivotButton="0" quotePrefix="0" xfId="0">
      <alignment horizontal="center" vertical="center" wrapText="1"/>
    </xf>
    <xf numFmtId="0" fontId="15" fillId="0" borderId="1" applyAlignment="1" pivotButton="0" quotePrefix="0" xfId="0">
      <alignment horizontal="center" vertical="center"/>
    </xf>
    <xf numFmtId="165" fontId="15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left" vertical="center" wrapText="1" indent="1"/>
    </xf>
    <xf numFmtId="164" fontId="15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left" vertical="center" indent="1"/>
    </xf>
    <xf numFmtId="0" fontId="15" fillId="4" borderId="1" applyAlignment="1" pivotButton="0" quotePrefix="0" xfId="0">
      <alignment horizontal="center" vertical="center"/>
    </xf>
    <xf numFmtId="0" fontId="15" fillId="4" borderId="1" applyAlignment="1" pivotButton="0" quotePrefix="0" xfId="0">
      <alignment horizontal="left" vertical="center" indent="1"/>
    </xf>
    <xf numFmtId="164" fontId="15" fillId="4" borderId="1" applyAlignment="1" pivotButton="0" quotePrefix="0" xfId="0">
      <alignment horizontal="center" vertical="center"/>
    </xf>
    <xf numFmtId="166" fontId="15" fillId="4" borderId="1" applyAlignment="1" pivotButton="0" quotePrefix="0" xfId="0">
      <alignment horizontal="center" vertical="center"/>
    </xf>
    <xf numFmtId="167" fontId="15" fillId="4" borderId="1" applyAlignment="1" pivotButton="0" quotePrefix="0" xfId="0">
      <alignment horizontal="center" vertical="center"/>
    </xf>
    <xf numFmtId="166" fontId="15" fillId="0" borderId="1" applyAlignment="1" pivotButton="0" quotePrefix="0" xfId="0">
      <alignment horizontal="center" vertical="center"/>
    </xf>
    <xf numFmtId="167" fontId="15" fillId="0" borderId="1" applyAlignment="1" pivotButton="0" quotePrefix="0" xfId="0">
      <alignment horizontal="center" vertical="center"/>
    </xf>
    <xf numFmtId="0" fontId="12" fillId="0" borderId="2" applyAlignment="1" pivotButton="0" quotePrefix="0" xfId="0">
      <alignment horizontal="left" vertical="center" indent="1"/>
    </xf>
    <xf numFmtId="0" fontId="13" fillId="5" borderId="1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 indent="1"/>
    </xf>
    <xf numFmtId="168" fontId="13" fillId="5" borderId="1" applyAlignment="1" pivotButton="0" quotePrefix="0" xfId="0">
      <alignment horizontal="center" vertical="center"/>
    </xf>
    <xf numFmtId="165" fontId="13" fillId="5" borderId="1" applyAlignment="1" pivotButton="0" quotePrefix="0" xfId="0">
      <alignment horizontal="center" vertical="center"/>
    </xf>
    <xf numFmtId="0" fontId="13" fillId="5" borderId="1" applyAlignment="1" pivotButton="0" quotePrefix="0" xfId="0">
      <alignment horizontal="left" vertical="center" indent="1"/>
    </xf>
    <xf numFmtId="0" fontId="13" fillId="5" borderId="1" applyAlignment="1" pivotButton="0" quotePrefix="0" xfId="0">
      <alignment horizontal="left" vertical="center" wrapText="1" indent="1"/>
    </xf>
    <xf numFmtId="164" fontId="13" fillId="5" borderId="1" applyAlignment="1" pivotButton="0" quotePrefix="0" xfId="0">
      <alignment horizontal="left" vertical="center" indent="1"/>
    </xf>
    <xf numFmtId="169" fontId="13" fillId="5" borderId="1" applyAlignment="1" pivotButton="0" quotePrefix="0" xfId="0">
      <alignment horizontal="left" vertical="center" indent="1"/>
    </xf>
    <xf numFmtId="0" fontId="10" fillId="0" borderId="0" pivotButton="0" quotePrefix="0" xfId="0"/>
    <xf numFmtId="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0" fontId="5" fillId="0" borderId="2" applyAlignment="1" pivotButton="0" quotePrefix="0" xfId="0">
      <alignment horizontal="left" vertical="center" indent="1"/>
    </xf>
    <xf numFmtId="0" fontId="1" fillId="2" borderId="0" applyAlignment="1" pivotButton="0" quotePrefix="0" xfId="0">
      <alignment horizontal="left" vertical="center"/>
    </xf>
    <xf numFmtId="0" fontId="6" fillId="2" borderId="3" applyAlignment="1" pivotButton="0" quotePrefix="0" xfId="0">
      <alignment horizontal="center" vertical="center"/>
    </xf>
    <xf numFmtId="0" fontId="0" fillId="0" borderId="3" pivotButton="0" quotePrefix="0" xfId="0"/>
    <xf numFmtId="0" fontId="2" fillId="2" borderId="0" applyAlignment="1" pivotButton="0" quotePrefix="0" xfId="0">
      <alignment horizontal="left" vertical="center"/>
    </xf>
    <xf numFmtId="0" fontId="21" fillId="2" borderId="0" applyAlignment="1" pivotButton="0" quotePrefix="0" xfId="0">
      <alignment horizontal="left" vertical="center" indent="1"/>
    </xf>
    <xf numFmtId="0" fontId="14" fillId="2" borderId="3" applyAlignment="1" pivotButton="0" quotePrefix="0" xfId="0">
      <alignment horizontal="center" vertical="center"/>
    </xf>
    <xf numFmtId="164" fontId="9" fillId="6" borderId="3" applyAlignment="1" pivotButton="0" quotePrefix="0" xfId="0">
      <alignment horizontal="center" vertical="center"/>
    </xf>
    <xf numFmtId="0" fontId="6" fillId="2" borderId="3" applyAlignment="1" pivotButton="0" quotePrefix="0" xfId="0">
      <alignment horizontal="left" vertical="center" indent="1"/>
    </xf>
    <xf numFmtId="0" fontId="16" fillId="0" borderId="0" applyAlignment="1" pivotButton="0" quotePrefix="0" xfId="0">
      <alignment horizontal="left" vertical="center"/>
    </xf>
    <xf numFmtId="0" fontId="15" fillId="0" borderId="0" applyAlignment="1" pivotButton="0" quotePrefix="0" xfId="0">
      <alignment horizontal="left" vertical="center" wrapText="1"/>
    </xf>
    <xf numFmtId="0" fontId="17" fillId="0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left" vertical="center"/>
    </xf>
    <xf numFmtId="0" fontId="18" fillId="5" borderId="6" applyAlignment="1" pivotButton="0" quotePrefix="0" xfId="0">
      <alignment horizontal="center" vertical="center"/>
    </xf>
    <xf numFmtId="0" fontId="0" fillId="0" borderId="6" pivotButton="0" quotePrefix="0" xfId="0"/>
    <xf numFmtId="0" fontId="19" fillId="5" borderId="7" applyAlignment="1" pivotButton="0" quotePrefix="0" xfId="0">
      <alignment horizontal="left" vertical="center" indent="1"/>
    </xf>
    <xf numFmtId="0" fontId="0" fillId="5" borderId="8" pivotButton="0" quotePrefix="0" xfId="0"/>
    <xf numFmtId="0" fontId="0" fillId="5" borderId="9" pivotButton="0" quotePrefix="0" xfId="0"/>
    <xf numFmtId="0" fontId="10" fillId="0" borderId="0" applyAlignment="1" pivotButton="0" quotePrefix="0" xfId="0">
      <alignment horizontal="right" vertical="center"/>
    </xf>
    <xf numFmtId="0" fontId="3" fillId="4" borderId="3" applyAlignment="1" pivotButton="0" quotePrefix="0" xfId="0">
      <alignment horizontal="left" vertical="center" indent="1"/>
    </xf>
    <xf numFmtId="165" fontId="3" fillId="4" borderId="3" applyAlignment="1" pivotButton="0" quotePrefix="0" xfId="0">
      <alignment horizontal="left" vertical="center" indent="1"/>
    </xf>
    <xf numFmtId="0" fontId="11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/>
    </xf>
    <xf numFmtId="0" fontId="20" fillId="7" borderId="10" applyAlignment="1" pivotButton="0" quotePrefix="0" xfId="0">
      <alignment horizontal="left" vertical="center" indent="1"/>
    </xf>
    <xf numFmtId="0" fontId="20" fillId="7" borderId="10" applyAlignment="1" pivotButton="0" quotePrefix="0" xfId="0">
      <alignment horizontal="center" vertical="center"/>
    </xf>
    <xf numFmtId="164" fontId="15" fillId="0" borderId="11" applyAlignment="1" pivotButton="0" quotePrefix="0" xfId="0">
      <alignment horizontal="center" vertical="center"/>
    </xf>
    <xf numFmtId="0" fontId="20" fillId="7" borderId="10" applyAlignment="1" pivotButton="0" quotePrefix="0" xfId="0">
      <alignment horizontal="left" vertical="center"/>
    </xf>
    <xf numFmtId="0" fontId="24" fillId="0" borderId="0" pivotButton="0" quotePrefix="0" xfId="0"/>
    <xf numFmtId="0" fontId="20" fillId="7" borderId="10" applyAlignment="1" pivotButton="0" quotePrefix="0" xfId="0">
      <alignment horizontal="right" vertical="center"/>
    </xf>
    <xf numFmtId="164" fontId="15" fillId="4" borderId="11" applyAlignment="1" pivotButton="0" quotePrefix="0" xfId="0">
      <alignment horizontal="center" vertical="center"/>
    </xf>
    <xf numFmtId="164" fontId="14" fillId="2" borderId="4" applyAlignment="1" pivotButton="0" quotePrefix="0" xfId="0">
      <alignment horizontal="center" vertical="center"/>
    </xf>
    <xf numFmtId="0" fontId="22" fillId="7" borderId="0" pivotButton="0" quotePrefix="0" xfId="0"/>
    <xf numFmtId="0" fontId="25" fillId="0" borderId="0" pivotButton="0" quotePrefix="0" xfId="1"/>
    <xf numFmtId="0" fontId="26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32" fillId="8" borderId="0" pivotButton="0" quotePrefix="0" xfId="0"/>
    <xf numFmtId="0" fontId="32" fillId="8" borderId="0" applyAlignment="1" pivotButton="0" quotePrefix="0" xfId="0">
      <alignment horizontal="center"/>
    </xf>
    <xf numFmtId="0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0" xfId="0">
      <alignment horizontal="right"/>
    </xf>
    <xf numFmtId="0" fontId="32" fillId="8" borderId="12" applyAlignment="1" pivotButton="0" quotePrefix="0" xfId="0">
      <alignment horizontal="center"/>
    </xf>
    <xf numFmtId="0" fontId="32" fillId="8" borderId="12" pivotButton="0" quotePrefix="0" xfId="0"/>
    <xf numFmtId="0" fontId="32" fillId="8" borderId="12" applyAlignment="1" pivotButton="0" quotePrefix="0" xfId="0">
      <alignment horizontal="right"/>
    </xf>
    <xf numFmtId="0" fontId="26" fillId="7" borderId="13" pivotButton="0" quotePrefix="0" xfId="0"/>
    <xf numFmtId="0" fontId="0" fillId="7" borderId="13" pivotButton="0" quotePrefix="0" xfId="0"/>
    <xf numFmtId="1" fontId="22" fillId="7" borderId="13" applyAlignment="1" pivotButton="0" quotePrefix="0" xfId="0">
      <alignment horizontal="right"/>
    </xf>
    <xf numFmtId="0" fontId="26" fillId="9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36" fillId="0" borderId="0" pivotButton="0" quotePrefix="0" xfId="0"/>
    <xf numFmtId="3" fontId="27" fillId="0" borderId="0" pivotButton="0" quotePrefix="0" xfId="0"/>
    <xf numFmtId="170" fontId="27" fillId="0" borderId="0" pivotButton="0" quotePrefix="0" xfId="0"/>
    <xf numFmtId="0" fontId="37" fillId="0" borderId="0" applyAlignment="1" pivotButton="0" quotePrefix="0" xfId="0">
      <alignment horizontal="right"/>
    </xf>
    <xf numFmtId="0" fontId="38" fillId="8" borderId="0" applyAlignment="1" pivotButton="0" quotePrefix="0" xfId="0">
      <alignment horizontal="right"/>
    </xf>
    <xf numFmtId="0" fontId="37" fillId="0" borderId="14" applyAlignment="1" pivotButton="0" quotePrefix="0" xfId="0">
      <alignment horizontal="right"/>
    </xf>
    <xf numFmtId="0" fontId="41" fillId="0" borderId="0" pivotButton="0" quotePrefix="0" xfId="0"/>
    <xf numFmtId="0" fontId="42" fillId="0" borderId="0" pivotButton="0" quotePrefix="0" xfId="0"/>
    <xf numFmtId="0" fontId="43" fillId="0" borderId="0" pivotButton="0" quotePrefix="0" xfId="0"/>
    <xf numFmtId="49" fontId="15" fillId="0" borderId="11" applyAlignment="1" pivotButton="0" quotePrefix="0" xfId="0">
      <alignment horizontal="left" vertical="center" indent="1"/>
    </xf>
    <xf numFmtId="49" fontId="15" fillId="4" borderId="11" applyAlignment="1" pivotButton="0" quotePrefix="0" xfId="0">
      <alignment horizontal="left" vertical="center" indent="1"/>
    </xf>
    <xf numFmtId="0" fontId="14" fillId="0" borderId="4" applyAlignment="1" pivotButton="0" quotePrefix="0" xfId="0">
      <alignment horizontal="left" vertical="center" indent="1"/>
    </xf>
    <xf numFmtId="164" fontId="14" fillId="0" borderId="4" applyAlignment="1" pivotButton="0" quotePrefix="0" xfId="0">
      <alignment horizontal="right" vertical="center"/>
    </xf>
    <xf numFmtId="0" fontId="0" fillId="0" borderId="0" pivotButton="0" quotePrefix="0" xfId="0"/>
    <xf numFmtId="171" fontId="22" fillId="0" borderId="14" applyAlignment="1" pivotButton="0" quotePrefix="0" xfId="0">
      <alignment horizontal="right"/>
    </xf>
    <xf numFmtId="171" fontId="22" fillId="0" borderId="0" applyAlignment="1" pivotButton="0" quotePrefix="0" xfId="0">
      <alignment horizontal="right"/>
    </xf>
    <xf numFmtId="171" fontId="39" fillId="8" borderId="0" applyAlignment="1" pivotButton="0" quotePrefix="0" xfId="0">
      <alignment horizontal="right"/>
    </xf>
    <xf numFmtId="172" fontId="27" fillId="0" borderId="0" pivotButton="0" quotePrefix="0" xfId="0"/>
    <xf numFmtId="172" fontId="0" fillId="0" borderId="0" pivotButton="0" quotePrefix="0" xfId="0"/>
    <xf numFmtId="172" fontId="22" fillId="7" borderId="13" pivotButton="0" quotePrefix="0" xfId="0"/>
    <xf numFmtId="172" fontId="7" fillId="4" borderId="3" applyAlignment="1" pivotButton="0" quotePrefix="0" xfId="0">
      <alignment horizontal="center" vertical="center"/>
    </xf>
    <xf numFmtId="172" fontId="0" fillId="0" borderId="3" pivotButton="0" quotePrefix="0" xfId="0"/>
    <xf numFmtId="172" fontId="9" fillId="6" borderId="3" applyAlignment="1" pivotButton="0" quotePrefix="0" xfId="0">
      <alignment horizontal="center" vertical="center"/>
    </xf>
    <xf numFmtId="172" fontId="15" fillId="0" borderId="11" applyAlignment="1" pivotButton="0" quotePrefix="0" xfId="0">
      <alignment horizontal="right" vertical="center"/>
    </xf>
    <xf numFmtId="172" fontId="15" fillId="4" borderId="11" applyAlignment="1" pivotButton="0" quotePrefix="0" xfId="0">
      <alignment horizontal="right" vertical="center"/>
    </xf>
    <xf numFmtId="172" fontId="14" fillId="0" borderId="4" applyAlignment="1" pivotButton="0" quotePrefix="0" xfId="0">
      <alignment horizontal="right" vertical="center"/>
    </xf>
    <xf numFmtId="172" fontId="0" fillId="0" borderId="0" pivotButton="0" quotePrefix="0" xfId="0"/>
    <xf numFmtId="172" fontId="14" fillId="2" borderId="4" applyAlignment="1" pivotButton="0" quotePrefix="0" xfId="0">
      <alignment horizontal="right" vertical="center"/>
    </xf>
    <xf numFmtId="172" fontId="15" fillId="0" borderId="1" applyAlignment="1" pivotButton="0" quotePrefix="0" xfId="0">
      <alignment horizontal="right" vertical="center"/>
    </xf>
    <xf numFmtId="172" fontId="22" fillId="7" borderId="0" pivotButton="0" quotePrefix="0" xfId="0"/>
    <xf numFmtId="172" fontId="0" fillId="0" borderId="0" pivotButton="0" quotePrefix="0" xfId="0"/>
    <xf numFmtId="0" fontId="44" fillId="9" borderId="0" applyAlignment="1" pivotButton="0" quotePrefix="0" xfId="1">
      <alignment horizontal="center"/>
    </xf>
    <xf numFmtId="0" fontId="41" fillId="9" borderId="0" applyAlignment="1" pivotButton="0" quotePrefix="0" xfId="1">
      <alignment horizontal="center"/>
    </xf>
    <xf numFmtId="0" fontId="41" fillId="9" borderId="0" applyAlignment="1" pivotButton="0" quotePrefix="0" xfId="1">
      <alignment horizontal="center" vertical="center"/>
    </xf>
    <xf numFmtId="0" fontId="44" fillId="9" borderId="0" applyAlignment="1" pivotButton="0" quotePrefix="0" xfId="0">
      <alignment horizontal="center"/>
    </xf>
    <xf numFmtId="0" fontId="13" fillId="9" borderId="0" applyAlignment="1" pivotButton="0" quotePrefix="0" xfId="0">
      <alignment horizontal="left" vertical="center" indent="1"/>
    </xf>
    <xf numFmtId="0" fontId="14" fillId="8" borderId="0" applyAlignment="1" pivotButton="0" quotePrefix="0" xfId="0">
      <alignment horizontal="left" vertical="center" indent="1"/>
    </xf>
    <xf numFmtId="0" fontId="42" fillId="0" borderId="0" applyAlignment="1" pivotButton="0" quotePrefix="0" xfId="0">
      <alignment wrapText="1"/>
    </xf>
    <xf numFmtId="0" fontId="45" fillId="0" borderId="0" applyAlignment="1" pivotButton="0" quotePrefix="0" xfId="0">
      <alignment wrapText="1"/>
    </xf>
    <xf numFmtId="0" fontId="47" fillId="0" borderId="0" applyAlignment="1" pivotButton="0" quotePrefix="0" xfId="0">
      <alignment horizontal="left" vertical="center"/>
    </xf>
    <xf numFmtId="0" fontId="0" fillId="0" borderId="15" pivotButton="0" quotePrefix="0" xfId="0"/>
    <xf numFmtId="0" fontId="49" fillId="7" borderId="0" applyAlignment="1" pivotButton="0" quotePrefix="0" xfId="0">
      <alignment horizontal="right"/>
    </xf>
    <xf numFmtId="0" fontId="50" fillId="8" borderId="0" pivotButton="0" quotePrefix="0" xfId="0"/>
    <xf numFmtId="0" fontId="46" fillId="0" borderId="0" pivotButton="0" quotePrefix="0" xfId="0"/>
    <xf numFmtId="0" fontId="35" fillId="0" borderId="4" pivotButton="0" quotePrefix="0" xfId="0"/>
    <xf numFmtId="0" fontId="22" fillId="0" borderId="4" pivotButton="0" quotePrefix="0" xfId="0"/>
    <xf numFmtId="3" fontId="22" fillId="0" borderId="4" pivotButton="0" quotePrefix="0" xfId="0"/>
    <xf numFmtId="165" fontId="22" fillId="0" borderId="4" pivotButton="0" quotePrefix="0" xfId="0"/>
    <xf numFmtId="172" fontId="22" fillId="0" borderId="4" pivotButton="0" quotePrefix="0" xfId="0"/>
    <xf numFmtId="0" fontId="51" fillId="0" borderId="0" pivotButton="0" quotePrefix="0" xfId="1"/>
    <xf numFmtId="0" fontId="52" fillId="0" borderId="0" pivotButton="0" quotePrefix="0" xfId="0"/>
    <xf numFmtId="0" fontId="53" fillId="0" borderId="0" pivotButton="0" quotePrefix="0" xfId="0"/>
    <xf numFmtId="0" fontId="54" fillId="8" borderId="0" pivotButton="0" quotePrefix="0" xfId="0"/>
    <xf numFmtId="0" fontId="53" fillId="0" borderId="0" applyAlignment="1" pivotButton="0" quotePrefix="0" xfId="0">
      <alignment wrapText="1"/>
    </xf>
    <xf numFmtId="0" fontId="55" fillId="10" borderId="0" applyAlignment="1" pivotButton="0" quotePrefix="0" xfId="0">
      <alignment vertical="top" wrapText="1"/>
    </xf>
    <xf numFmtId="0" fontId="56" fillId="8" borderId="0" applyAlignment="1" pivotButton="0" quotePrefix="0" xfId="0">
      <alignment vertical="top" wrapText="1"/>
    </xf>
    <xf numFmtId="0" fontId="48" fillId="7" borderId="0" applyAlignment="1" pivotButton="0" quotePrefix="0" xfId="0">
      <alignment horizontal="center"/>
    </xf>
    <xf numFmtId="0" fontId="57" fillId="7" borderId="0" applyAlignment="1" pivotButton="0" quotePrefix="0" xfId="0">
      <alignment horizontal="center"/>
    </xf>
    <xf numFmtId="0" fontId="48" fillId="7" borderId="4" applyAlignment="1" pivotButton="0" quotePrefix="0" xfId="0">
      <alignment horizontal="center"/>
    </xf>
    <xf numFmtId="0" fontId="51" fillId="7" borderId="0" applyAlignment="1" pivotButton="0" quotePrefix="0" xfId="1">
      <alignment horizontal="center"/>
    </xf>
    <xf numFmtId="0" fontId="40" fillId="10" borderId="0" applyAlignment="1" pivotButton="0" quotePrefix="0" xfId="0">
      <alignment vertical="top" wrapText="1"/>
    </xf>
    <xf numFmtId="0" fontId="0" fillId="0" borderId="2" pivotButton="0" quotePrefix="0" xfId="0"/>
    <xf numFmtId="0" fontId="0" fillId="0" borderId="9" pivotButton="0" quotePrefix="0" xfId="0"/>
    <xf numFmtId="172" fontId="7" fillId="4" borderId="3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0" fillId="0" borderId="21" pivotButton="0" quotePrefix="0" xfId="0"/>
    <xf numFmtId="172" fontId="9" fillId="6" borderId="3" applyAlignment="1" pivotButton="0" quotePrefix="0" xfId="0">
      <alignment horizontal="center" vertical="center"/>
    </xf>
    <xf numFmtId="164" fontId="9" fillId="6" borderId="3" applyAlignment="1" pivotButton="0" quotePrefix="0" xfId="0">
      <alignment horizontal="center" vertical="center"/>
    </xf>
    <xf numFmtId="164" fontId="15" fillId="0" borderId="11" applyAlignment="1" pivotButton="0" quotePrefix="0" xfId="0">
      <alignment horizontal="center" vertical="center"/>
    </xf>
    <xf numFmtId="172" fontId="15" fillId="0" borderId="11" applyAlignment="1" pivotButton="0" quotePrefix="0" xfId="0">
      <alignment horizontal="right" vertical="center"/>
    </xf>
    <xf numFmtId="164" fontId="15" fillId="0" borderId="11" applyAlignment="1" pivotButton="0" quotePrefix="0" xfId="0">
      <alignment horizontal="right" vertical="center"/>
    </xf>
    <xf numFmtId="164" fontId="15" fillId="4" borderId="11" applyAlignment="1" pivotButton="0" quotePrefix="0" xfId="0">
      <alignment horizontal="right" vertical="center"/>
    </xf>
    <xf numFmtId="172" fontId="15" fillId="4" borderId="11" applyAlignment="1" pivotButton="0" quotePrefix="0" xfId="0">
      <alignment horizontal="right" vertical="center"/>
    </xf>
    <xf numFmtId="164" fontId="14" fillId="0" borderId="4" applyAlignment="1" pivotButton="0" quotePrefix="0" xfId="0">
      <alignment horizontal="right" vertical="center"/>
    </xf>
    <xf numFmtId="172" fontId="14" fillId="0" borderId="4" applyAlignment="1" pivotButton="0" quotePrefix="0" xfId="0">
      <alignment horizontal="right" vertical="center"/>
    </xf>
    <xf numFmtId="164" fontId="15" fillId="4" borderId="11" applyAlignment="1" pivotButton="0" quotePrefix="0" xfId="0">
      <alignment horizontal="center" vertical="center"/>
    </xf>
    <xf numFmtId="172" fontId="0" fillId="0" borderId="0" pivotButton="0" quotePrefix="0" xfId="0"/>
    <xf numFmtId="164" fontId="14" fillId="2" borderId="4" applyAlignment="1" pivotButton="0" quotePrefix="0" xfId="0">
      <alignment horizontal="center" vertical="center"/>
    </xf>
    <xf numFmtId="172" fontId="14" fillId="2" borderId="4" applyAlignment="1" pivotButton="0" quotePrefix="0" xfId="0">
      <alignment horizontal="right" vertical="center"/>
    </xf>
    <xf numFmtId="165" fontId="3" fillId="4" borderId="3" applyAlignment="1" pivotButton="0" quotePrefix="0" xfId="0">
      <alignment horizontal="left" vertical="center" indent="1"/>
    </xf>
    <xf numFmtId="0" fontId="0" fillId="0" borderId="23" pivotButton="0" quotePrefix="0" xfId="0"/>
    <xf numFmtId="0" fontId="19" fillId="5" borderId="3" applyAlignment="1" pivotButton="0" quotePrefix="0" xfId="0">
      <alignment horizontal="left" vertical="center" indent="1"/>
    </xf>
    <xf numFmtId="0" fontId="0" fillId="0" borderId="8" pivotButton="0" quotePrefix="0" xfId="0"/>
    <xf numFmtId="170" fontId="27" fillId="0" borderId="0" pivotButton="0" quotePrefix="0" xfId="0"/>
    <xf numFmtId="172" fontId="27" fillId="0" borderId="0" pivotButton="0" quotePrefix="0" xfId="0"/>
    <xf numFmtId="0" fontId="0" fillId="0" borderId="14" pivotButton="0" quotePrefix="0" xfId="0"/>
    <xf numFmtId="171" fontId="22" fillId="0" borderId="14" applyAlignment="1" pivotButton="0" quotePrefix="0" xfId="0">
      <alignment horizontal="right"/>
    </xf>
    <xf numFmtId="171" fontId="22" fillId="0" borderId="0" applyAlignment="1" pivotButton="0" quotePrefix="0" xfId="0">
      <alignment horizontal="right"/>
    </xf>
    <xf numFmtId="171" fontId="39" fillId="8" borderId="0" applyAlignment="1" pivotButton="0" quotePrefix="0" xfId="0">
      <alignment horizontal="right"/>
    </xf>
    <xf numFmtId="0" fontId="59" fillId="7" borderId="0" applyAlignment="1" pivotButton="0" quotePrefix="0" xfId="0">
      <alignment vertical="center" wrapText="1"/>
    </xf>
    <xf numFmtId="165" fontId="0" fillId="0" borderId="0" pivotButton="0" quotePrefix="0" xfId="0"/>
    <xf numFmtId="172" fontId="22" fillId="7" borderId="13" pivotButton="0" quotePrefix="0" xfId="0"/>
    <xf numFmtId="165" fontId="15" fillId="0" borderId="1" applyAlignment="1" pivotButton="0" quotePrefix="0" xfId="0">
      <alignment horizontal="center" vertical="center"/>
    </xf>
    <xf numFmtId="164" fontId="15" fillId="0" borderId="1" applyAlignment="1" pivotButton="0" quotePrefix="0" xfId="0">
      <alignment horizontal="center" vertical="center"/>
    </xf>
    <xf numFmtId="172" fontId="15" fillId="0" borderId="1" applyAlignment="1" pivotButton="0" quotePrefix="0" xfId="0">
      <alignment horizontal="right" vertical="center"/>
    </xf>
    <xf numFmtId="172" fontId="22" fillId="7" borderId="0" pivotButton="0" quotePrefix="0" xfId="0"/>
    <xf numFmtId="165" fontId="22" fillId="0" borderId="4" pivotButton="0" quotePrefix="0" xfId="0"/>
    <xf numFmtId="172" fontId="22" fillId="0" borderId="4" pivotButton="0" quotePrefix="0" xfId="0"/>
    <xf numFmtId="164" fontId="15" fillId="4" borderId="1" applyAlignment="1" pivotButton="0" quotePrefix="0" xfId="0">
      <alignment horizontal="center" vertical="center"/>
    </xf>
    <xf numFmtId="166" fontId="15" fillId="4" borderId="1" applyAlignment="1" pivotButton="0" quotePrefix="0" xfId="0">
      <alignment horizontal="center" vertical="center"/>
    </xf>
    <xf numFmtId="167" fontId="15" fillId="4" borderId="1" applyAlignment="1" pivotButton="0" quotePrefix="0" xfId="0">
      <alignment horizontal="center" vertical="center"/>
    </xf>
    <xf numFmtId="166" fontId="15" fillId="0" borderId="1" applyAlignment="1" pivotButton="0" quotePrefix="0" xfId="0">
      <alignment horizontal="center" vertical="center"/>
    </xf>
    <xf numFmtId="167" fontId="15" fillId="0" borderId="1" applyAlignment="1" pivotButton="0" quotePrefix="0" xfId="0">
      <alignment horizontal="center" vertical="center"/>
    </xf>
    <xf numFmtId="168" fontId="13" fillId="5" borderId="1" applyAlignment="1" pivotButton="0" quotePrefix="0" xfId="0">
      <alignment horizontal="center" vertical="center"/>
    </xf>
    <xf numFmtId="165" fontId="13" fillId="5" borderId="1" applyAlignment="1" pivotButton="0" quotePrefix="0" xfId="0">
      <alignment horizontal="center" vertical="center"/>
    </xf>
    <xf numFmtId="164" fontId="13" fillId="5" borderId="1" applyAlignment="1" pivotButton="0" quotePrefix="0" xfId="0">
      <alignment horizontal="left" vertical="center" indent="1"/>
    </xf>
    <xf numFmtId="169" fontId="13" fillId="5" borderId="1" applyAlignment="1" pivotButton="0" quotePrefix="0" xfId="0">
      <alignment horizontal="left" vertical="center" indent="1"/>
    </xf>
    <xf numFmtId="0" fontId="58" fillId="0" borderId="0" applyAlignment="1" pivotButton="0" quotePrefix="0" xfId="0">
      <alignment wrapText="1"/>
    </xf>
    <xf numFmtId="0" fontId="60" fillId="0" borderId="0" pivotButton="0" quotePrefix="0" xfId="1"/>
    <xf numFmtId="0" fontId="61" fillId="0" borderId="0" pivotButton="0" quotePrefix="0" xfId="0"/>
    <xf numFmtId="0" fontId="53" fillId="0" borderId="0" applyAlignment="1" pivotButton="0" quotePrefix="0" xfId="0">
      <alignment vertical="top" wrapText="1"/>
    </xf>
    <xf numFmtId="0" fontId="62" fillId="8" borderId="0" pivotButton="0" quotePrefix="0" xfId="0"/>
    <xf numFmtId="0" fontId="62" fillId="10" borderId="0" applyAlignment="1" pivotButton="0" quotePrefix="0" xfId="0">
      <alignment vertical="top" wrapText="1"/>
    </xf>
  </cellXfs>
  <cellStyles count="2">
    <cellStyle name="Normal" xfId="0" builtinId="0"/>
    <cellStyle name="Hyperlink" xfId="1" builtinId="8"/>
  </cellStyles>
  <dxfs count="84">
    <dxf>
      <font>
        <i val="1"/>
        <color rgb="FF9CA3AF"/>
        <sz val="10"/>
      </font>
      <alignment wrapText="1"/>
    </dxf>
    <dxf>
      <font>
        <b val="1"/>
        <color rgb="FF383D41"/>
      </font>
      <fill>
        <patternFill patternType="solid">
          <fgColor indexed="64"/>
          <bgColor rgb="FFE2E3E5"/>
        </patternFill>
      </fill>
    </dxf>
    <dxf>
      <font>
        <b val="1"/>
        <color rgb="FF721C24"/>
      </font>
      <fill>
        <patternFill patternType="solid">
          <fgColor indexed="64"/>
          <bgColor rgb="FFF8D7DA"/>
        </patternFill>
      </fill>
    </dxf>
    <dxf>
      <font>
        <b val="1"/>
        <color rgb="FF0F5132"/>
      </font>
      <fill>
        <patternFill patternType="solid">
          <fgColor indexed="64"/>
          <bgColor rgb="FFC3E6CB"/>
        </patternFill>
      </fill>
    </dxf>
    <dxf>
      <font>
        <b val="1"/>
        <color rgb="FF155724"/>
      </font>
      <fill>
        <patternFill patternType="solid">
          <fgColor indexed="64"/>
          <bgColor rgb="FFD4EDDA"/>
        </patternFill>
      </fill>
    </dxf>
    <dxf>
      <font>
        <b val="1"/>
        <color rgb="FF0C5460"/>
      </font>
      <fill>
        <patternFill patternType="solid">
          <fgColor indexed="64"/>
          <bgColor rgb="FFD1ECF1"/>
        </patternFill>
      </fill>
    </dxf>
    <dxf>
      <font>
        <b val="1"/>
        <color rgb="FF856404"/>
      </font>
      <fill>
        <patternFill patternType="solid">
          <fgColor indexed="64"/>
          <bgColor rgb="FFFFF3CD"/>
        </patternFill>
      </fill>
    </dxf>
    <dxf>
      <font>
        <b val="1"/>
        <color rgb="FF155724"/>
      </font>
      <fill>
        <patternFill patternType="solid">
          <fgColor indexed="64"/>
          <bgColor rgb="FFD4EDDA"/>
        </patternFill>
      </fill>
    </dxf>
    <dxf>
      <font>
        <b val="1"/>
        <color rgb="FF721C24"/>
      </font>
      <fill>
        <patternFill patternType="solid">
          <fgColor indexed="64"/>
          <bgColor rgb="FFF8D7DA"/>
        </patternFill>
      </fill>
    </dxf>
    <dxf>
      <font>
        <b val="1"/>
        <color rgb="FF383D41"/>
      </font>
      <fill>
        <patternFill patternType="solid">
          <fgColor indexed="64"/>
          <bgColor rgb="FFE2E3E5"/>
        </patternFill>
      </fill>
    </dxf>
    <dxf>
      <font>
        <b val="1"/>
        <color rgb="FF721C24"/>
      </font>
      <fill>
        <patternFill patternType="solid">
          <fgColor indexed="64"/>
          <bgColor rgb="FFF8D7DA"/>
        </patternFill>
      </fill>
    </dxf>
    <dxf>
      <font>
        <b val="1"/>
        <color rgb="FF0F5132"/>
      </font>
      <fill>
        <patternFill patternType="solid">
          <fgColor indexed="64"/>
          <bgColor rgb="FFC3E6CB"/>
        </patternFill>
      </fill>
    </dxf>
    <dxf>
      <font>
        <b val="1"/>
        <color rgb="FF155724"/>
      </font>
      <fill>
        <patternFill patternType="solid">
          <fgColor indexed="64"/>
          <bgColor rgb="FFD4EDDA"/>
        </patternFill>
      </fill>
    </dxf>
    <dxf>
      <font>
        <b val="1"/>
        <color rgb="FF0C5460"/>
      </font>
      <fill>
        <patternFill patternType="solid">
          <fgColor indexed="64"/>
          <bgColor rgb="FFD1ECF1"/>
        </patternFill>
      </fill>
    </dxf>
    <dxf>
      <font>
        <b val="1"/>
        <color rgb="FF856404"/>
      </font>
      <fill>
        <patternFill patternType="solid">
          <fgColor indexed="64"/>
          <bgColor rgb="FFFFF3CD"/>
        </patternFill>
      </fill>
    </dxf>
    <dxf>
      <font>
        <name val="Calibri"/>
        <b val="1"/>
        <color rgb="FF991B1B"/>
        <sz val="11"/>
      </font>
      <fill>
        <patternFill patternType="solid">
          <fgColor rgb="FFFCE4E4"/>
        </patternFill>
      </fill>
    </dxf>
    <dxf>
      <font>
        <name val="Calibri"/>
        <b val="1"/>
        <color rgb="FF0B2447"/>
        <sz val="11"/>
      </font>
      <fill>
        <patternFill patternType="solid">
          <fgColor rgb="FFFDF4D4"/>
        </patternFill>
      </fill>
    </dxf>
    <dxf>
      <font>
        <name val="Calibri"/>
        <b val="1"/>
        <color rgb="FF166534"/>
        <sz val="11"/>
      </font>
      <fill>
        <patternFill patternType="solid">
          <fgColor rgb="FFDCFCE7"/>
        </patternFill>
      </fill>
    </dxf>
    <dxf>
      <font>
        <name val="Calibri"/>
        <b val="1"/>
        <color rgb="FF991B1B"/>
        <sz val="11"/>
      </font>
      <fill>
        <patternFill patternType="solid">
          <fgColor rgb="FFFCE4E4"/>
        </patternFill>
      </fill>
    </dxf>
    <dxf>
      <font>
        <b val="1"/>
        <color rgb="FF58151C"/>
      </font>
      <fill>
        <patternFill patternType="solid">
          <fgColor indexed="64"/>
          <bgColor rgb="FFF5C2C7"/>
        </patternFill>
      </fill>
    </dxf>
    <dxf>
      <font>
        <b val="1"/>
        <color rgb="FF721C24"/>
      </font>
      <fill>
        <patternFill patternType="solid">
          <fgColor indexed="64"/>
          <bgColor rgb="FFF8D7DA"/>
        </patternFill>
      </fill>
    </dxf>
    <dxf>
      <font>
        <b val="1"/>
        <color rgb="FF7C4A03"/>
      </font>
      <fill>
        <patternFill patternType="solid">
          <fgColor indexed="64"/>
          <bgColor rgb="FFFFE5B4"/>
        </patternFill>
      </fill>
    </dxf>
    <dxf>
      <font>
        <b val="1"/>
        <color rgb="FF856404"/>
      </font>
      <fill>
        <patternFill patternType="solid">
          <fgColor indexed="64"/>
          <bgColor rgb="FFFFF3CD"/>
        </patternFill>
      </fill>
    </dxf>
    <dxf>
      <font>
        <b val="1"/>
        <color rgb="FF155724"/>
      </font>
      <fill>
        <patternFill patternType="solid">
          <fgColor indexed="64"/>
          <bgColor rgb="FFD4EDDA"/>
        </patternFill>
      </fill>
    </dxf>
    <dxf>
      <font>
        <b val="1"/>
        <color rgb="FF383D41"/>
      </font>
      <fill>
        <patternFill patternType="solid">
          <fgColor indexed="64"/>
          <bgColor rgb="FFE2E3E5"/>
        </patternFill>
      </fill>
    </dxf>
    <dxf>
      <font>
        <b val="1"/>
        <color rgb="FF7C4A03"/>
      </font>
      <fill>
        <patternFill patternType="solid">
          <fgColor indexed="64"/>
          <bgColor rgb="FFFCE4B6"/>
        </patternFill>
      </fill>
    </dxf>
    <dxf>
      <font>
        <b val="1"/>
        <color rgb="FF0F5132"/>
      </font>
      <fill>
        <patternFill patternType="solid">
          <fgColor indexed="64"/>
          <bgColor rgb="FFC3E6CB"/>
        </patternFill>
      </fill>
    </dxf>
    <dxf>
      <font>
        <b val="1"/>
        <color rgb="FF0C5460"/>
      </font>
      <fill>
        <patternFill patternType="solid">
          <fgColor indexed="64"/>
          <bgColor rgb="FFD1ECF1"/>
        </patternFill>
      </fill>
    </dxf>
    <dxf>
      <font>
        <b val="1"/>
        <color rgb="FF856404"/>
      </font>
      <fill>
        <patternFill patternType="solid">
          <fgColor indexed="64"/>
          <bgColor rgb="FFFFF3CD"/>
        </patternFill>
      </fill>
    </dxf>
    <dxf>
      <font>
        <name val="Calibri"/>
        <b val="1"/>
        <color rgb="FF166534"/>
        <sz val="11"/>
      </font>
      <fill>
        <patternFill patternType="solid">
          <fgColor rgb="FFDCFCE7"/>
        </patternFill>
      </fill>
    </dxf>
    <dxf>
      <font>
        <name val="Calibri"/>
        <b val="1"/>
        <color rgb="FF991B1B"/>
        <sz val="11"/>
      </font>
      <fill>
        <patternFill patternType="solid">
          <fgColor rgb="FFFCE4E4"/>
        </patternFill>
      </fill>
    </dxf>
    <dxf>
      <font>
        <name val="Calibri"/>
        <b val="1"/>
        <color rgb="FF8B4513"/>
        <sz val="11"/>
      </font>
      <fill>
        <patternFill patternType="solid">
          <fgColor rgb="FFFFE0B2"/>
        </patternFill>
      </fill>
    </dxf>
    <dxf>
      <font>
        <name val="Calibri"/>
        <b val="1"/>
        <color rgb="FF92400E"/>
        <sz val="11"/>
      </font>
      <fill>
        <patternFill patternType="solid">
          <fgColor rgb="FFFEF3C7"/>
        </patternFill>
      </fill>
    </dxf>
    <dxf>
      <font>
        <name val="Calibri"/>
        <b val="1"/>
        <color rgb="FF166534"/>
        <sz val="11"/>
      </font>
      <fill>
        <patternFill patternType="solid">
          <fgColor rgb="FFDCFCE7"/>
        </patternFill>
      </fill>
    </dxf>
    <dxf>
      <font>
        <name val="Calibri"/>
        <i val="1"/>
        <color rgb="FF6B7280"/>
        <sz val="11"/>
      </font>
      <fill>
        <patternFill patternType="solid">
          <fgColor rgb="FFF3F4F6"/>
        </patternFill>
      </fill>
    </dxf>
    <dxf>
      <font>
        <name val="Calibri"/>
        <b val="1"/>
        <color rgb="FF1F3D8E"/>
        <sz val="11"/>
      </font>
      <fill>
        <patternFill patternType="solid">
          <fgColor rgb="FFFDF4D4"/>
        </patternFill>
      </fill>
    </dxf>
    <dxf>
      <font>
        <name val="Calibri"/>
        <b val="1"/>
        <color rgb="FF92400E"/>
        <sz val="11"/>
      </font>
      <fill>
        <patternFill patternType="solid">
          <fgColor rgb="FFFEF3C7"/>
        </patternFill>
      </fill>
    </dxf>
    <dxf>
      <font>
        <name val="Calibri"/>
        <b val="1"/>
        <color rgb="FF166534"/>
        <sz val="11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b val="1"/>
        <color rgb="FFFFFFFF"/>
      </font>
      <fill>
        <patternFill patternType="solid">
          <fgColor indexed="64"/>
          <bgColor rgb="FF1F3D8E"/>
        </patternFill>
      </fill>
    </dxf>
    <dxf>
      <font>
        <name val="Calibri"/>
        <strike val="0"/>
        <outline val="0"/>
        <shadow val="0"/>
        <condense val="0"/>
        <color rgb="FF111827"/>
        <extend val="0"/>
        <sz val="10"/>
        <vertAlign val="baseline"/>
      </font>
      <alignment horizontal="left" vertical="center" wrapText="1" indent="1"/>
      <border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0"/>
        <vertAlign val="baseline"/>
        <scheme val="minor"/>
      </font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FDF4D4"/>
        </patternFill>
      </fill>
    </dxf>
    <dxf>
      <font>
        <name val="Calibri"/>
        <strike val="0"/>
        <outline val="0"/>
        <shadow val="0"/>
        <condense val="0"/>
        <color rgb="FF111827"/>
        <extend val="0"/>
        <sz val="10"/>
        <vertAlign val="baseline"/>
      </font>
      <alignment horizontal="center" vertical="center"/>
      <border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 val="1"/>
      </font>
      <fill>
        <patternFill patternType="solid">
          <fgColor indexed="64"/>
          <bgColor rgb="FFFDF4D4"/>
        </patternFill>
      </fill>
    </dxf>
    <dxf>
      <font>
        <b val="1"/>
      </font>
      <fill>
        <patternFill patternType="solid">
          <fgColor indexed="64"/>
          <bgColor rgb="FFFDF4D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tables/table1.xml><?xml version="1.0" encoding="utf-8"?>
<table xmlns="http://schemas.openxmlformats.org/spreadsheetml/2006/main" id="1" name="Claims" displayName="Claims" ref="B6:R16" headerRowCount="1" totalsRowCount="1" totalsRowDxfId="83">
  <autoFilter ref="B6:R15"/>
  <tableColumns count="17">
    <tableColumn id="2" name="Claim No." totalsRowLabel="Total" totalsRowDxfId="55"/>
    <tableColumn id="3" name="Issue Date" totalsRowDxfId="54"/>
    <tableColumn id="4" name="Deal No." totalsRowDxfId="53"/>
    <tableColumn id="5" name="Consignee" totalsRowDxfId="52"/>
    <tableColumn id="6" name="Bill-To Address" dataDxfId="57" totalsRowDxfId="51">
      <calculatedColumnFormula>IFERROR(VLOOKUP(E7,Consignees[],2,FALSE),"")</calculatedColumnFormula>
    </tableColumn>
    <tableColumn id="7" name="Period From" totalsRowDxfId="50"/>
    <tableColumn id="8" name="Period To" totalsRowDxfId="49"/>
    <tableColumn id="9" name="# Trips" totalsRowFunction="sum" totalsRowDxfId="48"/>
    <tableColumn id="10" name="Amount (USD)" totalsRowFunction="sum" totalsRowDxfId="47"/>
    <tableColumn id="11" name="Currency" totalsRowDxfId="46"/>
    <tableColumn id="12" name="Status" totalsRowDxfId="45"/>
    <tableColumn id="13" name="Due Date" totalsRowDxfId="44"/>
    <tableColumn id="14" name="Paid Date" totalsRowDxfId="43"/>
    <tableColumn id="15" name="Days Overdue" totalsRowDxfId="42"/>
    <tableColumn id="16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name="Notes" totalsRowDxfId="40"/>
    <tableColumn id="1" name="Actions" totalsRowDxfId="3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rips" displayName="Trips" ref="B6:V138" headerRowCount="1" totalsRowCount="1" totalsRowDxfId="82">
  <autoFilter ref="B6:V137"/>
  <tableColumns count="21">
    <tableColumn id="2" name="Deal No." totalsRowLabel="Total" totalsRowDxfId="80"/>
    <tableColumn id="3" name="Claim No." totalsRowDxfId="79"/>
    <tableColumn id="4" name="Consignee" totalsRowDxfId="78"/>
    <tableColumn id="5" name="Date Loaded" totalsRowDxfId="77"/>
    <tableColumn id="6" name="Loading Port" totalsRowDxfId="76"/>
    <tableColumn id="7" name="Destination" totalsRowDxfId="75"/>
    <tableColumn id="8" name="Product" totalsRowDxfId="74"/>
    <tableColumn id="9" name="Truck No." totalsRowDxfId="73"/>
    <tableColumn id="10" name="Trailer Reg." totalsRowDxfId="72"/>
    <tableColumn id="11" name="Transporter" totalsRowDxfId="71"/>
    <tableColumn id="12" name="Driver" totalsRowDxfId="70"/>
    <tableColumn id="13" name="Arrival" totalsRowDxfId="69"/>
    <tableColumn id="14" name="Offloaded" totalsRowDxfId="68"/>
    <tableColumn id="15" name="Waiting (d)" totalsRowFunction="sum" totalsRowDxfId="67"/>
    <tableColumn id="16" name="Laytime (d)" totalsRowDxfId="66"/>
    <tableColumn id="17" name="Excess (d)" totalsRowFunction="sum" totalsRowDxfId="65"/>
    <tableColumn id="18" name="Rate (USD)" totalsRowDxfId="61"/>
    <tableColumn id="19" name="Demurrage (USD)" totalsRowFunction="sum" totalsRowDxfId="60"/>
    <tableColumn id="20" name="Status" totalsRowDxfId="64"/>
    <tableColumn id="21" name="Sanity" totalsRowDxfId="63"/>
    <tableColumn id="22" name="Month" totalsRowDxfId="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Deals" displayName="Deals" ref="B6:K30" headerRowCount="1">
  <autoFilter ref="B6:K30"/>
  <tableColumns count="10">
    <tableColumn id="2" name="Deal No."/>
    <tableColumn id="3" name="Consignee"/>
    <tableColumn id="4" name="Route"/>
    <tableColumn id="5" name="Loading Port"/>
    <tableColumn id="6" name="Destination"/>
    <tableColumn id="7" name="Product"/>
    <tableColumn id="8" name="Laytime (days)"/>
    <tableColumn id="9" name="Rate (USD/day)"/>
    <tableColumn id="10" name="Transport (USD/m³)"/>
    <tableColumn id="11" name="Transporter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Consignees" displayName="Consignees" ref="B30:E33" headerRowCount="1" totalsRowShown="0">
  <autoFilter ref="B30:E33"/>
  <tableColumns count="4">
    <tableColumn id="1" name="Consignee" dataDxfId="59"/>
    <tableColumn id="2" name="Bill-To Address" dataDxfId="58"/>
    <tableColumn id="3" name="Email" dataDxfId="0"/>
    <tableColumn id="4" name="Cc Emails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AuditLog" displayName="AuditLog" ref="B5:I6" headerRowCount="1" totalsRowShown="0" headerRowDxfId="56">
  <autoFilter ref="B5:I6"/>
  <tableColumns count="8">
    <tableColumn id="1" name="Timestamp"/>
    <tableColumn id="2" name="User"/>
    <tableColumn id="3" name="Sheet"/>
    <tableColumn id="4" name="Cell"/>
    <tableColumn id="5" name="Field"/>
    <tableColumn id="6" name="Old Value"/>
    <tableColumn id="7" name="New Value"/>
    <tableColumn id="8" name="Action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Cover'!A1" TargetMode="External" Id="rId1" /></Relationships>
</file>

<file path=xl/worksheets/sheet1.xml><?xml version="1.0" encoding="utf-8"?>
<worksheet xmlns="http://schemas.openxmlformats.org/spreadsheetml/2006/main">
  <sheetPr codeName="Sheet1">
    <tabColor rgb="FF1F3D8E"/>
    <outlinePr summaryBelow="1" summaryRight="1"/>
    <pageSetUpPr/>
  </sheetPr>
  <dimension ref="A2:J36"/>
  <sheetViews>
    <sheetView showGridLines="0" showRowColHeaders="0" workbookViewId="0">
      <selection activeCell="A1" sqref="A1"/>
    </sheetView>
  </sheetViews>
  <sheetFormatPr baseColWidth="8" defaultRowHeight="15"/>
  <cols>
    <col width="3" customWidth="1" style="106" min="1" max="1"/>
    <col width="18" customWidth="1" style="106" min="2" max="9"/>
    <col width="3" customWidth="1" style="106" min="10" max="10"/>
  </cols>
  <sheetData>
    <row r="1" ht="18" customHeight="1" s="106"/>
    <row r="2" ht="21.95" customHeight="1" s="106">
      <c r="A2" s="1" t="n"/>
      <c r="B2" s="124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  <c r="I2" s="1" t="n"/>
      <c r="J2" s="1" t="n"/>
    </row>
    <row r="3" ht="18" customHeight="1" s="106">
      <c r="A3" s="1" t="n"/>
      <c r="B3" s="41" t="inlineStr">
        <is>
          <t>DEMURRAGE MANAGEMENT</t>
        </is>
      </c>
      <c r="J3" s="1" t="n"/>
    </row>
    <row r="4" ht="18" customHeight="1" s="106">
      <c r="A4" s="1" t="n"/>
      <c r="J4" s="1" t="n"/>
    </row>
    <row r="5" ht="18" customHeight="1" s="106">
      <c r="A5" s="1" t="n"/>
      <c r="B5" s="44" t="inlineStr">
        <is>
          <t>MOCOH SA  •  TRUCKING DEMURRAGE  •  2026</t>
        </is>
      </c>
      <c r="J5" s="1" t="n"/>
    </row>
    <row r="6" ht="18" customHeight="1" s="106">
      <c r="A6" s="1" t="n"/>
      <c r="B6" s="1" t="n"/>
      <c r="C6" s="1" t="n"/>
      <c r="D6" s="1" t="n"/>
      <c r="E6" s="1" t="n"/>
      <c r="F6" s="1" t="n"/>
      <c r="G6" s="1" t="n"/>
      <c r="H6" s="1" t="n"/>
      <c r="I6" s="1" t="n"/>
      <c r="J6" s="1" t="n"/>
    </row>
    <row r="7" ht="3.95" customHeight="1" s="106">
      <c r="A7" s="2" t="n"/>
      <c r="B7" s="2" t="n"/>
      <c r="C7" s="2" t="n"/>
      <c r="D7" s="2" t="n"/>
      <c r="E7" s="2" t="n"/>
      <c r="F7" s="2" t="n"/>
      <c r="G7" s="2" t="n"/>
      <c r="H7" s="2" t="n"/>
      <c r="I7" s="2" t="n"/>
      <c r="J7" s="2" t="n"/>
    </row>
    <row r="8" ht="18" customHeight="1" s="106"/>
    <row r="9" ht="18" customHeight="1" s="106"/>
    <row r="10" ht="18" customHeight="1" s="106">
      <c r="B10" s="3" t="inlineStr">
        <is>
          <t>WORKFLOW</t>
        </is>
      </c>
    </row>
    <row r="11" ht="18" customHeight="1" s="106"/>
    <row r="12" ht="30" customHeight="1" s="106">
      <c r="B12" s="4" t="inlineStr">
        <is>
          <t>1</t>
        </is>
      </c>
      <c r="C12" s="40" t="inlineStr">
        <is>
          <t>CAPTURE  —  Add trips to the Trips Ledger as they happen.</t>
        </is>
      </c>
      <c r="D12" s="154" t="n"/>
      <c r="E12" s="154" t="n"/>
      <c r="F12" s="154" t="n"/>
      <c r="G12" s="154" t="n"/>
      <c r="H12" s="154" t="n"/>
      <c r="I12" s="154" t="n"/>
    </row>
    <row r="13" ht="30" customHeight="1" s="106">
      <c r="B13" s="4" t="inlineStr">
        <is>
          <t>2</t>
        </is>
      </c>
      <c r="C13" s="40" t="inlineStr">
        <is>
          <t>CLAIM  —  Open the Claims register, add a row, assign trips.</t>
        </is>
      </c>
      <c r="D13" s="154" t="n"/>
      <c r="E13" s="154" t="n"/>
      <c r="F13" s="154" t="n"/>
      <c r="G13" s="154" t="n"/>
      <c r="H13" s="154" t="n"/>
      <c r="I13" s="154" t="n"/>
    </row>
    <row r="14" ht="30" customHeight="1" s="106">
      <c r="B14" s="4" t="inlineStr">
        <is>
          <t>3</t>
        </is>
      </c>
      <c r="C14" s="40" t="inlineStr">
        <is>
          <t>INVOICE  —  Pick the claim on the Invoice tab — print or PDF.</t>
        </is>
      </c>
      <c r="D14" s="154" t="n"/>
      <c r="E14" s="154" t="n"/>
      <c r="F14" s="154" t="n"/>
      <c r="G14" s="154" t="n"/>
      <c r="H14" s="154" t="n"/>
      <c r="I14" s="154" t="n"/>
    </row>
    <row r="15" ht="30" customHeight="1" s="106">
      <c r="B15" s="4" t="inlineStr">
        <is>
          <t>4</t>
        </is>
      </c>
      <c r="C15" s="40" t="inlineStr">
        <is>
          <t>TRACK  —  Update status / paid date — Dashboard reflects it.</t>
        </is>
      </c>
      <c r="D15" s="154" t="n"/>
      <c r="E15" s="154" t="n"/>
      <c r="F15" s="154" t="n"/>
      <c r="G15" s="154" t="n"/>
      <c r="H15" s="154" t="n"/>
      <c r="I15" s="154" t="n"/>
    </row>
    <row r="16" ht="18" customHeight="1" s="106"/>
    <row r="17" ht="18" customHeight="1" s="106"/>
    <row r="18" ht="18" customHeight="1" s="106"/>
    <row r="19" ht="18" customHeight="1" s="106"/>
    <row r="20" ht="18" customHeight="1" s="106"/>
    <row r="21" ht="18" customHeight="1" s="106"/>
    <row r="22" ht="18" customHeight="1" s="106">
      <c r="B22" s="3" t="inlineStr">
        <is>
          <t>PORTFOLIO AT A GLANCE</t>
        </is>
      </c>
    </row>
    <row r="23" ht="18" customHeight="1" s="106"/>
    <row r="24" ht="18" customHeight="1" s="106">
      <c r="B24" s="42" t="inlineStr">
        <is>
          <t>TOTAL DEMURRAGE</t>
        </is>
      </c>
      <c r="C24" s="155" t="n"/>
      <c r="D24" s="42" t="inlineStr">
        <is>
          <t>INVOICED</t>
        </is>
      </c>
      <c r="E24" s="155" t="n"/>
      <c r="F24" s="42" t="inlineStr">
        <is>
          <t>PAID</t>
        </is>
      </c>
      <c r="G24" s="155" t="n"/>
      <c r="H24" s="42" t="inlineStr">
        <is>
          <t>OUTSTANDING</t>
        </is>
      </c>
      <c r="I24" s="155" t="n"/>
    </row>
    <row r="25" ht="18" customHeight="1" s="106">
      <c r="B25" s="156">
        <f>SUM(Trips[Demurrage (USD)])</f>
        <v/>
      </c>
      <c r="C25" s="157" t="n"/>
      <c r="D25" s="156">
        <f>SUMIFS(Claims[Amount (USD)],Claims[Status],"Sent")+SUMIFS(Claims[Amount (USD)],Claims[Status],"Paid")</f>
        <v/>
      </c>
      <c r="E25" s="157" t="n"/>
      <c r="F25" s="156">
        <f>SUMIF(Claims[Status],"Paid",Claims[Amount (USD)])</f>
        <v/>
      </c>
      <c r="G25" s="157" t="n"/>
      <c r="H25" s="156">
        <f>SUMIF(Claims[Status],"Sent",Claims[Amount (USD)])</f>
        <v/>
      </c>
      <c r="I25" s="157" t="n"/>
    </row>
    <row r="26" ht="18" customHeight="1" s="106">
      <c r="B26" s="158" t="n"/>
      <c r="C26" s="159" t="n"/>
      <c r="D26" s="158" t="n"/>
      <c r="E26" s="159" t="n"/>
      <c r="F26" s="158" t="n"/>
      <c r="G26" s="159" t="n"/>
      <c r="H26" s="158" t="n"/>
      <c r="I26" s="159" t="n"/>
    </row>
    <row r="27" ht="18" customHeight="1" s="106"/>
    <row r="28" ht="18" customHeight="1" s="106"/>
    <row r="29" ht="18" customHeight="1" s="106"/>
    <row r="30" ht="18" customHeight="1" s="106"/>
    <row r="31" ht="18" customHeight="1" s="106"/>
    <row r="32" ht="18" customHeight="1" s="106"/>
    <row r="33" ht="18" customHeight="1" s="106"/>
    <row r="34" ht="18" customHeight="1" s="106"/>
    <row r="35" ht="18" customHeight="1" s="106"/>
    <row r="36" ht="18" customHeight="1" s="106">
      <c r="B36" s="39" t="inlineStr">
        <is>
          <t>CONFIDENTIAL  •  MOCOH SA  •  Internal use only</t>
        </is>
      </c>
    </row>
    <row r="37" ht="18" customHeight="1" s="106"/>
    <row r="38" ht="18" customHeight="1" s="106"/>
    <row r="39" ht="18" customHeight="1" s="106"/>
  </sheetData>
  <mergeCells count="15">
    <mergeCell ref="C14:I14"/>
    <mergeCell ref="F25:G26"/>
    <mergeCell ref="D25:E26"/>
    <mergeCell ref="B24:C24"/>
    <mergeCell ref="C13:I13"/>
    <mergeCell ref="D24:E24"/>
    <mergeCell ref="B3:I4"/>
    <mergeCell ref="F24:G24"/>
    <mergeCell ref="B25:C26"/>
    <mergeCell ref="H24:I24"/>
    <mergeCell ref="C12:I12"/>
    <mergeCell ref="B36:I36"/>
    <mergeCell ref="B5:I5"/>
    <mergeCell ref="H25:I26"/>
    <mergeCell ref="C15:I15"/>
  </mergeCells>
  <hyperlinks>
    <hyperlink ref="B2" location="Dashboard!A1" tooltip="Go to 📊 Dashboard" display="📊 Dashboard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FFF5A623"/>
    <outlinePr summaryBelow="1" summaryRight="1"/>
    <pageSetUpPr/>
  </sheetPr>
  <dimension ref="B1:O45"/>
  <sheetViews>
    <sheetView showGridLines="0" showRowColHeaders="0" workbookViewId="0">
      <pane xSplit="1" ySplit="5" topLeftCell="B6" activePane="bottomRight" state="frozen"/>
      <selection pane="topRight" activeCell="A1" sqref="A1"/>
      <selection pane="bottomLeft" activeCell="A1" sqref="A1"/>
      <selection pane="bottomRight" activeCell="D27" sqref="D27"/>
    </sheetView>
  </sheetViews>
  <sheetFormatPr baseColWidth="8" defaultRowHeight="15"/>
  <cols>
    <col width="2" customWidth="1" style="106" min="1" max="1"/>
    <col width="22" customWidth="1" style="106" min="2" max="9"/>
    <col width="2" customWidth="1" style="106" min="10" max="10"/>
  </cols>
  <sheetData>
    <row r="1">
      <c r="K1" s="67" t="inlineStr">
        <is>
          <t>Helper — Top deals</t>
        </is>
      </c>
      <c r="N1" t="inlineStr">
        <is>
          <t>Helper — Sorted desc</t>
        </is>
      </c>
    </row>
    <row r="2" ht="21.95" customHeight="1" s="106">
      <c r="B2" s="126" t="inlineStr">
        <is>
          <t>📋 Cover</t>
        </is>
      </c>
      <c r="C2" s="124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  <c r="K2" t="inlineStr">
        <is>
          <t>Deal No.</t>
        </is>
      </c>
      <c r="L2" t="inlineStr">
        <is>
          <t>Demurrage</t>
        </is>
      </c>
      <c r="N2" t="inlineStr">
        <is>
          <t>Deal No.</t>
        </is>
      </c>
      <c r="O2" t="inlineStr">
        <is>
          <t>Demurrage</t>
        </is>
      </c>
    </row>
    <row r="3">
      <c r="B3" s="37" t="inlineStr">
        <is>
          <t>Live KPIs across trips, claims and invoices.</t>
        </is>
      </c>
      <c r="K3">
        <f t="array" ref="K3:K11">IFERROR(_xlfn._xlws.SORT(_xlfn.UNIQUE(_xlfn._xlws.FILTER(Trips[Deal No.],Trips[Deal No.]&lt;&gt;""))),"")</f>
        <v/>
      </c>
      <c r="L3">
        <f t="array" ref="L3:L11">IF(_xlfn.ANCHORARRAY(K3)="","",SUMIF(Trips[Deal No.],_xlfn.ANCHORARRAY(K3),Trips[Demurrage (USD)]))</f>
        <v/>
      </c>
      <c r="N3">
        <f t="array" ref="N3:N11">IFERROR(_xlfn.SORTBY(_xlfn.ANCHORARRAY(K3),_xlfn.ANCHORARRAY(L3),-1),"")</f>
        <v/>
      </c>
      <c r="O3">
        <f t="array" ref="O3:O11">IFERROR(_xlfn.SORTBY(_xlfn.ANCHORARRAY(L3),_xlfn.ANCHORARRAY(L3),-1),"")</f>
        <v/>
      </c>
    </row>
    <row r="4" ht="6" customHeight="1" s="106">
      <c r="B4" s="5" t="n"/>
      <c r="C4" s="5" t="n"/>
      <c r="D4" s="5" t="n"/>
      <c r="E4" s="5" t="n"/>
      <c r="F4" s="5" t="n"/>
      <c r="G4" s="5" t="n"/>
      <c r="H4" s="5" t="n"/>
      <c r="I4" s="5" t="n"/>
      <c r="K4" t="n">
        <v>184752</v>
      </c>
      <c r="L4" t="n">
        <v>5500</v>
      </c>
      <c r="N4" t="n">
        <v>190664</v>
      </c>
      <c r="O4" t="n">
        <v>24250</v>
      </c>
    </row>
    <row r="5">
      <c r="K5" t="n">
        <v>184834</v>
      </c>
      <c r="L5" t="n">
        <v>0</v>
      </c>
      <c r="N5" t="n">
        <v>187296</v>
      </c>
      <c r="O5" t="n">
        <v>21500</v>
      </c>
    </row>
    <row r="6" ht="21.95" customHeight="1" s="106">
      <c r="B6" s="46" t="inlineStr">
        <is>
          <t>TOTAL DEMURRAGE</t>
        </is>
      </c>
      <c r="C6" s="155" t="n"/>
      <c r="D6" s="46" t="inlineStr">
        <is>
          <t>TRIPS</t>
        </is>
      </c>
      <c r="E6" s="155" t="n"/>
      <c r="F6" s="46" t="inlineStr">
        <is>
          <t>IN DEMURRAGE</t>
        </is>
      </c>
      <c r="G6" s="155" t="n"/>
      <c r="H6" s="46" t="inlineStr">
        <is>
          <t>AVG / TRIP</t>
        </is>
      </c>
      <c r="I6" s="155" t="n"/>
      <c r="K6" t="n">
        <v>187293</v>
      </c>
      <c r="L6" t="n">
        <v>50750</v>
      </c>
      <c r="N6" t="n">
        <v>184752</v>
      </c>
      <c r="O6" t="n">
        <v>5500</v>
      </c>
    </row>
    <row r="7">
      <c r="B7" s="160">
        <f>SUM(Trips[Demurrage (USD)])</f>
        <v/>
      </c>
      <c r="C7" s="157" t="n"/>
      <c r="D7" s="161">
        <f>ROWS(Trips[Deal No.])</f>
        <v/>
      </c>
      <c r="E7" s="157" t="n"/>
      <c r="F7" s="161">
        <f>COUNTIF(Trips[Status],"DEMURRAGE")</f>
        <v/>
      </c>
      <c r="G7" s="157" t="n"/>
      <c r="H7" s="160">
        <f>IFERROR(SUM(Trips[Demurrage (USD)])/ROWS(Trips[Deal No.]),0)</f>
        <v/>
      </c>
      <c r="I7" s="157" t="n"/>
      <c r="K7" t="n">
        <v>187296</v>
      </c>
      <c r="L7" t="n">
        <v>21500</v>
      </c>
      <c r="N7" t="n">
        <v>184182</v>
      </c>
      <c r="O7" t="n">
        <v>3250</v>
      </c>
    </row>
    <row r="8">
      <c r="B8" s="158" t="n"/>
      <c r="C8" s="159" t="n"/>
      <c r="D8" s="158" t="n"/>
      <c r="E8" s="159" t="n"/>
      <c r="F8" s="158" t="n"/>
      <c r="G8" s="159" t="n"/>
      <c r="H8" s="158" t="n"/>
      <c r="I8" s="159" t="n"/>
      <c r="K8" t="n">
        <v>189084</v>
      </c>
      <c r="L8" t="n">
        <v>500</v>
      </c>
      <c r="N8" t="n">
        <v>189084</v>
      </c>
      <c r="O8" t="n">
        <v>500</v>
      </c>
    </row>
    <row r="9">
      <c r="K9" t="n">
        <v>190261</v>
      </c>
      <c r="L9" t="n">
        <v>0</v>
      </c>
      <c r="N9" t="n">
        <v>184834</v>
      </c>
      <c r="O9" t="n">
        <v>0</v>
      </c>
    </row>
    <row r="10" ht="21.95" customHeight="1" s="106">
      <c r="B10" s="46" t="inlineStr">
        <is>
          <t>INVOICED</t>
        </is>
      </c>
      <c r="C10" s="155" t="n"/>
      <c r="D10" s="46" t="inlineStr">
        <is>
          <t>PAID</t>
        </is>
      </c>
      <c r="E10" s="155" t="n"/>
      <c r="F10" s="46" t="inlineStr">
        <is>
          <t>OUTSTANDING</t>
        </is>
      </c>
      <c r="G10" s="155" t="n"/>
      <c r="H10" s="46" t="inlineStr">
        <is>
          <t>OVERDUE</t>
        </is>
      </c>
      <c r="I10" s="155" t="n"/>
      <c r="K10" t="n">
        <v>190664</v>
      </c>
      <c r="L10" t="n">
        <v>24250</v>
      </c>
      <c r="N10" t="n">
        <v>190261</v>
      </c>
      <c r="O10" t="n">
        <v>0</v>
      </c>
    </row>
    <row r="11">
      <c r="B11" s="160">
        <f>SUMIFS(Claims[Amount (USD)],Claims[Status],"Sent")+SUMIFS(Claims[Amount (USD)],Claims[Status],"Paid")</f>
        <v/>
      </c>
      <c r="C11" s="157" t="n"/>
      <c r="D11" s="160">
        <f>SUMIF(Claims[Status],"Paid",Claims[Amount (USD)])</f>
        <v/>
      </c>
      <c r="E11" s="157" t="n"/>
      <c r="F11" s="160">
        <f>SUMIF(Claims[Status],"Sent",Claims[Amount (USD)])</f>
        <v/>
      </c>
      <c r="G11" s="157" t="n"/>
      <c r="H11" s="160">
        <f>SUMIFS(Claims[Amount (USD)],Claims[Status],"Sent",Claims[Days Overdue],"&gt;0")</f>
        <v/>
      </c>
      <c r="I11" s="157" t="n"/>
      <c r="K11" t="n">
        <v>191610</v>
      </c>
      <c r="L11" t="n">
        <v>0</v>
      </c>
      <c r="N11" t="n">
        <v>191610</v>
      </c>
      <c r="O11" t="n">
        <v>0</v>
      </c>
    </row>
    <row r="12">
      <c r="B12" s="158" t="n"/>
      <c r="C12" s="159" t="n"/>
      <c r="D12" s="158" t="n"/>
      <c r="E12" s="159" t="n"/>
      <c r="F12" s="158" t="n"/>
      <c r="G12" s="159" t="n"/>
      <c r="H12" s="158" t="n"/>
      <c r="I12" s="159" t="n"/>
    </row>
    <row r="14" ht="24" customHeight="1" s="106">
      <c r="B14" s="45" t="inlineStr">
        <is>
          <t>BY CONSIGNEE</t>
        </is>
      </c>
      <c r="F14" s="45" t="inlineStr">
        <is>
          <t>TOP DEALS BY DEMURRAGE</t>
        </is>
      </c>
    </row>
    <row r="15" ht="21.95" customHeight="1" s="106">
      <c r="B15" s="63" t="inlineStr">
        <is>
          <t>Consignee</t>
        </is>
      </c>
      <c r="C15" s="64" t="inlineStr">
        <is>
          <t>Trips</t>
        </is>
      </c>
      <c r="D15" s="64" t="inlineStr">
        <is>
          <t>Total Demurrage</t>
        </is>
      </c>
      <c r="E15" s="64" t="inlineStr">
        <is>
          <t>Avg / Trip</t>
        </is>
      </c>
      <c r="F15" s="63" t="inlineStr">
        <is>
          <t>Deal No.</t>
        </is>
      </c>
      <c r="G15" s="66" t="inlineStr">
        <is>
          <t>Consignee</t>
        </is>
      </c>
      <c r="H15" s="64" t="inlineStr">
        <is>
          <t>Trips</t>
        </is>
      </c>
      <c r="I15" s="68" t="inlineStr">
        <is>
          <t>Demurrage</t>
        </is>
      </c>
    </row>
    <row r="16">
      <c r="B16" s="6">
        <f t="array" ref="B16:B18">IFERROR(_xlfn._xlws.SORT(_xlfn.UNIQUE(_xlfn._xlws.FILTER(Trips[Consignee],Trips[Consignee]&lt;&gt;""))),"")</f>
        <v/>
      </c>
      <c r="C16" s="162">
        <f t="array" ref="C16:C18">IF(_xlfn.ANCHORARRAY(B16)="","",COUNTIF(Trips[Consignee],_xlfn.ANCHORARRAY(B16)))</f>
        <v/>
      </c>
      <c r="D16" s="163">
        <f t="array" ref="D16:D18">IF(_xlfn.ANCHORARRAY(B16)="","",SUMIF(Trips[Consignee],_xlfn.ANCHORARRAY(B16),Trips[Demurrage (USD)]))</f>
        <v/>
      </c>
      <c r="E16" s="163">
        <f t="array" ref="E16:E18">IF(_xlfn.ANCHORARRAY(B16)="","",IFERROR(SUMIF(Trips[Consignee],_xlfn.ANCHORARRAY(B16),Trips[Demurrage (USD)])/COUNTIF(Trips[Consignee],_xlfn.ANCHORARRAY(B16)),0))</f>
        <v/>
      </c>
      <c r="F16" s="6">
        <f>IFERROR(INDEX(_xlfn.ANCHORARRAY($N$3),1),"")</f>
        <v/>
      </c>
      <c r="G16" s="164">
        <f>IFERROR(IF(F16="","",VLOOKUP(F16,Deals[#All],2,FALSE)),"")</f>
        <v/>
      </c>
      <c r="H16" s="162">
        <f>IF(F16="","",COUNTIF(Trips[Deal No.],F16))</f>
        <v/>
      </c>
      <c r="I16" s="163">
        <f>IF(F16="","",SUMIF(Trips[Deal No.],F16,Trips[Demurrage (USD)]))</f>
        <v/>
      </c>
    </row>
    <row r="17">
      <c r="B17" s="8" t="inlineStr">
        <is>
          <t>Reliance Energy Zambia</t>
        </is>
      </c>
      <c r="C17" s="165" t="n">
        <v>4</v>
      </c>
      <c r="D17" s="166" t="n">
        <v>0</v>
      </c>
      <c r="E17" s="166" t="n">
        <v>0</v>
      </c>
      <c r="F17" s="6">
        <f>IFERROR(INDEX(_xlfn.ANCHORARRAY($N$3),2),"")</f>
        <v/>
      </c>
      <c r="G17" s="164">
        <f>IFERROR(IF(F17="","",VLOOKUP(F17,Deals[#All],2,FALSE)),"")</f>
        <v/>
      </c>
      <c r="H17" s="162">
        <f>IF(F17="","",COUNTIF(Trips[Deal No.],F17))</f>
        <v/>
      </c>
      <c r="I17" s="163">
        <f>IF(F17="","",SUMIF(Trips[Deal No.],F17,Trips[Demurrage (USD)]))</f>
        <v/>
      </c>
    </row>
    <row r="18">
      <c r="B18" s="6" t="inlineStr">
        <is>
          <t>Rubis Energy Zambia</t>
        </is>
      </c>
      <c r="C18" s="164" t="n">
        <v>88</v>
      </c>
      <c r="D18" s="163" t="n">
        <v>55000</v>
      </c>
      <c r="E18" s="163" t="n">
        <v>625</v>
      </c>
      <c r="F18" s="6">
        <f>IFERROR(INDEX(_xlfn.ANCHORARRAY($N$3),3),"")</f>
        <v/>
      </c>
      <c r="G18" s="164">
        <f>IFERROR(IF(F18="","",VLOOKUP(F18,Deals[#All],2,FALSE)),"")</f>
        <v/>
      </c>
      <c r="H18" s="162">
        <f>IF(F18="","",COUNTIF(Trips[Deal No.],F18))</f>
        <v/>
      </c>
      <c r="I18" s="163">
        <f>IF(F18="","",SUMIF(Trips[Deal No.],F18,Trips[Demurrage (USD)]))</f>
        <v/>
      </c>
    </row>
    <row r="19">
      <c r="B19" s="8" t="n"/>
      <c r="C19" s="165" t="n"/>
      <c r="D19" s="166" t="n"/>
      <c r="E19" s="166" t="n"/>
      <c r="F19" s="6">
        <f>IFERROR(INDEX(_xlfn.ANCHORARRAY($N$3),4),"")</f>
        <v/>
      </c>
      <c r="G19" s="164">
        <f>IFERROR(IF(F19="","",VLOOKUP(F19,Deals[#All],2,FALSE)),"")</f>
        <v/>
      </c>
      <c r="H19" s="162">
        <f>IF(F19="","",COUNTIF(Trips[Deal No.],F19))</f>
        <v/>
      </c>
      <c r="I19" s="163">
        <f>IF(F19="","",SUMIF(Trips[Deal No.],F19,Trips[Demurrage (USD)]))</f>
        <v/>
      </c>
    </row>
    <row r="20">
      <c r="B20" s="6" t="n"/>
      <c r="C20" s="164" t="n"/>
      <c r="D20" s="163" t="n"/>
      <c r="E20" s="163" t="n"/>
      <c r="F20" s="6">
        <f>IFERROR(INDEX(_xlfn.ANCHORARRAY($N$3),5),"")</f>
        <v/>
      </c>
      <c r="G20" s="164">
        <f>IFERROR(IF(F20="","",VLOOKUP(F20,Deals[#All],2,FALSE)),"")</f>
        <v/>
      </c>
      <c r="H20" s="162">
        <f>IF(F20="","",COUNTIF(Trips[Deal No.],F20))</f>
        <v/>
      </c>
      <c r="I20" s="163">
        <f>IF(F20="","",SUMIF(Trips[Deal No.],F20,Trips[Demurrage (USD)]))</f>
        <v/>
      </c>
    </row>
    <row r="21">
      <c r="B21" s="8" t="n"/>
      <c r="C21" s="165" t="n"/>
      <c r="D21" s="166" t="n"/>
      <c r="E21" s="166" t="n"/>
      <c r="F21" s="6">
        <f>IFERROR(INDEX(_xlfn.ANCHORARRAY($N$3),6),"")</f>
        <v/>
      </c>
      <c r="G21" s="164">
        <f>IFERROR(IF(F21="","",VLOOKUP(F21,Deals[#All],2,FALSE)),"")</f>
        <v/>
      </c>
      <c r="H21" s="162">
        <f>IF(F21="","",COUNTIF(Trips[Deal No.],F21))</f>
        <v/>
      </c>
      <c r="I21" s="163">
        <f>IF(F21="","",SUMIF(Trips[Deal No.],F21,Trips[Demurrage (USD)]))</f>
        <v/>
      </c>
    </row>
    <row r="22">
      <c r="B22" s="104" t="n"/>
      <c r="C22" s="167" t="n"/>
      <c r="D22" s="168" t="n"/>
      <c r="E22" s="168" t="n"/>
      <c r="F22" s="6">
        <f>IFERROR(INDEX(_xlfn.ANCHORARRAY($N$3),7),"")</f>
        <v/>
      </c>
      <c r="G22" s="164">
        <f>IFERROR(IF(F22="","",VLOOKUP(F22,Deals[#All],2,FALSE)),"")</f>
        <v/>
      </c>
      <c r="H22" s="162">
        <f>IF(F22="","",COUNTIF(Trips[Deal No.],F22))</f>
        <v/>
      </c>
      <c r="I22" s="163">
        <f>IF(F22="","",SUMIF(Trips[Deal No.],F22,Trips[Demurrage (USD)]))</f>
        <v/>
      </c>
    </row>
    <row r="23">
      <c r="F23" s="6">
        <f>IFERROR(INDEX(_xlfn.ANCHORARRAY($N$3),8),"")</f>
        <v/>
      </c>
      <c r="G23" s="164">
        <f>IFERROR(IF(F23="","",VLOOKUP(F23,Deals[#All],2,FALSE)),"")</f>
        <v/>
      </c>
      <c r="H23" s="162">
        <f>IF(F23="","",COUNTIF(Trips[Deal No.],F23))</f>
        <v/>
      </c>
      <c r="I23" s="163">
        <f>IF(F23="","",SUMIF(Trips[Deal No.],F23,Trips[Demurrage (USD)]))</f>
        <v/>
      </c>
    </row>
    <row r="24">
      <c r="F24" s="6">
        <f>IFERROR(INDEX(_xlfn.ANCHORARRAY($N$3),9),"")</f>
        <v/>
      </c>
      <c r="G24" s="164">
        <f>IFERROR(IF(F24="","",VLOOKUP(F24,Deals[#All],2,FALSE)),"")</f>
        <v/>
      </c>
      <c r="H24" s="162">
        <f>IF(F24="","",COUNTIF(Trips[Deal No.],F24))</f>
        <v/>
      </c>
      <c r="I24" s="163">
        <f>IF(F24="","",SUMIF(Trips[Deal No.],F24,Trips[Demurrage (USD)]))</f>
        <v/>
      </c>
    </row>
    <row r="25" ht="24" customHeight="1" s="106">
      <c r="B25" s="45" t="inlineStr">
        <is>
          <t>BY TRANSPORTER</t>
        </is>
      </c>
      <c r="F25" s="6">
        <f>IFERROR(INDEX(_xlfn.ANCHORARRAY($N$3),10),"")</f>
        <v/>
      </c>
      <c r="G25" s="164">
        <f>IFERROR(IF(F25="","",VLOOKUP(F25,Deals[#All],2,FALSE)),"")</f>
        <v/>
      </c>
      <c r="H25" s="162">
        <f>IF(F25="","",COUNTIF(Trips[Deal No.],F25))</f>
        <v/>
      </c>
      <c r="I25" s="163">
        <f>IF(F25="","",SUMIF(Trips[Deal No.],F25,Trips[Demurrage (USD)]))</f>
        <v/>
      </c>
    </row>
    <row r="26" ht="21.95" customHeight="1" s="106">
      <c r="B26" s="63" t="inlineStr">
        <is>
          <t>Transporter</t>
        </is>
      </c>
      <c r="C26" s="64" t="inlineStr">
        <is>
          <t>Trips</t>
        </is>
      </c>
      <c r="D26" s="64" t="inlineStr">
        <is>
          <t>Total Demurrage</t>
        </is>
      </c>
      <c r="E26" s="64" t="inlineStr">
        <is>
          <t>Avg / Trip</t>
        </is>
      </c>
    </row>
    <row r="27">
      <c r="B27" s="6">
        <f t="array" ref="B27:B31">IFERROR(_xlfn._xlws.SORT(_xlfn.UNIQUE(_xlfn._xlws.FILTER(Trips[Transporter],Trips[Transporter]&lt;&gt;""))),"")</f>
        <v/>
      </c>
      <c r="C27" s="162">
        <f t="array" ref="C27:C31">IF(_xlfn.ANCHORARRAY(B27)="","",COUNTIF(Trips[Transporter],_xlfn.ANCHORARRAY(B27)))</f>
        <v/>
      </c>
      <c r="D27" s="163">
        <f t="array" ref="D27:D31">IF(_xlfn.ANCHORARRAY(B27)="","",SUMIF(Trips[Transporter],_xlfn.ANCHORARRAY(B27),Trips[Demurrage (USD)]))</f>
        <v/>
      </c>
      <c r="E27" s="163">
        <f t="array" ref="E27:E31">IF(_xlfn.ANCHORARRAY(B27)="","",IFERROR(SUMIF(Trips[Transporter],_xlfn.ANCHORARRAY(B27),Trips[Demurrage (USD)])/COUNTIF(Trips[Transporter],_xlfn.ANCHORARRAY(B27)),0))</f>
        <v/>
      </c>
    </row>
    <row r="28" ht="24" customHeight="1" s="106">
      <c r="B28" s="8" t="inlineStr">
        <is>
          <t>PETRODA</t>
        </is>
      </c>
      <c r="C28" s="165" t="n">
        <v>64</v>
      </c>
      <c r="D28" s="166" t="n">
        <v>59500</v>
      </c>
      <c r="E28" s="166" t="n">
        <v>929.6875</v>
      </c>
      <c r="F28" s="45" t="inlineStr">
        <is>
          <t>CLAIMS AGING</t>
        </is>
      </c>
    </row>
    <row r="29" ht="21.95" customHeight="1" s="106">
      <c r="B29" s="6" t="inlineStr">
        <is>
          <t>TRANSIR</t>
        </is>
      </c>
      <c r="C29" s="164" t="n">
        <v>10</v>
      </c>
      <c r="D29" s="163" t="n">
        <v>24500</v>
      </c>
      <c r="E29" s="163" t="n">
        <v>2450</v>
      </c>
      <c r="F29" s="63" t="inlineStr">
        <is>
          <t>Bucket</t>
        </is>
      </c>
      <c r="G29" s="64" t="inlineStr">
        <is>
          <t>Claims</t>
        </is>
      </c>
      <c r="H29" s="68" t="inlineStr">
        <is>
          <t>Amount</t>
        </is>
      </c>
    </row>
    <row r="30">
      <c r="B30" s="8" t="inlineStr">
        <is>
          <t>TRUCKEAZE</t>
        </is>
      </c>
      <c r="C30" s="165" t="n">
        <v>13</v>
      </c>
      <c r="D30" s="166" t="n">
        <v>3250</v>
      </c>
      <c r="E30" s="166" t="n">
        <v>250</v>
      </c>
      <c r="F30" s="102" t="inlineStr">
        <is>
          <t>Current</t>
        </is>
      </c>
      <c r="G30" s="162">
        <f>COUNTIFS(Claims[Aging],F30)</f>
        <v/>
      </c>
      <c r="H30" s="163">
        <f>SUMIFS(Claims[Amount (USD)],Claims[Aging],F30)</f>
        <v/>
      </c>
    </row>
    <row r="31">
      <c r="B31" s="6" t="inlineStr">
        <is>
          <t>WHC</t>
        </is>
      </c>
      <c r="C31" s="164" t="n">
        <v>10</v>
      </c>
      <c r="D31" s="163" t="n">
        <v>5500</v>
      </c>
      <c r="E31" s="163" t="n">
        <v>550</v>
      </c>
      <c r="F31" s="103" t="inlineStr">
        <is>
          <t>1-30</t>
        </is>
      </c>
      <c r="G31" s="169">
        <f>COUNTIFS(Claims[Aging],F31)</f>
        <v/>
      </c>
      <c r="H31" s="166">
        <f>SUMIFS(Claims[Amount (USD)],Claims[Aging],F31)</f>
        <v/>
      </c>
    </row>
    <row r="32">
      <c r="B32" s="104" t="n"/>
      <c r="C32" s="167" t="n"/>
      <c r="D32" s="168" t="n"/>
      <c r="E32" s="168" t="n"/>
      <c r="F32" s="102" t="inlineStr">
        <is>
          <t>31-60</t>
        </is>
      </c>
      <c r="G32" s="162">
        <f>COUNTIFS(Claims[Aging],F32)</f>
        <v/>
      </c>
      <c r="H32" s="163">
        <f>SUMIFS(Claims[Amount (USD)],Claims[Aging],F32)</f>
        <v/>
      </c>
    </row>
    <row r="33">
      <c r="D33" s="170" t="n"/>
      <c r="E33" s="170" t="n"/>
      <c r="F33" s="103" t="inlineStr">
        <is>
          <t>61-90</t>
        </is>
      </c>
      <c r="G33" s="169">
        <f>COUNTIFS(Claims[Aging],F33)</f>
        <v/>
      </c>
      <c r="H33" s="166">
        <f>SUMIFS(Claims[Amount (USD)],Claims[Aging],F33)</f>
        <v/>
      </c>
    </row>
    <row r="34">
      <c r="F34" s="102" t="inlineStr">
        <is>
          <t>90+</t>
        </is>
      </c>
      <c r="G34" s="162">
        <f>COUNTIFS(Claims[Aging],F34)</f>
        <v/>
      </c>
      <c r="H34" s="163">
        <f>SUMIFS(Claims[Amount (USD)],Claims[Aging],F34)</f>
        <v/>
      </c>
    </row>
    <row r="35" ht="24" customHeight="1" s="106">
      <c r="B35" s="45" t="inlineStr">
        <is>
          <t>BY MONTH (LOADING)</t>
        </is>
      </c>
      <c r="F35" s="10" t="inlineStr">
        <is>
          <t>TOTAL</t>
        </is>
      </c>
      <c r="G35" s="171">
        <f>SUM(G30:G34)</f>
        <v/>
      </c>
      <c r="H35" s="172">
        <f>SUM(H30:H34)</f>
        <v/>
      </c>
    </row>
    <row r="36" ht="21.95" customHeight="1" s="106">
      <c r="B36" s="63" t="inlineStr">
        <is>
          <t>Month</t>
        </is>
      </c>
      <c r="C36" s="64" t="inlineStr">
        <is>
          <t>Trips</t>
        </is>
      </c>
      <c r="D36" s="64" t="inlineStr">
        <is>
          <t>Total Demurrage</t>
        </is>
      </c>
      <c r="E36" s="64" t="inlineStr">
        <is>
          <t>Avg / Trip</t>
        </is>
      </c>
    </row>
    <row r="37">
      <c r="B37" s="6">
        <f t="array" ref="B37:B41">IFERROR(_xlfn._xlws.SORT(_xlfn.UNIQUE(_xlfn._xlws.FILTER(Trips[Month],Trips[Month]&lt;&gt;""))),"")</f>
        <v/>
      </c>
      <c r="C37" s="162">
        <f t="array" ref="C37:C41">IF(_xlfn.ANCHORARRAY(B37)="","",COUNTIF(Trips[Month],_xlfn.ANCHORARRAY(B37)))</f>
        <v/>
      </c>
      <c r="D37" s="163">
        <f t="array" ref="D37:D41">IF(_xlfn.ANCHORARRAY(B37)="","",SUMIF(Trips[Month],_xlfn.ANCHORARRAY(B37),Trips[Demurrage (USD)]))</f>
        <v/>
      </c>
      <c r="E37" s="163">
        <f t="array" ref="E37:E41">IF(_xlfn.ANCHORARRAY(B37)="","",IFERROR(SUMIF(Trips[Month],_xlfn.ANCHORARRAY(B37),Trips[Demurrage (USD)])/COUNTIF(Trips[Month],_xlfn.ANCHORARRAY(B37)),0))</f>
        <v/>
      </c>
    </row>
    <row r="38">
      <c r="B38" s="8" t="inlineStr">
        <is>
          <t>2026-02</t>
        </is>
      </c>
      <c r="C38" s="165" t="n">
        <v>24</v>
      </c>
      <c r="D38" s="166" t="n">
        <v>34500</v>
      </c>
      <c r="E38" s="166" t="n">
        <v>1437.5</v>
      </c>
    </row>
    <row r="39">
      <c r="B39" s="6" t="inlineStr">
        <is>
          <t>2026-03</t>
        </is>
      </c>
      <c r="C39" s="164" t="n">
        <v>29</v>
      </c>
      <c r="D39" s="163" t="n">
        <v>38250</v>
      </c>
      <c r="E39" s="163" t="n">
        <v>1318.965517241379</v>
      </c>
    </row>
    <row r="40">
      <c r="B40" s="8" t="inlineStr">
        <is>
          <t>2026-04</t>
        </is>
      </c>
      <c r="C40" s="165" t="n">
        <v>27</v>
      </c>
      <c r="D40" s="166" t="n">
        <v>24250</v>
      </c>
      <c r="E40" s="166" t="n">
        <v>898.1481481481482</v>
      </c>
    </row>
    <row r="41">
      <c r="B41" s="6" t="inlineStr">
        <is>
          <t>2026-05</t>
        </is>
      </c>
      <c r="C41" s="164" t="n">
        <v>24</v>
      </c>
      <c r="D41" s="163" t="n">
        <v>0</v>
      </c>
      <c r="E41" s="163" t="n">
        <v>0</v>
      </c>
    </row>
    <row r="42">
      <c r="B42" s="104" t="n"/>
      <c r="C42" s="167" t="n"/>
      <c r="D42" s="168" t="n"/>
      <c r="E42" s="168" t="n"/>
    </row>
    <row r="43">
      <c r="D43" s="170" t="n"/>
      <c r="E43" s="170" t="n"/>
    </row>
    <row r="44">
      <c r="D44" s="170" t="n"/>
      <c r="E44" s="170" t="n"/>
    </row>
    <row r="45">
      <c r="D45" s="170" t="n"/>
      <c r="E45" s="170" t="n"/>
    </row>
  </sheetData>
  <mergeCells count="22">
    <mergeCell ref="D10:E10"/>
    <mergeCell ref="D7:E8"/>
    <mergeCell ref="F10:G10"/>
    <mergeCell ref="H10:I10"/>
    <mergeCell ref="H7:I8"/>
    <mergeCell ref="B3:I3"/>
    <mergeCell ref="F6:G6"/>
    <mergeCell ref="F14:I14"/>
    <mergeCell ref="D6:E6"/>
    <mergeCell ref="H6:I6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</mergeCell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FFF5A623"/>
    <outlinePr summaryBelow="1" summaryRight="1"/>
    <pageSetUpPr fitToPage="1"/>
  </sheetPr>
  <dimension ref="B2:J50"/>
  <sheetViews>
    <sheetView showGridLines="0" showRowColHeaders="0" workbookViewId="0">
      <selection activeCell="F29" sqref="F29"/>
    </sheetView>
  </sheetViews>
  <sheetFormatPr baseColWidth="8" defaultRowHeight="15"/>
  <cols>
    <col width="2.28515625" customWidth="1" style="106" min="1" max="1"/>
    <col width="18.140625" customWidth="1" style="106" min="2" max="2"/>
    <col width="11" customWidth="1" style="106" min="3" max="7"/>
    <col width="18.140625" customWidth="1" style="106" min="8" max="8"/>
    <col width="21" customWidth="1" style="106" min="9" max="9"/>
    <col width="11" customWidth="1" style="106" min="10" max="10"/>
    <col width="2" customWidth="1" style="106" min="11" max="11"/>
  </cols>
  <sheetData>
    <row r="1" ht="18" customHeight="1" s="106"/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6" t="inlineStr">
        <is>
          <t>📑 Deals</t>
        </is>
      </c>
      <c r="G2" s="124" t="inlineStr">
        <is>
          <t>💰 Invoice</t>
        </is>
      </c>
      <c r="H2" s="125" t="inlineStr">
        <is>
          <t>📎 Annex</t>
        </is>
      </c>
    </row>
    <row r="3" ht="18" customHeight="1" s="106">
      <c r="F3" s="58">
        <f>COMPANY_TRADING</f>
        <v/>
      </c>
    </row>
    <row r="4" ht="18" customHeight="1" s="106"/>
    <row r="5" ht="18" customHeight="1" s="106"/>
    <row r="6" ht="18" customHeight="1" s="106"/>
    <row r="7" ht="6" customHeight="1" s="106">
      <c r="B7" s="11" t="n"/>
      <c r="C7" s="11" t="n"/>
      <c r="D7" s="11" t="n"/>
      <c r="E7" s="11" t="n"/>
      <c r="F7" s="11" t="n"/>
      <c r="G7" s="11" t="n"/>
      <c r="H7" s="11" t="n"/>
      <c r="I7" s="11" t="n"/>
      <c r="J7" s="11" t="n"/>
    </row>
    <row r="9">
      <c r="B9" s="12" t="inlineStr">
        <is>
          <t>FROM:</t>
        </is>
      </c>
      <c r="F9" s="12" t="inlineStr">
        <is>
          <t>TO:</t>
        </is>
      </c>
    </row>
    <row r="10" ht="15.75" customHeight="1" s="106">
      <c r="B10" s="62">
        <f>COMPANY_NAME</f>
        <v/>
      </c>
      <c r="F10" s="62">
        <f>IFERROR(VLOOKUP(INV_CLAIM,Claims[#All],4,FALSE),"")</f>
        <v/>
      </c>
    </row>
    <row r="11" ht="14.1" customHeight="1" s="106">
      <c r="B11" s="50">
        <f>COMPANY_ADDR</f>
        <v/>
      </c>
      <c r="F11" s="50">
        <f>IFERROR(VLOOKUP(INV_CLAIM,Claims[#All],5,FALSE),"")</f>
        <v/>
      </c>
    </row>
    <row r="12" ht="14.1" customHeight="1" s="106"/>
    <row r="13" ht="14.1" customHeight="1" s="106"/>
    <row r="14">
      <c r="B14" s="51">
        <f>"VAT/Reg.: "&amp;COMPANY_VAT</f>
        <v/>
      </c>
    </row>
    <row r="16" ht="18" customHeight="1" s="106">
      <c r="B16" s="48" t="inlineStr">
        <is>
          <t>INVOICE No.</t>
        </is>
      </c>
      <c r="C16" s="155" t="n"/>
      <c r="D16" s="48" t="inlineStr">
        <is>
          <t>DATE</t>
        </is>
      </c>
      <c r="E16" s="155" t="n"/>
      <c r="F16" s="48" t="inlineStr">
        <is>
          <t>DEAL REF</t>
        </is>
      </c>
      <c r="G16" s="155" t="n"/>
      <c r="H16" s="48" t="inlineStr">
        <is>
          <t>PRODUCT</t>
        </is>
      </c>
      <c r="I16" s="155" t="n"/>
    </row>
    <row r="17" ht="21.95" customHeight="1" s="106">
      <c r="B17" s="59">
        <f>INV_CLAIM</f>
        <v/>
      </c>
      <c r="C17" s="155" t="n"/>
      <c r="D17" s="173">
        <f>IFERROR(VLOOKUP(INV_CLAIM,Claims[#All],2,FALSE),TODAY())</f>
        <v/>
      </c>
      <c r="E17" s="155" t="n"/>
      <c r="F17" s="59">
        <f>IFERROR(VLOOKUP(INV_CLAIM,Claims[#All],3,FALSE),"")</f>
        <v/>
      </c>
      <c r="G17" s="155" t="n"/>
      <c r="H17" s="59">
        <f>IFERROR(VLOOKUP(IFERROR(VLOOKUP(INV_CLAIM,Claims[#All],3,FALSE),0),Deals[#All],6,FALSE),"")</f>
        <v/>
      </c>
      <c r="I17" s="155" t="n"/>
    </row>
    <row r="18" ht="8.1" customHeight="1" s="106"/>
    <row r="19">
      <c r="B19" s="132" t="inlineStr">
        <is>
          <t>CLAIM No.  (click ▼)</t>
        </is>
      </c>
      <c r="F19" s="49" t="inlineStr">
        <is>
          <t>PERIOD</t>
        </is>
      </c>
      <c r="H19" s="49" t="inlineStr">
        <is>
          <t>LAYTIME</t>
        </is>
      </c>
      <c r="I19" s="49" t="n"/>
    </row>
    <row r="20" ht="24" customHeight="1" s="106">
      <c r="B20" s="53" t="inlineStr">
        <is>
          <t>187296-DEM</t>
        </is>
      </c>
      <c r="C20" s="174" t="n"/>
      <c r="F20" s="52">
        <f>TEXT(IFERROR(VLOOKUP(INV_CLAIM,Claims[#All],6,FALSE),""),"dd-mmm")&amp;" → "&amp;TEXT(IFERROR(VLOOKUP(INV_CLAIM,Claims[#All],7,FALSE),""),"dd-mmm")</f>
        <v/>
      </c>
      <c r="H20" s="52">
        <f>IFERROR(VLOOKUP(IFERROR(VLOOKUP(INV_CLAIM,Claims[#All],3,FALSE),0),Deals[#All],7,FALSE),DEF_LAYTIME)&amp;" d"</f>
        <v/>
      </c>
      <c r="I20" s="52" t="n"/>
    </row>
    <row r="22" ht="24" customHeight="1" s="106">
      <c r="B22" s="175">
        <f>"SUBJECT:  Demurrage charges — Deal "&amp;IFERROR(VLOOKUP(INV_CLAIM,Claims[#All],3,FALSE),"")&amp;" — "&amp;IFERROR(VLOOKUP(INV_CLAIM,Claims[#All],4,FALSE),"")</f>
        <v/>
      </c>
      <c r="C22" s="176" t="n"/>
      <c r="D22" s="176" t="n"/>
      <c r="E22" s="176" t="n"/>
      <c r="F22" s="176" t="n"/>
      <c r="G22" s="176" t="n"/>
      <c r="H22" s="176" t="n"/>
      <c r="I22" s="176" t="n"/>
      <c r="J22" s="155" t="n"/>
    </row>
    <row r="24" ht="21.95" customHeight="1" s="106">
      <c r="B24" s="90" t="inlineStr">
        <is>
          <t>DEMURRAGE SUMMARY</t>
        </is>
      </c>
    </row>
    <row r="25" ht="26.1" customHeight="1" s="106">
      <c r="B25" s="92" t="inlineStr">
        <is>
          <t>Per-trip detail is set out in the Annex on the following page.</t>
        </is>
      </c>
    </row>
    <row r="26" ht="14.1" customHeight="1" s="106"/>
    <row r="27" ht="14.1" customHeight="1" s="106">
      <c r="B27" s="93" t="inlineStr">
        <is>
          <t>TRIPS</t>
        </is>
      </c>
      <c r="D27" s="93" t="inlineStr">
        <is>
          <t>EXCESS DAYS</t>
        </is>
      </c>
      <c r="F27" s="93" t="inlineStr">
        <is>
          <t>RATE</t>
        </is>
      </c>
      <c r="H27" s="93" t="inlineStr">
        <is>
          <t>AVG / TRIP</t>
        </is>
      </c>
    </row>
    <row r="28" ht="32.1" customHeight="1" s="106">
      <c r="B28" s="94">
        <f>COUNTIF(Trips[Claim No.],INV_CLAIM)</f>
        <v/>
      </c>
      <c r="D28" s="177">
        <f>SUMIFS(Trips[Excess (d)],Trips[Claim No.],INV_CLAIM)</f>
        <v/>
      </c>
      <c r="F28" s="74">
        <f>"$" &amp; TEXT(IFERROR(VLOOKUP(IFERROR(VLOOKUP(INV_CLAIM,Claims[#All],3,FALSE),0),Deals[#All],8,FALSE),DEF_RATE),"#,##0") &amp; " / d"</f>
        <v/>
      </c>
      <c r="H28" s="178">
        <f>IFERROR(SUMIF(Trips[Claim No.],INV_CLAIM,Trips[Demurrage (USD)])/COUNTIF(Trips[Claim No.],INV_CLAIM),0)</f>
        <v/>
      </c>
    </row>
    <row r="29" ht="14.1" customHeight="1" s="106"/>
    <row r="30" ht="14.1" customHeight="1" s="106"/>
    <row r="31" ht="14.1" customHeight="1" s="106">
      <c r="F31" s="98" t="inlineStr">
        <is>
          <t>Subtotal (USD)</t>
        </is>
      </c>
      <c r="G31" s="179" t="n"/>
      <c r="H31" s="179" t="n"/>
      <c r="I31" s="180">
        <f>SUMIF(Trips[Claim No.],INV_CLAIM,Trips[Demurrage (USD)])</f>
        <v/>
      </c>
    </row>
    <row r="32" ht="14.1" customHeight="1" s="106">
      <c r="F32" s="96">
        <f>"VAT (" &amp; TEXT(VAT_RATE,"0%") &amp; ")"</f>
        <v/>
      </c>
      <c r="I32" s="181">
        <f>SUMIF(Trips[Claim No.],INV_CLAIM,Trips[Demurrage (USD)])*VAT_RATE</f>
        <v/>
      </c>
    </row>
    <row r="33" ht="14.1" customHeight="1" s="106"/>
    <row r="34" ht="42" customHeight="1" s="106">
      <c r="F34" s="97" t="inlineStr">
        <is>
          <t>TOTAL DUE</t>
        </is>
      </c>
      <c r="I34" s="182">
        <f>ROUND(SUMIF(Trips[Claim No.],INV_CLAIM,Trips[Demurrage (USD)])*(1+VAT_RATE),2)</f>
        <v/>
      </c>
    </row>
    <row r="35" ht="14.1" customHeight="1" s="106"/>
    <row r="36" ht="14.1" customHeight="1" s="106">
      <c r="B36" s="152">
        <f>HYPERLINK("mailto:"&amp;IF(LEFT(IFERROR(VLOOKUP(IFERROR(VLOOKUP(INV_CLAIM,Claims[#All],4,FALSE),""),Consignees[],3,FALSE),""),1)="(","",IFERROR(VLOOKUP(IFERROR(VLOOKUP(INV_CLAIM,Claims[#All],4,FALSE),""),Consignees[],3,FALSE),""))&amp;"?cc="&amp;IF(LEFT(IFERROR(VLOOKUP(IFERROR(VLOOKUP(INV_CLAIM,Claims[#All],4,FALSE),""),Consignees[],4,FALSE),""),1)="(","",IFERROR(VLOOKUP(IFERROR(VLOOKUP(INV_CLAIM,Claims[#All],4,FALSE),""),Consignees[],4,FALSE),""))&amp;"&amp;subject="&amp;SUBSTITUTE("Demurrage Invoice "&amp;INV_CLAIM&amp;" - Deal "&amp;IFERROR(VLOOKUP(INV_CLAIM,Claims[#All],3,FALSE),""),"&amp;","%26")&amp;"&amp;body="&amp;SUBSTITUTE(SUBSTITUTE(SUBSTITUTE(SUBSTITUTE("Dear all,"&amp;CHAR(10)&amp;CHAR(10)&amp;"Please find attached our demurrage invoice for deal "&amp;IFERROR(VLOOKUP(INV_CLAIM,Claims[#All],3,FALSE),"")&amp;" for USD "&amp;TEXT(ROUND(SUMIF(Trips[Claim No.],INV_CLAIM,Trips[Demurrage (USD)])*(1+VAT_RATE),2),"#,##0.00")&amp;"."&amp;CHAR(10)&amp;CHAR(10)&amp;"Kindly confirm receipt and share the swift once available."&amp;CHAR(10)&amp;CHAR(10)&amp;"Thank you very much."&amp;CHAR(10)&amp;CHAR(10)&amp;"Kind regards,"&amp;CHAR(10)&amp;COMPANY_NAME,"&amp;","%26"),CHAR(10),"%0A"),"  "," "),"""","%22"), "Open email draft (To + Cc + body all pre-filled)")</f>
        <v/>
      </c>
      <c r="E36" s="183" t="inlineStr">
        <is>
          <t>PDF: hold Ctrl, click both the Invoice and Annex tabs, then Ctrl+P -&gt; Microsoft Print to PDF -&gt; Save.  (After installing the VBA, the EmailClaim macro can do this in one click.)</t>
        </is>
      </c>
      <c r="F36" s="142" t="n"/>
      <c r="H36" s="150" t="n"/>
    </row>
    <row r="37" ht="14.1" customHeight="1" s="106">
      <c r="B37" s="99" t="inlineStr">
        <is>
          <t>PAYMENT TERMS</t>
        </is>
      </c>
    </row>
    <row r="38" ht="14.1" customHeight="1" s="106">
      <c r="B38" s="93" t="inlineStr">
        <is>
          <t>Email body preview (for reference; the link above pre-fills it):</t>
        </is>
      </c>
    </row>
    <row r="39" ht="129.95" customHeight="1" s="106">
      <c r="B39" s="153">
        <f>"Dear all,"&amp;CHAR(10)&amp;CHAR(10)&amp;"Please find attached our demurrage invoice for deal "&amp;IFERROR(VLOOKUP(INV_CLAIM,Claims[#All],3,FALSE),"")&amp;" for USD "&amp;TEXT(ROUND(SUMIF(Trips[Claim No.],INV_CLAIM,Trips[Demurrage (USD)])*(1+VAT_RATE),2),"#,##0.00")&amp;"."&amp;CHAR(10)&amp;CHAR(10)&amp;"Kindly confirm receipt and share the swift once available."&amp;CHAR(10)&amp;CHAR(10)&amp;"Thank you very much."&amp;CHAR(10)&amp;CHAR(10)&amp;"Kind regards,"&amp;CHAR(10)&amp;COMPANY_NAME</f>
        <v/>
      </c>
    </row>
    <row r="40" ht="14.1" customHeight="1" s="106">
      <c r="B40" s="133" t="n"/>
      <c r="C40" s="133" t="n"/>
      <c r="D40" s="133" t="n"/>
      <c r="E40" s="133" t="n"/>
      <c r="F40" s="133" t="n"/>
      <c r="G40" s="133" t="n"/>
      <c r="H40" s="133" t="n"/>
      <c r="I40" s="133" t="n"/>
    </row>
    <row r="41" ht="14.1" customHeight="1" s="106">
      <c r="B41" s="99" t="inlineStr">
        <is>
          <t>BANK DETAILS</t>
        </is>
      </c>
    </row>
    <row r="42" ht="14.1" customHeight="1" s="106">
      <c r="B42" s="91" t="inlineStr">
        <is>
          <t>Bank Name</t>
        </is>
      </c>
      <c r="C42" s="101">
        <f>BANK_NAME</f>
        <v/>
      </c>
    </row>
    <row r="43" ht="14.1" customHeight="1" s="106">
      <c r="B43" s="91" t="inlineStr">
        <is>
          <t>Account Name</t>
        </is>
      </c>
      <c r="C43" s="101">
        <f>BANK_HOLDER</f>
        <v/>
      </c>
    </row>
    <row r="44" ht="14.1" customHeight="1" s="106">
      <c r="B44" s="91" t="inlineStr">
        <is>
          <t>IBAN</t>
        </is>
      </c>
      <c r="C44" s="101">
        <f>BANK_IBAN</f>
        <v/>
      </c>
    </row>
    <row r="45" ht="14.1" customHeight="1" s="106">
      <c r="B45" s="91" t="inlineStr">
        <is>
          <t>SWIFT / BIC</t>
        </is>
      </c>
      <c r="C45" s="101">
        <f>BANK_SWIFT</f>
        <v/>
      </c>
    </row>
    <row r="46" ht="14.1" customHeight="1" s="106">
      <c r="B46" s="91" t="inlineStr">
        <is>
          <t>Correspondent</t>
        </is>
      </c>
      <c r="C46" s="101">
        <f>BANK_CORR &amp; " (" &amp; BANK_CORR_SWIFT &amp; ")"</f>
        <v/>
      </c>
    </row>
    <row r="47" ht="14.1" customHeight="1" s="106"/>
    <row r="48" ht="14.1" customHeight="1" s="106">
      <c r="B48" s="91" t="inlineStr">
        <is>
          <t>For and on behalf of</t>
        </is>
      </c>
      <c r="F48" s="91" t="inlineStr">
        <is>
          <t>Authorized Signature</t>
        </is>
      </c>
    </row>
    <row r="49" ht="14.1" customHeight="1" s="106">
      <c r="B49" s="73">
        <f>COMPANY_NAME</f>
        <v/>
      </c>
    </row>
    <row r="50" ht="14.1" customHeight="1" s="106">
      <c r="F50" s="100" t="inlineStr">
        <is>
          <t>_______________________</t>
        </is>
      </c>
    </row>
    <row r="51" ht="14.1" customHeight="1" s="106"/>
    <row r="52" ht="14.1" customHeight="1" s="106"/>
    <row r="53" ht="14.1" customHeight="1" s="106"/>
    <row r="54" ht="14.1" customHeight="1" s="106"/>
    <row r="55" ht="14.1" customHeight="1" s="106"/>
    <row r="56" ht="14.1" customHeight="1" s="106"/>
    <row r="57" ht="14.1" customHeight="1" s="106"/>
    <row r="61" ht="27.95" customHeight="1" s="106"/>
    <row r="64" ht="20.1" customHeight="1" s="106"/>
    <row r="65" ht="27.95" customHeight="1" s="106"/>
    <row r="67" ht="20.1" customHeight="1" s="106"/>
    <row r="73" ht="36" customHeight="1" s="106"/>
  </sheetData>
  <mergeCells count="25">
    <mergeCell ref="B16:C16"/>
    <mergeCell ref="F16:G16"/>
    <mergeCell ref="F10:J10"/>
    <mergeCell ref="F19:G19"/>
    <mergeCell ref="F32:H32"/>
    <mergeCell ref="F3:J3"/>
    <mergeCell ref="B39:I39"/>
    <mergeCell ref="F31:H31"/>
    <mergeCell ref="F20:G20"/>
    <mergeCell ref="B17:C17"/>
    <mergeCell ref="D17:E17"/>
    <mergeCell ref="F17:G17"/>
    <mergeCell ref="H17:I17"/>
    <mergeCell ref="D16:E16"/>
    <mergeCell ref="H16:I16"/>
    <mergeCell ref="B19:C19"/>
    <mergeCell ref="F11:J14"/>
    <mergeCell ref="B11:E13"/>
    <mergeCell ref="B14:E14"/>
    <mergeCell ref="F34:H34"/>
    <mergeCell ref="I20:J20"/>
    <mergeCell ref="B20:C20"/>
    <mergeCell ref="B22:J22"/>
    <mergeCell ref="I19:J19"/>
    <mergeCell ref="B10:E10"/>
  </mergeCells>
  <dataValidations count="1">
    <dataValidation sqref="B20" showDropDown="0" showInputMessage="0" showErrorMessage="1" allowBlank="1" errorTitle="Check entry" error="Pick an existing claim number." type="list" errorStyle="warning">
      <formula1>LIST_ClaimNo</formula1>
    </dataValidation>
  </dataValidation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rintOptions horizontalCentered="1"/>
  <pageMargins left="0.5" right="0.5" top="0.6" bottom="0.6" header="0.3" footer="0.3"/>
  <pageSetup orientation="portrait" paperSize="9" scale="77" fitToHeight="1" fitToWidth="1"/>
</worksheet>
</file>

<file path=xl/worksheets/sheet4.xml><?xml version="1.0" encoding="utf-8"?>
<worksheet xmlns="http://schemas.openxmlformats.org/spreadsheetml/2006/main">
  <sheetPr codeName="Sheet4">
    <tabColor rgb="FF1F3D8E"/>
    <outlinePr summaryBelow="1" summaryRight="1"/>
    <pageSetUpPr fitToPage="1"/>
  </sheetPr>
  <dimension ref="B2:K62"/>
  <sheetViews>
    <sheetView workbookViewId="0">
      <selection activeCell="F26" sqref="F26"/>
    </sheetView>
  </sheetViews>
  <sheetFormatPr baseColWidth="8" defaultRowHeight="15"/>
  <cols>
    <col width="2.28515625" customWidth="1" style="106" min="1" max="1"/>
    <col width="7.5703125" customWidth="1" style="106" min="2" max="2"/>
    <col width="17.140625" customWidth="1" style="106" min="3" max="3"/>
    <col width="22.85546875" customWidth="1" style="106" min="4" max="4"/>
    <col width="18.140625" customWidth="1" style="106" min="5" max="6"/>
    <col width="21" customWidth="1" style="106" min="7" max="7"/>
    <col width="11.42578125" customWidth="1" style="106" min="8" max="10"/>
    <col width="21" customWidth="1" style="106" min="11" max="11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7" t="inlineStr">
        <is>
          <t>📎 Annex</t>
        </is>
      </c>
      <c r="K2" s="134" t="inlineStr">
        <is>
          <t>🖨 PDF: select Invoice + Annex tabs (Ctrl+click), then click Publish as PDF in QAT</t>
        </is>
      </c>
    </row>
    <row r="5" ht="23.25" customHeight="1" s="106">
      <c r="B5" s="74" t="inlineStr">
        <is>
          <t>INVOICE ANNEX — TRIP DETAIL</t>
        </is>
      </c>
    </row>
    <row r="6">
      <c r="B6" s="75">
        <f>"For Invoice " &amp; INV_CLAIM &amp; " — " &amp; IFERROR(VLOOKUP(INV_CLAIM,Claims[#All],4,FALSE),"") &amp; "  •  Deal " &amp; IFERROR(VLOOKUP(INV_CLAIM,Claims[#All],3,FALSE),"")</f>
        <v/>
      </c>
    </row>
    <row r="8">
      <c r="B8" s="76" t="inlineStr">
        <is>
          <t>CLAIM</t>
        </is>
      </c>
      <c r="C8" s="78">
        <f>INV_CLAIM</f>
        <v/>
      </c>
      <c r="E8" s="76" t="inlineStr">
        <is>
          <t>PERIOD</t>
        </is>
      </c>
      <c r="F8" s="77">
        <f>TEXT(IFERROR(VLOOKUP(INV_CLAIM,Claims[#All],6,FALSE),""),"dd-mmm-yyyy")&amp;"  →  "&amp;TEXT(IFERROR(VLOOKUP(INV_CLAIM,Claims[#All],7,FALSE),""),"dd-mmm-yyyy")</f>
        <v/>
      </c>
      <c r="I8" s="76" t="inlineStr">
        <is>
          <t>TRIPS</t>
        </is>
      </c>
      <c r="J8" s="78">
        <f>COUNTIF(Trips[Claim No.],INV_CLAIM)</f>
        <v/>
      </c>
    </row>
    <row r="10" ht="15.75" customHeight="1" s="106" thickBot="1"/>
    <row r="11">
      <c r="B11" s="84" t="inlineStr">
        <is>
          <t>#</t>
        </is>
      </c>
      <c r="C11" s="85" t="inlineStr">
        <is>
          <t>Loaded</t>
        </is>
      </c>
      <c r="D11" s="85" t="inlineStr">
        <is>
          <t>Truck No.</t>
        </is>
      </c>
      <c r="E11" s="85" t="inlineStr">
        <is>
          <t>Arrival</t>
        </is>
      </c>
      <c r="F11" s="85" t="inlineStr">
        <is>
          <t>Offloaded</t>
        </is>
      </c>
      <c r="G11" s="85" t="inlineStr">
        <is>
          <t>Consignee</t>
        </is>
      </c>
      <c r="H11" s="86" t="inlineStr">
        <is>
          <t>Waiting (d)</t>
        </is>
      </c>
      <c r="I11" s="86" t="inlineStr">
        <is>
          <t>Laytime (d)</t>
        </is>
      </c>
      <c r="J11" s="86" t="inlineStr">
        <is>
          <t>Excess (d)</t>
        </is>
      </c>
      <c r="K11" s="86" t="inlineStr">
        <is>
          <t>Demurrage (USD)</t>
        </is>
      </c>
    </row>
    <row r="12">
      <c r="B12">
        <f t="array" ref="B12">IFERROR(IF(SMALL(IF(Trips[Claim No.]=INV_CLAIM,_xlfn.SEQUENCE(ROWS(Trips[Claim No.]))),ROW()-11)&gt;0,ROW()-11,""),"")</f>
        <v/>
      </c>
      <c r="C12" s="184">
        <f t="array" ref="C12">IFERROR(INDEX(Trips[Date Loaded],SMALL(IF(Trips[Claim No.]=INV_CLAIM,_xlfn.SEQUENCE(ROWS(Trips[Claim No.]))),ROW()-11)),"")</f>
        <v/>
      </c>
      <c r="D12">
        <f t="array" ref="D12">IFERROR(INDEX(Trips[Truck No.],SMALL(IF(Trips[Claim No.]=INV_CLAIM,_xlfn.SEQUENCE(ROWS(Trips[Claim No.]))),ROW()-11)),"")</f>
        <v/>
      </c>
      <c r="E12" s="184">
        <f t="array" ref="E12">IFERROR(INDEX(Trips[Arrival],SMALL(IF(Trips[Claim No.]=INV_CLAIM,_xlfn.SEQUENCE(ROWS(Trips[Claim No.]))),ROW()-11)),"")</f>
        <v/>
      </c>
      <c r="F12" s="184">
        <f t="array" ref="F12">IFERROR(INDEX(Trips[Offloaded],SMALL(IF(Trips[Claim No.]=INV_CLAIM,_xlfn.SEQUENCE(ROWS(Trips[Claim No.]))),ROW()-11)),"")</f>
        <v/>
      </c>
      <c r="G12">
        <f t="array" ref="G12">IFERROR(INDEX(Trips[Consignee],SMALL(IF(Trips[Claim No.]=INV_CLAIM,_xlfn.SEQUENCE(ROWS(Trips[Claim No.]))),ROW()-11)),"")</f>
        <v/>
      </c>
      <c r="H12" s="83">
        <f t="array" ref="H12">IFERROR(INDEX(Trips[Waiting (d)],SMALL(IF(Trips[Claim No.]=INV_CLAIM,_xlfn.SEQUENCE(ROWS(Trips[Claim No.]))),ROW()-11)),"")</f>
        <v/>
      </c>
      <c r="I12" s="83">
        <f t="array" ref="I12">IFERROR(INDEX(Trips[Laytime (d)],SMALL(IF(Trips[Claim No.]=INV_CLAIM,_xlfn.SEQUENCE(ROWS(Trips[Claim No.]))),ROW()-11)),"")</f>
        <v/>
      </c>
      <c r="J12" s="83">
        <f t="array" ref="J12">IFERROR(INDEX(Trips[Excess (d)],SMALL(IF(Trips[Claim No.]=INV_CLAIM,_xlfn.SEQUENCE(ROWS(Trips[Claim No.]))),ROW()-11)),"")</f>
        <v/>
      </c>
      <c r="K12" s="170">
        <f t="array" ref="K12">IFERROR(INDEX(Trips[Demurrage (USD)],SMALL(IF(Trips[Claim No.]=INV_CLAIM,_xlfn.SEQUENCE(ROWS(Trips[Claim No.]))),ROW()-11)),"")</f>
        <v/>
      </c>
    </row>
    <row r="13">
      <c r="B13">
        <f t="array" ref="B13">IFERROR(IF(SMALL(IF(Trips[Claim No.]=INV_CLAIM,_xlfn.SEQUENCE(ROWS(Trips[Claim No.]))),ROW()-11)&gt;0,ROW()-11,""),"")</f>
        <v/>
      </c>
      <c r="C13" s="184">
        <f t="array" ref="C13">IFERROR(INDEX(Trips[Date Loaded],SMALL(IF(Trips[Claim No.]=INV_CLAIM,_xlfn.SEQUENCE(ROWS(Trips[Claim No.]))),ROW()-11)),"")</f>
        <v/>
      </c>
      <c r="D13">
        <f t="array" ref="D13">IFERROR(INDEX(Trips[Truck No.],SMALL(IF(Trips[Claim No.]=INV_CLAIM,_xlfn.SEQUENCE(ROWS(Trips[Claim No.]))),ROW()-11)),"")</f>
        <v/>
      </c>
      <c r="E13" s="184">
        <f t="array" ref="E13">IFERROR(INDEX(Trips[Arrival],SMALL(IF(Trips[Claim No.]=INV_CLAIM,_xlfn.SEQUENCE(ROWS(Trips[Claim No.]))),ROW()-11)),"")</f>
        <v/>
      </c>
      <c r="F13" s="184">
        <f t="array" ref="F13">IFERROR(INDEX(Trips[Offloaded],SMALL(IF(Trips[Claim No.]=INV_CLAIM,_xlfn.SEQUENCE(ROWS(Trips[Claim No.]))),ROW()-11)),"")</f>
        <v/>
      </c>
      <c r="G13">
        <f t="array" ref="G13">IFERROR(INDEX(Trips[Consignee],SMALL(IF(Trips[Claim No.]=INV_CLAIM,_xlfn.SEQUENCE(ROWS(Trips[Claim No.]))),ROW()-11)),"")</f>
        <v/>
      </c>
      <c r="H13" s="83">
        <f t="array" ref="H13">IFERROR(INDEX(Trips[Waiting (d)],SMALL(IF(Trips[Claim No.]=INV_CLAIM,_xlfn.SEQUENCE(ROWS(Trips[Claim No.]))),ROW()-11)),"")</f>
        <v/>
      </c>
      <c r="I13" s="83">
        <f t="array" ref="I13">IFERROR(INDEX(Trips[Laytime (d)],SMALL(IF(Trips[Claim No.]=INV_CLAIM,_xlfn.SEQUENCE(ROWS(Trips[Claim No.]))),ROW()-11)),"")</f>
        <v/>
      </c>
      <c r="J13" s="83">
        <f t="array" ref="J13">IFERROR(INDEX(Trips[Excess (d)],SMALL(IF(Trips[Claim No.]=INV_CLAIM,_xlfn.SEQUENCE(ROWS(Trips[Claim No.]))),ROW()-11)),"")</f>
        <v/>
      </c>
      <c r="K13" s="170">
        <f t="array" ref="K13">IFERROR(INDEX(Trips[Demurrage (USD)],SMALL(IF(Trips[Claim No.]=INV_CLAIM,_xlfn.SEQUENCE(ROWS(Trips[Claim No.]))),ROW()-11)),"")</f>
        <v/>
      </c>
    </row>
    <row r="14">
      <c r="B14">
        <f t="array" ref="B14">IFERROR(IF(SMALL(IF(Trips[Claim No.]=INV_CLAIM,_xlfn.SEQUENCE(ROWS(Trips[Claim No.]))),ROW()-11)&gt;0,ROW()-11,""),"")</f>
        <v/>
      </c>
      <c r="C14" s="184">
        <f t="array" ref="C14">IFERROR(INDEX(Trips[Date Loaded],SMALL(IF(Trips[Claim No.]=INV_CLAIM,_xlfn.SEQUENCE(ROWS(Trips[Claim No.]))),ROW()-11)),"")</f>
        <v/>
      </c>
      <c r="D14">
        <f t="array" ref="D14">IFERROR(INDEX(Trips[Truck No.],SMALL(IF(Trips[Claim No.]=INV_CLAIM,_xlfn.SEQUENCE(ROWS(Trips[Claim No.]))),ROW()-11)),"")</f>
        <v/>
      </c>
      <c r="E14" s="184">
        <f t="array" ref="E14">IFERROR(INDEX(Trips[Arrival],SMALL(IF(Trips[Claim No.]=INV_CLAIM,_xlfn.SEQUENCE(ROWS(Trips[Claim No.]))),ROW()-11)),"")</f>
        <v/>
      </c>
      <c r="F14" s="184">
        <f t="array" ref="F14">IFERROR(INDEX(Trips[Offloaded],SMALL(IF(Trips[Claim No.]=INV_CLAIM,_xlfn.SEQUENCE(ROWS(Trips[Claim No.]))),ROW()-11)),"")</f>
        <v/>
      </c>
      <c r="G14">
        <f t="array" ref="G14">IFERROR(INDEX(Trips[Consignee],SMALL(IF(Trips[Claim No.]=INV_CLAIM,_xlfn.SEQUENCE(ROWS(Trips[Claim No.]))),ROW()-11)),"")</f>
        <v/>
      </c>
      <c r="H14" s="83">
        <f t="array" ref="H14">IFERROR(INDEX(Trips[Waiting (d)],SMALL(IF(Trips[Claim No.]=INV_CLAIM,_xlfn.SEQUENCE(ROWS(Trips[Claim No.]))),ROW()-11)),"")</f>
        <v/>
      </c>
      <c r="I14" s="83">
        <f t="array" ref="I14">IFERROR(INDEX(Trips[Laytime (d)],SMALL(IF(Trips[Claim No.]=INV_CLAIM,_xlfn.SEQUENCE(ROWS(Trips[Claim No.]))),ROW()-11)),"")</f>
        <v/>
      </c>
      <c r="J14" s="83">
        <f t="array" ref="J14">IFERROR(INDEX(Trips[Excess (d)],SMALL(IF(Trips[Claim No.]=INV_CLAIM,_xlfn.SEQUENCE(ROWS(Trips[Claim No.]))),ROW()-11)),"")</f>
        <v/>
      </c>
      <c r="K14" s="170">
        <f t="array" ref="K14">IFERROR(INDEX(Trips[Demurrage (USD)],SMALL(IF(Trips[Claim No.]=INV_CLAIM,_xlfn.SEQUENCE(ROWS(Trips[Claim No.]))),ROW()-11)),"")</f>
        <v/>
      </c>
    </row>
    <row r="15">
      <c r="B15">
        <f t="array" ref="B15">IFERROR(IF(SMALL(IF(Trips[Claim No.]=INV_CLAIM,_xlfn.SEQUENCE(ROWS(Trips[Claim No.]))),ROW()-11)&gt;0,ROW()-11,""),"")</f>
        <v/>
      </c>
      <c r="C15" s="184">
        <f t="array" ref="C15">IFERROR(INDEX(Trips[Date Loaded],SMALL(IF(Trips[Claim No.]=INV_CLAIM,_xlfn.SEQUENCE(ROWS(Trips[Claim No.]))),ROW()-11)),"")</f>
        <v/>
      </c>
      <c r="D15">
        <f t="array" ref="D15">IFERROR(INDEX(Trips[Truck No.],SMALL(IF(Trips[Claim No.]=INV_CLAIM,_xlfn.SEQUENCE(ROWS(Trips[Claim No.]))),ROW()-11)),"")</f>
        <v/>
      </c>
      <c r="E15" s="184">
        <f t="array" ref="E15">IFERROR(INDEX(Trips[Arrival],SMALL(IF(Trips[Claim No.]=INV_CLAIM,_xlfn.SEQUENCE(ROWS(Trips[Claim No.]))),ROW()-11)),"")</f>
        <v/>
      </c>
      <c r="F15" s="184">
        <f t="array" ref="F15">IFERROR(INDEX(Trips[Offloaded],SMALL(IF(Trips[Claim No.]=INV_CLAIM,_xlfn.SEQUENCE(ROWS(Trips[Claim No.]))),ROW()-11)),"")</f>
        <v/>
      </c>
      <c r="G15">
        <f t="array" ref="G15">IFERROR(INDEX(Trips[Consignee],SMALL(IF(Trips[Claim No.]=INV_CLAIM,_xlfn.SEQUENCE(ROWS(Trips[Claim No.]))),ROW()-11)),"")</f>
        <v/>
      </c>
      <c r="H15" s="83">
        <f t="array" ref="H15">IFERROR(INDEX(Trips[Waiting (d)],SMALL(IF(Trips[Claim No.]=INV_CLAIM,_xlfn.SEQUENCE(ROWS(Trips[Claim No.]))),ROW()-11)),"")</f>
        <v/>
      </c>
      <c r="I15" s="83">
        <f t="array" ref="I15">IFERROR(INDEX(Trips[Laytime (d)],SMALL(IF(Trips[Claim No.]=INV_CLAIM,_xlfn.SEQUENCE(ROWS(Trips[Claim No.]))),ROW()-11)),"")</f>
        <v/>
      </c>
      <c r="J15" s="83">
        <f t="array" ref="J15">IFERROR(INDEX(Trips[Excess (d)],SMALL(IF(Trips[Claim No.]=INV_CLAIM,_xlfn.SEQUENCE(ROWS(Trips[Claim No.]))),ROW()-11)),"")</f>
        <v/>
      </c>
      <c r="K15" s="170">
        <f t="array" ref="K15">IFERROR(INDEX(Trips[Demurrage (USD)],SMALL(IF(Trips[Claim No.]=INV_CLAIM,_xlfn.SEQUENCE(ROWS(Trips[Claim No.]))),ROW()-11)),"")</f>
        <v/>
      </c>
    </row>
    <row r="16">
      <c r="B16">
        <f t="array" ref="B16">IFERROR(IF(SMALL(IF(Trips[Claim No.]=INV_CLAIM,_xlfn.SEQUENCE(ROWS(Trips[Claim No.]))),ROW()-11)&gt;0,ROW()-11,""),"")</f>
        <v/>
      </c>
      <c r="C16" s="184">
        <f t="array" ref="C16">IFERROR(INDEX(Trips[Date Loaded],SMALL(IF(Trips[Claim No.]=INV_CLAIM,_xlfn.SEQUENCE(ROWS(Trips[Claim No.]))),ROW()-11)),"")</f>
        <v/>
      </c>
      <c r="D16">
        <f t="array" ref="D16">IFERROR(INDEX(Trips[Truck No.],SMALL(IF(Trips[Claim No.]=INV_CLAIM,_xlfn.SEQUENCE(ROWS(Trips[Claim No.]))),ROW()-11)),"")</f>
        <v/>
      </c>
      <c r="E16" s="184">
        <f t="array" ref="E16">IFERROR(INDEX(Trips[Arrival],SMALL(IF(Trips[Claim No.]=INV_CLAIM,_xlfn.SEQUENCE(ROWS(Trips[Claim No.]))),ROW()-11)),"")</f>
        <v/>
      </c>
      <c r="F16" s="184">
        <f t="array" ref="F16">IFERROR(INDEX(Trips[Offloaded],SMALL(IF(Trips[Claim No.]=INV_CLAIM,_xlfn.SEQUENCE(ROWS(Trips[Claim No.]))),ROW()-11)),"")</f>
        <v/>
      </c>
      <c r="G16">
        <f t="array" ref="G16">IFERROR(INDEX(Trips[Consignee],SMALL(IF(Trips[Claim No.]=INV_CLAIM,_xlfn.SEQUENCE(ROWS(Trips[Claim No.]))),ROW()-11)),"")</f>
        <v/>
      </c>
      <c r="H16" s="83">
        <f t="array" ref="H16">IFERROR(INDEX(Trips[Waiting (d)],SMALL(IF(Trips[Claim No.]=INV_CLAIM,_xlfn.SEQUENCE(ROWS(Trips[Claim No.]))),ROW()-11)),"")</f>
        <v/>
      </c>
      <c r="I16" s="83">
        <f t="array" ref="I16">IFERROR(INDEX(Trips[Laytime (d)],SMALL(IF(Trips[Claim No.]=INV_CLAIM,_xlfn.SEQUENCE(ROWS(Trips[Claim No.]))),ROW()-11)),"")</f>
        <v/>
      </c>
      <c r="J16" s="83">
        <f t="array" ref="J16">IFERROR(INDEX(Trips[Excess (d)],SMALL(IF(Trips[Claim No.]=INV_CLAIM,_xlfn.SEQUENCE(ROWS(Trips[Claim No.]))),ROW()-11)),"")</f>
        <v/>
      </c>
      <c r="K16" s="170">
        <f t="array" ref="K16">IFERROR(INDEX(Trips[Demurrage (USD)],SMALL(IF(Trips[Claim No.]=INV_CLAIM,_xlfn.SEQUENCE(ROWS(Trips[Claim No.]))),ROW()-11)),"")</f>
        <v/>
      </c>
    </row>
    <row r="17">
      <c r="B17">
        <f t="array" ref="B17">IFERROR(IF(SMALL(IF(Trips[Claim No.]=INV_CLAIM,_xlfn.SEQUENCE(ROWS(Trips[Claim No.]))),ROW()-11)&gt;0,ROW()-11,""),"")</f>
        <v/>
      </c>
      <c r="C17" s="184">
        <f t="array" ref="C17">IFERROR(INDEX(Trips[Date Loaded],SMALL(IF(Trips[Claim No.]=INV_CLAIM,_xlfn.SEQUENCE(ROWS(Trips[Claim No.]))),ROW()-11)),"")</f>
        <v/>
      </c>
      <c r="D17">
        <f t="array" ref="D17">IFERROR(INDEX(Trips[Truck No.],SMALL(IF(Trips[Claim No.]=INV_CLAIM,_xlfn.SEQUENCE(ROWS(Trips[Claim No.]))),ROW()-11)),"")</f>
        <v/>
      </c>
      <c r="E17" s="184">
        <f t="array" ref="E17">IFERROR(INDEX(Trips[Arrival],SMALL(IF(Trips[Claim No.]=INV_CLAIM,_xlfn.SEQUENCE(ROWS(Trips[Claim No.]))),ROW()-11)),"")</f>
        <v/>
      </c>
      <c r="F17" s="184">
        <f t="array" ref="F17">IFERROR(INDEX(Trips[Offloaded],SMALL(IF(Trips[Claim No.]=INV_CLAIM,_xlfn.SEQUENCE(ROWS(Trips[Claim No.]))),ROW()-11)),"")</f>
        <v/>
      </c>
      <c r="G17">
        <f t="array" ref="G17">IFERROR(INDEX(Trips[Consignee],SMALL(IF(Trips[Claim No.]=INV_CLAIM,_xlfn.SEQUENCE(ROWS(Trips[Claim No.]))),ROW()-11)),"")</f>
        <v/>
      </c>
      <c r="H17" s="83">
        <f t="array" ref="H17">IFERROR(INDEX(Trips[Waiting (d)],SMALL(IF(Trips[Claim No.]=INV_CLAIM,_xlfn.SEQUENCE(ROWS(Trips[Claim No.]))),ROW()-11)),"")</f>
        <v/>
      </c>
      <c r="I17" s="83">
        <f t="array" ref="I17">IFERROR(INDEX(Trips[Laytime (d)],SMALL(IF(Trips[Claim No.]=INV_CLAIM,_xlfn.SEQUENCE(ROWS(Trips[Claim No.]))),ROW()-11)),"")</f>
        <v/>
      </c>
      <c r="J17" s="83">
        <f t="array" ref="J17">IFERROR(INDEX(Trips[Excess (d)],SMALL(IF(Trips[Claim No.]=INV_CLAIM,_xlfn.SEQUENCE(ROWS(Trips[Claim No.]))),ROW()-11)),"")</f>
        <v/>
      </c>
      <c r="K17" s="170">
        <f t="array" ref="K17">IFERROR(INDEX(Trips[Demurrage (USD)],SMALL(IF(Trips[Claim No.]=INV_CLAIM,_xlfn.SEQUENCE(ROWS(Trips[Claim No.]))),ROW()-11)),"")</f>
        <v/>
      </c>
    </row>
    <row r="18">
      <c r="B18">
        <f t="array" ref="B18">IFERROR(IF(SMALL(IF(Trips[Claim No.]=INV_CLAIM,_xlfn.SEQUENCE(ROWS(Trips[Claim No.]))),ROW()-11)&gt;0,ROW()-11,""),"")</f>
        <v/>
      </c>
      <c r="C18" s="184">
        <f t="array" ref="C18">IFERROR(INDEX(Trips[Date Loaded],SMALL(IF(Trips[Claim No.]=INV_CLAIM,_xlfn.SEQUENCE(ROWS(Trips[Claim No.]))),ROW()-11)),"")</f>
        <v/>
      </c>
      <c r="D18">
        <f t="array" ref="D18">IFERROR(INDEX(Trips[Truck No.],SMALL(IF(Trips[Claim No.]=INV_CLAIM,_xlfn.SEQUENCE(ROWS(Trips[Claim No.]))),ROW()-11)),"")</f>
        <v/>
      </c>
      <c r="E18" s="184">
        <f t="array" ref="E18">IFERROR(INDEX(Trips[Arrival],SMALL(IF(Trips[Claim No.]=INV_CLAIM,_xlfn.SEQUENCE(ROWS(Trips[Claim No.]))),ROW()-11)),"")</f>
        <v/>
      </c>
      <c r="F18" s="184">
        <f t="array" ref="F18">IFERROR(INDEX(Trips[Offloaded],SMALL(IF(Trips[Claim No.]=INV_CLAIM,_xlfn.SEQUENCE(ROWS(Trips[Claim No.]))),ROW()-11)),"")</f>
        <v/>
      </c>
      <c r="G18">
        <f t="array" ref="G18">IFERROR(INDEX(Trips[Consignee],SMALL(IF(Trips[Claim No.]=INV_CLAIM,_xlfn.SEQUENCE(ROWS(Trips[Claim No.]))),ROW()-11)),"")</f>
        <v/>
      </c>
      <c r="H18" s="83">
        <f t="array" ref="H18">IFERROR(INDEX(Trips[Waiting (d)],SMALL(IF(Trips[Claim No.]=INV_CLAIM,_xlfn.SEQUENCE(ROWS(Trips[Claim No.]))),ROW()-11)),"")</f>
        <v/>
      </c>
      <c r="I18" s="83">
        <f t="array" ref="I18">IFERROR(INDEX(Trips[Laytime (d)],SMALL(IF(Trips[Claim No.]=INV_CLAIM,_xlfn.SEQUENCE(ROWS(Trips[Claim No.]))),ROW()-11)),"")</f>
        <v/>
      </c>
      <c r="J18" s="83">
        <f t="array" ref="J18">IFERROR(INDEX(Trips[Excess (d)],SMALL(IF(Trips[Claim No.]=INV_CLAIM,_xlfn.SEQUENCE(ROWS(Trips[Claim No.]))),ROW()-11)),"")</f>
        <v/>
      </c>
      <c r="K18" s="170">
        <f t="array" ref="K18">IFERROR(INDEX(Trips[Demurrage (USD)],SMALL(IF(Trips[Claim No.]=INV_CLAIM,_xlfn.SEQUENCE(ROWS(Trips[Claim No.]))),ROW()-11)),"")</f>
        <v/>
      </c>
    </row>
    <row r="19">
      <c r="B19">
        <f t="array" ref="B19">IFERROR(IF(SMALL(IF(Trips[Claim No.]=INV_CLAIM,_xlfn.SEQUENCE(ROWS(Trips[Claim No.]))),ROW()-11)&gt;0,ROW()-11,""),"")</f>
        <v/>
      </c>
      <c r="C19" s="184">
        <f t="array" ref="C19">IFERROR(INDEX(Trips[Date Loaded],SMALL(IF(Trips[Claim No.]=INV_CLAIM,_xlfn.SEQUENCE(ROWS(Trips[Claim No.]))),ROW()-11)),"")</f>
        <v/>
      </c>
      <c r="D19">
        <f t="array" ref="D19">IFERROR(INDEX(Trips[Truck No.],SMALL(IF(Trips[Claim No.]=INV_CLAIM,_xlfn.SEQUENCE(ROWS(Trips[Claim No.]))),ROW()-11)),"")</f>
        <v/>
      </c>
      <c r="E19" s="184">
        <f t="array" ref="E19">IFERROR(INDEX(Trips[Arrival],SMALL(IF(Trips[Claim No.]=INV_CLAIM,_xlfn.SEQUENCE(ROWS(Trips[Claim No.]))),ROW()-11)),"")</f>
        <v/>
      </c>
      <c r="F19" s="184">
        <f t="array" ref="F19">IFERROR(INDEX(Trips[Offloaded],SMALL(IF(Trips[Claim No.]=INV_CLAIM,_xlfn.SEQUENCE(ROWS(Trips[Claim No.]))),ROW()-11)),"")</f>
        <v/>
      </c>
      <c r="G19">
        <f t="array" ref="G19">IFERROR(INDEX(Trips[Consignee],SMALL(IF(Trips[Claim No.]=INV_CLAIM,_xlfn.SEQUENCE(ROWS(Trips[Claim No.]))),ROW()-11)),"")</f>
        <v/>
      </c>
      <c r="H19" s="83">
        <f t="array" ref="H19">IFERROR(INDEX(Trips[Waiting (d)],SMALL(IF(Trips[Claim No.]=INV_CLAIM,_xlfn.SEQUENCE(ROWS(Trips[Claim No.]))),ROW()-11)),"")</f>
        <v/>
      </c>
      <c r="I19" s="83">
        <f t="array" ref="I19">IFERROR(INDEX(Trips[Laytime (d)],SMALL(IF(Trips[Claim No.]=INV_CLAIM,_xlfn.SEQUENCE(ROWS(Trips[Claim No.]))),ROW()-11)),"")</f>
        <v/>
      </c>
      <c r="J19" s="83">
        <f t="array" ref="J19">IFERROR(INDEX(Trips[Excess (d)],SMALL(IF(Trips[Claim No.]=INV_CLAIM,_xlfn.SEQUENCE(ROWS(Trips[Claim No.]))),ROW()-11)),"")</f>
        <v/>
      </c>
      <c r="K19" s="170">
        <f t="array" ref="K19">IFERROR(INDEX(Trips[Demurrage (USD)],SMALL(IF(Trips[Claim No.]=INV_CLAIM,_xlfn.SEQUENCE(ROWS(Trips[Claim No.]))),ROW()-11)),"")</f>
        <v/>
      </c>
    </row>
    <row r="20">
      <c r="B20">
        <f t="array" ref="B20">IFERROR(IF(SMALL(IF(Trips[Claim No.]=INV_CLAIM,_xlfn.SEQUENCE(ROWS(Trips[Claim No.]))),ROW()-11)&gt;0,ROW()-11,""),"")</f>
        <v/>
      </c>
      <c r="C20" s="184">
        <f t="array" ref="C20">IFERROR(INDEX(Trips[Date Loaded],SMALL(IF(Trips[Claim No.]=INV_CLAIM,_xlfn.SEQUENCE(ROWS(Trips[Claim No.]))),ROW()-11)),"")</f>
        <v/>
      </c>
      <c r="D20">
        <f t="array" ref="D20">IFERROR(INDEX(Trips[Truck No.],SMALL(IF(Trips[Claim No.]=INV_CLAIM,_xlfn.SEQUENCE(ROWS(Trips[Claim No.]))),ROW()-11)),"")</f>
        <v/>
      </c>
      <c r="E20" s="184">
        <f t="array" ref="E20">IFERROR(INDEX(Trips[Arrival],SMALL(IF(Trips[Claim No.]=INV_CLAIM,_xlfn.SEQUENCE(ROWS(Trips[Claim No.]))),ROW()-11)),"")</f>
        <v/>
      </c>
      <c r="F20" s="184">
        <f t="array" ref="F20">IFERROR(INDEX(Trips[Offloaded],SMALL(IF(Trips[Claim No.]=INV_CLAIM,_xlfn.SEQUENCE(ROWS(Trips[Claim No.]))),ROW()-11)),"")</f>
        <v/>
      </c>
      <c r="G20">
        <f t="array" ref="G20">IFERROR(INDEX(Trips[Consignee],SMALL(IF(Trips[Claim No.]=INV_CLAIM,_xlfn.SEQUENCE(ROWS(Trips[Claim No.]))),ROW()-11)),"")</f>
        <v/>
      </c>
      <c r="H20" s="83">
        <f t="array" ref="H20">IFERROR(INDEX(Trips[Waiting (d)],SMALL(IF(Trips[Claim No.]=INV_CLAIM,_xlfn.SEQUENCE(ROWS(Trips[Claim No.]))),ROW()-11)),"")</f>
        <v/>
      </c>
      <c r="I20" s="83">
        <f t="array" ref="I20">IFERROR(INDEX(Trips[Laytime (d)],SMALL(IF(Trips[Claim No.]=INV_CLAIM,_xlfn.SEQUENCE(ROWS(Trips[Claim No.]))),ROW()-11)),"")</f>
        <v/>
      </c>
      <c r="J20" s="83">
        <f t="array" ref="J20">IFERROR(INDEX(Trips[Excess (d)],SMALL(IF(Trips[Claim No.]=INV_CLAIM,_xlfn.SEQUENCE(ROWS(Trips[Claim No.]))),ROW()-11)),"")</f>
        <v/>
      </c>
      <c r="K20" s="170">
        <f t="array" ref="K20">IFERROR(INDEX(Trips[Demurrage (USD)],SMALL(IF(Trips[Claim No.]=INV_CLAIM,_xlfn.SEQUENCE(ROWS(Trips[Claim No.]))),ROW()-11)),"")</f>
        <v/>
      </c>
    </row>
    <row r="21">
      <c r="B21">
        <f t="array" ref="B21">IFERROR(IF(SMALL(IF(Trips[Claim No.]=INV_CLAIM,_xlfn.SEQUENCE(ROWS(Trips[Claim No.]))),ROW()-11)&gt;0,ROW()-11,""),"")</f>
        <v/>
      </c>
      <c r="C21" s="184">
        <f t="array" ref="C21">IFERROR(INDEX(Trips[Date Loaded],SMALL(IF(Trips[Claim No.]=INV_CLAIM,_xlfn.SEQUENCE(ROWS(Trips[Claim No.]))),ROW()-11)),"")</f>
        <v/>
      </c>
      <c r="D21">
        <f t="array" ref="D21">IFERROR(INDEX(Trips[Truck No.],SMALL(IF(Trips[Claim No.]=INV_CLAIM,_xlfn.SEQUENCE(ROWS(Trips[Claim No.]))),ROW()-11)),"")</f>
        <v/>
      </c>
      <c r="E21" s="184">
        <f t="array" ref="E21">IFERROR(INDEX(Trips[Arrival],SMALL(IF(Trips[Claim No.]=INV_CLAIM,_xlfn.SEQUENCE(ROWS(Trips[Claim No.]))),ROW()-11)),"")</f>
        <v/>
      </c>
      <c r="F21" s="184">
        <f t="array" ref="F21">IFERROR(INDEX(Trips[Offloaded],SMALL(IF(Trips[Claim No.]=INV_CLAIM,_xlfn.SEQUENCE(ROWS(Trips[Claim No.]))),ROW()-11)),"")</f>
        <v/>
      </c>
      <c r="G21">
        <f t="array" ref="G21">IFERROR(INDEX(Trips[Consignee],SMALL(IF(Trips[Claim No.]=INV_CLAIM,_xlfn.SEQUENCE(ROWS(Trips[Claim No.]))),ROW()-11)),"")</f>
        <v/>
      </c>
      <c r="H21" s="83">
        <f t="array" ref="H21">IFERROR(INDEX(Trips[Waiting (d)],SMALL(IF(Trips[Claim No.]=INV_CLAIM,_xlfn.SEQUENCE(ROWS(Trips[Claim No.]))),ROW()-11)),"")</f>
        <v/>
      </c>
      <c r="I21" s="83">
        <f t="array" ref="I21">IFERROR(INDEX(Trips[Laytime (d)],SMALL(IF(Trips[Claim No.]=INV_CLAIM,_xlfn.SEQUENCE(ROWS(Trips[Claim No.]))),ROW()-11)),"")</f>
        <v/>
      </c>
      <c r="J21" s="83">
        <f t="array" ref="J21">IFERROR(INDEX(Trips[Excess (d)],SMALL(IF(Trips[Claim No.]=INV_CLAIM,_xlfn.SEQUENCE(ROWS(Trips[Claim No.]))),ROW()-11)),"")</f>
        <v/>
      </c>
      <c r="K21" s="170">
        <f t="array" ref="K21">IFERROR(INDEX(Trips[Demurrage (USD)],SMALL(IF(Trips[Claim No.]=INV_CLAIM,_xlfn.SEQUENCE(ROWS(Trips[Claim No.]))),ROW()-11)),"")</f>
        <v/>
      </c>
    </row>
    <row r="22">
      <c r="B22">
        <f t="array" ref="B22">IFERROR(IF(SMALL(IF(Trips[Claim No.]=INV_CLAIM,_xlfn.SEQUENCE(ROWS(Trips[Claim No.]))),ROW()-11)&gt;0,ROW()-11,""),"")</f>
        <v/>
      </c>
      <c r="C22" s="184">
        <f t="array" ref="C22">IFERROR(INDEX(Trips[Date Loaded],SMALL(IF(Trips[Claim No.]=INV_CLAIM,_xlfn.SEQUENCE(ROWS(Trips[Claim No.]))),ROW()-11)),"")</f>
        <v/>
      </c>
      <c r="D22">
        <f t="array" ref="D22">IFERROR(INDEX(Trips[Truck No.],SMALL(IF(Trips[Claim No.]=INV_CLAIM,_xlfn.SEQUENCE(ROWS(Trips[Claim No.]))),ROW()-11)),"")</f>
        <v/>
      </c>
      <c r="E22" s="184">
        <f t="array" ref="E22">IFERROR(INDEX(Trips[Arrival],SMALL(IF(Trips[Claim No.]=INV_CLAIM,_xlfn.SEQUENCE(ROWS(Trips[Claim No.]))),ROW()-11)),"")</f>
        <v/>
      </c>
      <c r="F22" s="184">
        <f t="array" ref="F22">IFERROR(INDEX(Trips[Offloaded],SMALL(IF(Trips[Claim No.]=INV_CLAIM,_xlfn.SEQUENCE(ROWS(Trips[Claim No.]))),ROW()-11)),"")</f>
        <v/>
      </c>
      <c r="G22">
        <f t="array" ref="G22">IFERROR(INDEX(Trips[Consignee],SMALL(IF(Trips[Claim No.]=INV_CLAIM,_xlfn.SEQUENCE(ROWS(Trips[Claim No.]))),ROW()-11)),"")</f>
        <v/>
      </c>
      <c r="H22" s="83">
        <f t="array" ref="H22">IFERROR(INDEX(Trips[Waiting (d)],SMALL(IF(Trips[Claim No.]=INV_CLAIM,_xlfn.SEQUENCE(ROWS(Trips[Claim No.]))),ROW()-11)),"")</f>
        <v/>
      </c>
      <c r="I22" s="83">
        <f t="array" ref="I22">IFERROR(INDEX(Trips[Laytime (d)],SMALL(IF(Trips[Claim No.]=INV_CLAIM,_xlfn.SEQUENCE(ROWS(Trips[Claim No.]))),ROW()-11)),"")</f>
        <v/>
      </c>
      <c r="J22" s="83">
        <f t="array" ref="J22">IFERROR(INDEX(Trips[Excess (d)],SMALL(IF(Trips[Claim No.]=INV_CLAIM,_xlfn.SEQUENCE(ROWS(Trips[Claim No.]))),ROW()-11)),"")</f>
        <v/>
      </c>
      <c r="K22" s="170">
        <f t="array" ref="K22">IFERROR(INDEX(Trips[Demurrage (USD)],SMALL(IF(Trips[Claim No.]=INV_CLAIM,_xlfn.SEQUENCE(ROWS(Trips[Claim No.]))),ROW()-11)),"")</f>
        <v/>
      </c>
    </row>
    <row r="23">
      <c r="B23">
        <f t="array" ref="B23">IFERROR(IF(SMALL(IF(Trips[Claim No.]=INV_CLAIM,_xlfn.SEQUENCE(ROWS(Trips[Claim No.]))),ROW()-11)&gt;0,ROW()-11,""),"")</f>
        <v/>
      </c>
      <c r="C23" s="184">
        <f t="array" ref="C23">IFERROR(INDEX(Trips[Date Loaded],SMALL(IF(Trips[Claim No.]=INV_CLAIM,_xlfn.SEQUENCE(ROWS(Trips[Claim No.]))),ROW()-11)),"")</f>
        <v/>
      </c>
      <c r="D23">
        <f t="array" ref="D23">IFERROR(INDEX(Trips[Truck No.],SMALL(IF(Trips[Claim No.]=INV_CLAIM,_xlfn.SEQUENCE(ROWS(Trips[Claim No.]))),ROW()-11)),"")</f>
        <v/>
      </c>
      <c r="E23" s="184">
        <f t="array" ref="E23">IFERROR(INDEX(Trips[Arrival],SMALL(IF(Trips[Claim No.]=INV_CLAIM,_xlfn.SEQUENCE(ROWS(Trips[Claim No.]))),ROW()-11)),"")</f>
        <v/>
      </c>
      <c r="F23" s="184">
        <f t="array" ref="F23">IFERROR(INDEX(Trips[Offloaded],SMALL(IF(Trips[Claim No.]=INV_CLAIM,_xlfn.SEQUENCE(ROWS(Trips[Claim No.]))),ROW()-11)),"")</f>
        <v/>
      </c>
      <c r="G23">
        <f t="array" ref="G23">IFERROR(INDEX(Trips[Consignee],SMALL(IF(Trips[Claim No.]=INV_CLAIM,_xlfn.SEQUENCE(ROWS(Trips[Claim No.]))),ROW()-11)),"")</f>
        <v/>
      </c>
      <c r="H23" s="83">
        <f t="array" ref="H23">IFERROR(INDEX(Trips[Waiting (d)],SMALL(IF(Trips[Claim No.]=INV_CLAIM,_xlfn.SEQUENCE(ROWS(Trips[Claim No.]))),ROW()-11)),"")</f>
        <v/>
      </c>
      <c r="I23" s="83">
        <f t="array" ref="I23">IFERROR(INDEX(Trips[Laytime (d)],SMALL(IF(Trips[Claim No.]=INV_CLAIM,_xlfn.SEQUENCE(ROWS(Trips[Claim No.]))),ROW()-11)),"")</f>
        <v/>
      </c>
      <c r="J23" s="83">
        <f t="array" ref="J23">IFERROR(INDEX(Trips[Excess (d)],SMALL(IF(Trips[Claim No.]=INV_CLAIM,_xlfn.SEQUENCE(ROWS(Trips[Claim No.]))),ROW()-11)),"")</f>
        <v/>
      </c>
      <c r="K23" s="170">
        <f t="array" ref="K23">IFERROR(INDEX(Trips[Demurrage (USD)],SMALL(IF(Trips[Claim No.]=INV_CLAIM,_xlfn.SEQUENCE(ROWS(Trips[Claim No.]))),ROW()-11)),"")</f>
        <v/>
      </c>
    </row>
    <row r="24">
      <c r="B24">
        <f t="array" ref="B24">IFERROR(IF(SMALL(IF(Trips[Claim No.]=INV_CLAIM,_xlfn.SEQUENCE(ROWS(Trips[Claim No.]))),ROW()-11)&gt;0,ROW()-11,""),"")</f>
        <v/>
      </c>
      <c r="C24" s="184">
        <f t="array" ref="C24">IFERROR(INDEX(Trips[Date Loaded],SMALL(IF(Trips[Claim No.]=INV_CLAIM,_xlfn.SEQUENCE(ROWS(Trips[Claim No.]))),ROW()-11)),"")</f>
        <v/>
      </c>
      <c r="D24">
        <f t="array" ref="D24">IFERROR(INDEX(Trips[Truck No.],SMALL(IF(Trips[Claim No.]=INV_CLAIM,_xlfn.SEQUENCE(ROWS(Trips[Claim No.]))),ROW()-11)),"")</f>
        <v/>
      </c>
      <c r="E24" s="184">
        <f t="array" ref="E24">IFERROR(INDEX(Trips[Arrival],SMALL(IF(Trips[Claim No.]=INV_CLAIM,_xlfn.SEQUENCE(ROWS(Trips[Claim No.]))),ROW()-11)),"")</f>
        <v/>
      </c>
      <c r="F24" s="184">
        <f t="array" ref="F24">IFERROR(INDEX(Trips[Offloaded],SMALL(IF(Trips[Claim No.]=INV_CLAIM,_xlfn.SEQUENCE(ROWS(Trips[Claim No.]))),ROW()-11)),"")</f>
        <v/>
      </c>
      <c r="G24">
        <f t="array" ref="G24">IFERROR(INDEX(Trips[Consignee],SMALL(IF(Trips[Claim No.]=INV_CLAIM,_xlfn.SEQUENCE(ROWS(Trips[Claim No.]))),ROW()-11)),"")</f>
        <v/>
      </c>
      <c r="H24" s="83">
        <f t="array" ref="H24">IFERROR(INDEX(Trips[Waiting (d)],SMALL(IF(Trips[Claim No.]=INV_CLAIM,_xlfn.SEQUENCE(ROWS(Trips[Claim No.]))),ROW()-11)),"")</f>
        <v/>
      </c>
      <c r="I24" s="83">
        <f t="array" ref="I24">IFERROR(INDEX(Trips[Laytime (d)],SMALL(IF(Trips[Claim No.]=INV_CLAIM,_xlfn.SEQUENCE(ROWS(Trips[Claim No.]))),ROW()-11)),"")</f>
        <v/>
      </c>
      <c r="J24" s="83">
        <f t="array" ref="J24">IFERROR(INDEX(Trips[Excess (d)],SMALL(IF(Trips[Claim No.]=INV_CLAIM,_xlfn.SEQUENCE(ROWS(Trips[Claim No.]))),ROW()-11)),"")</f>
        <v/>
      </c>
      <c r="K24" s="170">
        <f t="array" ref="K24">IFERROR(INDEX(Trips[Demurrage (USD)],SMALL(IF(Trips[Claim No.]=INV_CLAIM,_xlfn.SEQUENCE(ROWS(Trips[Claim No.]))),ROW()-11)),"")</f>
        <v/>
      </c>
    </row>
    <row r="25">
      <c r="B25">
        <f t="array" ref="B25">IFERROR(IF(SMALL(IF(Trips[Claim No.]=INV_CLAIM,_xlfn.SEQUENCE(ROWS(Trips[Claim No.]))),ROW()-11)&gt;0,ROW()-11,""),"")</f>
        <v/>
      </c>
      <c r="C25" s="184">
        <f t="array" ref="C25">IFERROR(INDEX(Trips[Date Loaded],SMALL(IF(Trips[Claim No.]=INV_CLAIM,_xlfn.SEQUENCE(ROWS(Trips[Claim No.]))),ROW()-11)),"")</f>
        <v/>
      </c>
      <c r="D25">
        <f t="array" ref="D25">IFERROR(INDEX(Trips[Truck No.],SMALL(IF(Trips[Claim No.]=INV_CLAIM,_xlfn.SEQUENCE(ROWS(Trips[Claim No.]))),ROW()-11)),"")</f>
        <v/>
      </c>
      <c r="E25" s="184">
        <f t="array" ref="E25">IFERROR(INDEX(Trips[Arrival],SMALL(IF(Trips[Claim No.]=INV_CLAIM,_xlfn.SEQUENCE(ROWS(Trips[Claim No.]))),ROW()-11)),"")</f>
        <v/>
      </c>
      <c r="F25" s="184">
        <f t="array" ref="F25">IFERROR(INDEX(Trips[Offloaded],SMALL(IF(Trips[Claim No.]=INV_CLAIM,_xlfn.SEQUENCE(ROWS(Trips[Claim No.]))),ROW()-11)),"")</f>
        <v/>
      </c>
      <c r="G25">
        <f t="array" ref="G25">IFERROR(INDEX(Trips[Consignee],SMALL(IF(Trips[Claim No.]=INV_CLAIM,_xlfn.SEQUENCE(ROWS(Trips[Claim No.]))),ROW()-11)),"")</f>
        <v/>
      </c>
      <c r="H25" s="83">
        <f t="array" ref="H25">IFERROR(INDEX(Trips[Waiting (d)],SMALL(IF(Trips[Claim No.]=INV_CLAIM,_xlfn.SEQUENCE(ROWS(Trips[Claim No.]))),ROW()-11)),"")</f>
        <v/>
      </c>
      <c r="I25" s="83">
        <f t="array" ref="I25">IFERROR(INDEX(Trips[Laytime (d)],SMALL(IF(Trips[Claim No.]=INV_CLAIM,_xlfn.SEQUENCE(ROWS(Trips[Claim No.]))),ROW()-11)),"")</f>
        <v/>
      </c>
      <c r="J25" s="83">
        <f t="array" ref="J25">IFERROR(INDEX(Trips[Excess (d)],SMALL(IF(Trips[Claim No.]=INV_CLAIM,_xlfn.SEQUENCE(ROWS(Trips[Claim No.]))),ROW()-11)),"")</f>
        <v/>
      </c>
      <c r="K25" s="170">
        <f t="array" ref="K25">IFERROR(INDEX(Trips[Demurrage (USD)],SMALL(IF(Trips[Claim No.]=INV_CLAIM,_xlfn.SEQUENCE(ROWS(Trips[Claim No.]))),ROW()-11)),"")</f>
        <v/>
      </c>
    </row>
    <row r="26">
      <c r="B26">
        <f t="array" ref="B26">IFERROR(IF(SMALL(IF(Trips[Claim No.]=INV_CLAIM,_xlfn.SEQUENCE(ROWS(Trips[Claim No.]))),ROW()-11)&gt;0,ROW()-11,""),"")</f>
        <v/>
      </c>
      <c r="C26" s="184">
        <f t="array" ref="C26">IFERROR(INDEX(Trips[Date Loaded],SMALL(IF(Trips[Claim No.]=INV_CLAIM,_xlfn.SEQUENCE(ROWS(Trips[Claim No.]))),ROW()-11)),"")</f>
        <v/>
      </c>
      <c r="D26">
        <f t="array" ref="D26">IFERROR(INDEX(Trips[Truck No.],SMALL(IF(Trips[Claim No.]=INV_CLAIM,_xlfn.SEQUENCE(ROWS(Trips[Claim No.]))),ROW()-11)),"")</f>
        <v/>
      </c>
      <c r="E26" s="184">
        <f t="array" ref="E26">IFERROR(INDEX(Trips[Arrival],SMALL(IF(Trips[Claim No.]=INV_CLAIM,_xlfn.SEQUENCE(ROWS(Trips[Claim No.]))),ROW()-11)),"")</f>
        <v/>
      </c>
      <c r="F26" s="184">
        <f t="array" ref="F26">IFERROR(INDEX(Trips[Offloaded],SMALL(IF(Trips[Claim No.]=INV_CLAIM,_xlfn.SEQUENCE(ROWS(Trips[Claim No.]))),ROW()-11)),"")</f>
        <v/>
      </c>
      <c r="G26">
        <f t="array" ref="G26">IFERROR(INDEX(Trips[Consignee],SMALL(IF(Trips[Claim No.]=INV_CLAIM,_xlfn.SEQUENCE(ROWS(Trips[Claim No.]))),ROW()-11)),"")</f>
        <v/>
      </c>
      <c r="H26" s="83">
        <f t="array" ref="H26">IFERROR(INDEX(Trips[Waiting (d)],SMALL(IF(Trips[Claim No.]=INV_CLAIM,_xlfn.SEQUENCE(ROWS(Trips[Claim No.]))),ROW()-11)),"")</f>
        <v/>
      </c>
      <c r="I26" s="83">
        <f t="array" ref="I26">IFERROR(INDEX(Trips[Laytime (d)],SMALL(IF(Trips[Claim No.]=INV_CLAIM,_xlfn.SEQUENCE(ROWS(Trips[Claim No.]))),ROW()-11)),"")</f>
        <v/>
      </c>
      <c r="J26" s="83">
        <f t="array" ref="J26">IFERROR(INDEX(Trips[Excess (d)],SMALL(IF(Trips[Claim No.]=INV_CLAIM,_xlfn.SEQUENCE(ROWS(Trips[Claim No.]))),ROW()-11)),"")</f>
        <v/>
      </c>
      <c r="K26" s="170">
        <f t="array" ref="K26">IFERROR(INDEX(Trips[Demurrage (USD)],SMALL(IF(Trips[Claim No.]=INV_CLAIM,_xlfn.SEQUENCE(ROWS(Trips[Claim No.]))),ROW()-11)),"")</f>
        <v/>
      </c>
    </row>
    <row r="27">
      <c r="B27">
        <f t="array" ref="B27">IFERROR(IF(SMALL(IF(Trips[Claim No.]=INV_CLAIM,_xlfn.SEQUENCE(ROWS(Trips[Claim No.]))),ROW()-11)&gt;0,ROW()-11,""),"")</f>
        <v/>
      </c>
      <c r="C27" s="184">
        <f t="array" ref="C27">IFERROR(INDEX(Trips[Date Loaded],SMALL(IF(Trips[Claim No.]=INV_CLAIM,_xlfn.SEQUENCE(ROWS(Trips[Claim No.]))),ROW()-11)),"")</f>
        <v/>
      </c>
      <c r="D27">
        <f t="array" ref="D27">IFERROR(INDEX(Trips[Truck No.],SMALL(IF(Trips[Claim No.]=INV_CLAIM,_xlfn.SEQUENCE(ROWS(Trips[Claim No.]))),ROW()-11)),"")</f>
        <v/>
      </c>
      <c r="E27" s="184">
        <f t="array" ref="E27">IFERROR(INDEX(Trips[Arrival],SMALL(IF(Trips[Claim No.]=INV_CLAIM,_xlfn.SEQUENCE(ROWS(Trips[Claim No.]))),ROW()-11)),"")</f>
        <v/>
      </c>
      <c r="F27" s="184">
        <f t="array" ref="F27">IFERROR(INDEX(Trips[Offloaded],SMALL(IF(Trips[Claim No.]=INV_CLAIM,_xlfn.SEQUENCE(ROWS(Trips[Claim No.]))),ROW()-11)),"")</f>
        <v/>
      </c>
      <c r="G27">
        <f t="array" ref="G27">IFERROR(INDEX(Trips[Consignee],SMALL(IF(Trips[Claim No.]=INV_CLAIM,_xlfn.SEQUENCE(ROWS(Trips[Claim No.]))),ROW()-11)),"")</f>
        <v/>
      </c>
      <c r="H27" s="83">
        <f t="array" ref="H27">IFERROR(INDEX(Trips[Waiting (d)],SMALL(IF(Trips[Claim No.]=INV_CLAIM,_xlfn.SEQUENCE(ROWS(Trips[Claim No.]))),ROW()-11)),"")</f>
        <v/>
      </c>
      <c r="I27" s="83">
        <f t="array" ref="I27">IFERROR(INDEX(Trips[Laytime (d)],SMALL(IF(Trips[Claim No.]=INV_CLAIM,_xlfn.SEQUENCE(ROWS(Trips[Claim No.]))),ROW()-11)),"")</f>
        <v/>
      </c>
      <c r="J27" s="83">
        <f t="array" ref="J27">IFERROR(INDEX(Trips[Excess (d)],SMALL(IF(Trips[Claim No.]=INV_CLAIM,_xlfn.SEQUENCE(ROWS(Trips[Claim No.]))),ROW()-11)),"")</f>
        <v/>
      </c>
      <c r="K27" s="170">
        <f t="array" ref="K27">IFERROR(INDEX(Trips[Demurrage (USD)],SMALL(IF(Trips[Claim No.]=INV_CLAIM,_xlfn.SEQUENCE(ROWS(Trips[Claim No.]))),ROW()-11)),"")</f>
        <v/>
      </c>
    </row>
    <row r="28">
      <c r="B28">
        <f t="array" ref="B28">IFERROR(IF(SMALL(IF(Trips[Claim No.]=INV_CLAIM,_xlfn.SEQUENCE(ROWS(Trips[Claim No.]))),ROW()-11)&gt;0,ROW()-11,""),"")</f>
        <v/>
      </c>
      <c r="C28" s="184">
        <f t="array" ref="C28">IFERROR(INDEX(Trips[Date Loaded],SMALL(IF(Trips[Claim No.]=INV_CLAIM,_xlfn.SEQUENCE(ROWS(Trips[Claim No.]))),ROW()-11)),"")</f>
        <v/>
      </c>
      <c r="D28">
        <f t="array" ref="D28">IFERROR(INDEX(Trips[Truck No.],SMALL(IF(Trips[Claim No.]=INV_CLAIM,_xlfn.SEQUENCE(ROWS(Trips[Claim No.]))),ROW()-11)),"")</f>
        <v/>
      </c>
      <c r="E28" s="184">
        <f t="array" ref="E28">IFERROR(INDEX(Trips[Arrival],SMALL(IF(Trips[Claim No.]=INV_CLAIM,_xlfn.SEQUENCE(ROWS(Trips[Claim No.]))),ROW()-11)),"")</f>
        <v/>
      </c>
      <c r="F28" s="184">
        <f t="array" ref="F28">IFERROR(INDEX(Trips[Offloaded],SMALL(IF(Trips[Claim No.]=INV_CLAIM,_xlfn.SEQUENCE(ROWS(Trips[Claim No.]))),ROW()-11)),"")</f>
        <v/>
      </c>
      <c r="G28">
        <f t="array" ref="G28">IFERROR(INDEX(Trips[Consignee],SMALL(IF(Trips[Claim No.]=INV_CLAIM,_xlfn.SEQUENCE(ROWS(Trips[Claim No.]))),ROW()-11)),"")</f>
        <v/>
      </c>
      <c r="H28" s="83">
        <f t="array" ref="H28">IFERROR(INDEX(Trips[Waiting (d)],SMALL(IF(Trips[Claim No.]=INV_CLAIM,_xlfn.SEQUENCE(ROWS(Trips[Claim No.]))),ROW()-11)),"")</f>
        <v/>
      </c>
      <c r="I28" s="83">
        <f t="array" ref="I28">IFERROR(INDEX(Trips[Laytime (d)],SMALL(IF(Trips[Claim No.]=INV_CLAIM,_xlfn.SEQUENCE(ROWS(Trips[Claim No.]))),ROW()-11)),"")</f>
        <v/>
      </c>
      <c r="J28" s="83">
        <f t="array" ref="J28">IFERROR(INDEX(Trips[Excess (d)],SMALL(IF(Trips[Claim No.]=INV_CLAIM,_xlfn.SEQUENCE(ROWS(Trips[Claim No.]))),ROW()-11)),"")</f>
        <v/>
      </c>
      <c r="K28" s="170">
        <f t="array" ref="K28">IFERROR(INDEX(Trips[Demurrage (USD)],SMALL(IF(Trips[Claim No.]=INV_CLAIM,_xlfn.SEQUENCE(ROWS(Trips[Claim No.]))),ROW()-11)),"")</f>
        <v/>
      </c>
    </row>
    <row r="29">
      <c r="B29">
        <f t="array" ref="B29">IFERROR(IF(SMALL(IF(Trips[Claim No.]=INV_CLAIM,_xlfn.SEQUENCE(ROWS(Trips[Claim No.]))),ROW()-11)&gt;0,ROW()-11,""),"")</f>
        <v/>
      </c>
      <c r="C29" s="184">
        <f t="array" ref="C29">IFERROR(INDEX(Trips[Date Loaded],SMALL(IF(Trips[Claim No.]=INV_CLAIM,_xlfn.SEQUENCE(ROWS(Trips[Claim No.]))),ROW()-11)),"")</f>
        <v/>
      </c>
      <c r="D29">
        <f t="array" ref="D29">IFERROR(INDEX(Trips[Truck No.],SMALL(IF(Trips[Claim No.]=INV_CLAIM,_xlfn.SEQUENCE(ROWS(Trips[Claim No.]))),ROW()-11)),"")</f>
        <v/>
      </c>
      <c r="E29" s="184">
        <f t="array" ref="E29">IFERROR(INDEX(Trips[Arrival],SMALL(IF(Trips[Claim No.]=INV_CLAIM,_xlfn.SEQUENCE(ROWS(Trips[Claim No.]))),ROW()-11)),"")</f>
        <v/>
      </c>
      <c r="F29" s="184">
        <f t="array" ref="F29">IFERROR(INDEX(Trips[Offloaded],SMALL(IF(Trips[Claim No.]=INV_CLAIM,_xlfn.SEQUENCE(ROWS(Trips[Claim No.]))),ROW()-11)),"")</f>
        <v/>
      </c>
      <c r="G29">
        <f t="array" ref="G29">IFERROR(INDEX(Trips[Consignee],SMALL(IF(Trips[Claim No.]=INV_CLAIM,_xlfn.SEQUENCE(ROWS(Trips[Claim No.]))),ROW()-11)),"")</f>
        <v/>
      </c>
      <c r="H29" s="83">
        <f t="array" ref="H29">IFERROR(INDEX(Trips[Waiting (d)],SMALL(IF(Trips[Claim No.]=INV_CLAIM,_xlfn.SEQUENCE(ROWS(Trips[Claim No.]))),ROW()-11)),"")</f>
        <v/>
      </c>
      <c r="I29" s="83">
        <f t="array" ref="I29">IFERROR(INDEX(Trips[Laytime (d)],SMALL(IF(Trips[Claim No.]=INV_CLAIM,_xlfn.SEQUENCE(ROWS(Trips[Claim No.]))),ROW()-11)),"")</f>
        <v/>
      </c>
      <c r="J29" s="83">
        <f t="array" ref="J29">IFERROR(INDEX(Trips[Excess (d)],SMALL(IF(Trips[Claim No.]=INV_CLAIM,_xlfn.SEQUENCE(ROWS(Trips[Claim No.]))),ROW()-11)),"")</f>
        <v/>
      </c>
      <c r="K29" s="170">
        <f t="array" ref="K29">IFERROR(INDEX(Trips[Demurrage (USD)],SMALL(IF(Trips[Claim No.]=INV_CLAIM,_xlfn.SEQUENCE(ROWS(Trips[Claim No.]))),ROW()-11)),"")</f>
        <v/>
      </c>
    </row>
    <row r="30">
      <c r="B30">
        <f t="array" ref="B30">IFERROR(IF(SMALL(IF(Trips[Claim No.]=INV_CLAIM,_xlfn.SEQUENCE(ROWS(Trips[Claim No.]))),ROW()-11)&gt;0,ROW()-11,""),"")</f>
        <v/>
      </c>
      <c r="C30" s="184">
        <f t="array" ref="C30">IFERROR(INDEX(Trips[Date Loaded],SMALL(IF(Trips[Claim No.]=INV_CLAIM,_xlfn.SEQUENCE(ROWS(Trips[Claim No.]))),ROW()-11)),"")</f>
        <v/>
      </c>
      <c r="D30">
        <f t="array" ref="D30">IFERROR(INDEX(Trips[Truck No.],SMALL(IF(Trips[Claim No.]=INV_CLAIM,_xlfn.SEQUENCE(ROWS(Trips[Claim No.]))),ROW()-11)),"")</f>
        <v/>
      </c>
      <c r="E30" s="184">
        <f t="array" ref="E30">IFERROR(INDEX(Trips[Arrival],SMALL(IF(Trips[Claim No.]=INV_CLAIM,_xlfn.SEQUENCE(ROWS(Trips[Claim No.]))),ROW()-11)),"")</f>
        <v/>
      </c>
      <c r="F30" s="184">
        <f t="array" ref="F30">IFERROR(INDEX(Trips[Offloaded],SMALL(IF(Trips[Claim No.]=INV_CLAIM,_xlfn.SEQUENCE(ROWS(Trips[Claim No.]))),ROW()-11)),"")</f>
        <v/>
      </c>
      <c r="G30">
        <f t="array" ref="G30">IFERROR(INDEX(Trips[Consignee],SMALL(IF(Trips[Claim No.]=INV_CLAIM,_xlfn.SEQUENCE(ROWS(Trips[Claim No.]))),ROW()-11)),"")</f>
        <v/>
      </c>
      <c r="H30" s="83">
        <f t="array" ref="H30">IFERROR(INDEX(Trips[Waiting (d)],SMALL(IF(Trips[Claim No.]=INV_CLAIM,_xlfn.SEQUENCE(ROWS(Trips[Claim No.]))),ROW()-11)),"")</f>
        <v/>
      </c>
      <c r="I30" s="83">
        <f t="array" ref="I30">IFERROR(INDEX(Trips[Laytime (d)],SMALL(IF(Trips[Claim No.]=INV_CLAIM,_xlfn.SEQUENCE(ROWS(Trips[Claim No.]))),ROW()-11)),"")</f>
        <v/>
      </c>
      <c r="J30" s="83">
        <f t="array" ref="J30">IFERROR(INDEX(Trips[Excess (d)],SMALL(IF(Trips[Claim No.]=INV_CLAIM,_xlfn.SEQUENCE(ROWS(Trips[Claim No.]))),ROW()-11)),"")</f>
        <v/>
      </c>
      <c r="K30" s="170">
        <f t="array" ref="K30">IFERROR(INDEX(Trips[Demurrage (USD)],SMALL(IF(Trips[Claim No.]=INV_CLAIM,_xlfn.SEQUENCE(ROWS(Trips[Claim No.]))),ROW()-11)),"")</f>
        <v/>
      </c>
    </row>
    <row r="31">
      <c r="B31">
        <f t="array" ref="B31">IFERROR(IF(SMALL(IF(Trips[Claim No.]=INV_CLAIM,_xlfn.SEQUENCE(ROWS(Trips[Claim No.]))),ROW()-11)&gt;0,ROW()-11,""),"")</f>
        <v/>
      </c>
      <c r="C31" s="184">
        <f t="array" ref="C31">IFERROR(INDEX(Trips[Date Loaded],SMALL(IF(Trips[Claim No.]=INV_CLAIM,_xlfn.SEQUENCE(ROWS(Trips[Claim No.]))),ROW()-11)),"")</f>
        <v/>
      </c>
      <c r="D31">
        <f t="array" ref="D31">IFERROR(INDEX(Trips[Truck No.],SMALL(IF(Trips[Claim No.]=INV_CLAIM,_xlfn.SEQUENCE(ROWS(Trips[Claim No.]))),ROW()-11)),"")</f>
        <v/>
      </c>
      <c r="E31" s="184">
        <f t="array" ref="E31">IFERROR(INDEX(Trips[Arrival],SMALL(IF(Trips[Claim No.]=INV_CLAIM,_xlfn.SEQUENCE(ROWS(Trips[Claim No.]))),ROW()-11)),"")</f>
        <v/>
      </c>
      <c r="F31" s="184">
        <f t="array" ref="F31">IFERROR(INDEX(Trips[Offloaded],SMALL(IF(Trips[Claim No.]=INV_CLAIM,_xlfn.SEQUENCE(ROWS(Trips[Claim No.]))),ROW()-11)),"")</f>
        <v/>
      </c>
      <c r="G31">
        <f t="array" ref="G31">IFERROR(INDEX(Trips[Consignee],SMALL(IF(Trips[Claim No.]=INV_CLAIM,_xlfn.SEQUENCE(ROWS(Trips[Claim No.]))),ROW()-11)),"")</f>
        <v/>
      </c>
      <c r="H31" s="83">
        <f t="array" ref="H31">IFERROR(INDEX(Trips[Waiting (d)],SMALL(IF(Trips[Claim No.]=INV_CLAIM,_xlfn.SEQUENCE(ROWS(Trips[Claim No.]))),ROW()-11)),"")</f>
        <v/>
      </c>
      <c r="I31" s="83">
        <f t="array" ref="I31">IFERROR(INDEX(Trips[Laytime (d)],SMALL(IF(Trips[Claim No.]=INV_CLAIM,_xlfn.SEQUENCE(ROWS(Trips[Claim No.]))),ROW()-11)),"")</f>
        <v/>
      </c>
      <c r="J31" s="83">
        <f t="array" ref="J31">IFERROR(INDEX(Trips[Excess (d)],SMALL(IF(Trips[Claim No.]=INV_CLAIM,_xlfn.SEQUENCE(ROWS(Trips[Claim No.]))),ROW()-11)),"")</f>
        <v/>
      </c>
      <c r="K31" s="170">
        <f t="array" ref="K31">IFERROR(INDEX(Trips[Demurrage (USD)],SMALL(IF(Trips[Claim No.]=INV_CLAIM,_xlfn.SEQUENCE(ROWS(Trips[Claim No.]))),ROW()-11)),"")</f>
        <v/>
      </c>
    </row>
    <row r="32">
      <c r="B32">
        <f t="array" ref="B32">IFERROR(IF(SMALL(IF(Trips[Claim No.]=INV_CLAIM,_xlfn.SEQUENCE(ROWS(Trips[Claim No.]))),ROW()-11)&gt;0,ROW()-11,""),"")</f>
        <v/>
      </c>
      <c r="C32" s="184">
        <f t="array" ref="C32">IFERROR(INDEX(Trips[Date Loaded],SMALL(IF(Trips[Claim No.]=INV_CLAIM,_xlfn.SEQUENCE(ROWS(Trips[Claim No.]))),ROW()-11)),"")</f>
        <v/>
      </c>
      <c r="D32">
        <f t="array" ref="D32">IFERROR(INDEX(Trips[Truck No.],SMALL(IF(Trips[Claim No.]=INV_CLAIM,_xlfn.SEQUENCE(ROWS(Trips[Claim No.]))),ROW()-11)),"")</f>
        <v/>
      </c>
      <c r="E32" s="184">
        <f t="array" ref="E32">IFERROR(INDEX(Trips[Arrival],SMALL(IF(Trips[Claim No.]=INV_CLAIM,_xlfn.SEQUENCE(ROWS(Trips[Claim No.]))),ROW()-11)),"")</f>
        <v/>
      </c>
      <c r="F32" s="184">
        <f t="array" ref="F32">IFERROR(INDEX(Trips[Offloaded],SMALL(IF(Trips[Claim No.]=INV_CLAIM,_xlfn.SEQUENCE(ROWS(Trips[Claim No.]))),ROW()-11)),"")</f>
        <v/>
      </c>
      <c r="G32">
        <f t="array" ref="G32">IFERROR(INDEX(Trips[Consignee],SMALL(IF(Trips[Claim No.]=INV_CLAIM,_xlfn.SEQUENCE(ROWS(Trips[Claim No.]))),ROW()-11)),"")</f>
        <v/>
      </c>
      <c r="H32" s="83">
        <f t="array" ref="H32">IFERROR(INDEX(Trips[Waiting (d)],SMALL(IF(Trips[Claim No.]=INV_CLAIM,_xlfn.SEQUENCE(ROWS(Trips[Claim No.]))),ROW()-11)),"")</f>
        <v/>
      </c>
      <c r="I32" s="83">
        <f t="array" ref="I32">IFERROR(INDEX(Trips[Laytime (d)],SMALL(IF(Trips[Claim No.]=INV_CLAIM,_xlfn.SEQUENCE(ROWS(Trips[Claim No.]))),ROW()-11)),"")</f>
        <v/>
      </c>
      <c r="J32" s="83">
        <f t="array" ref="J32">IFERROR(INDEX(Trips[Excess (d)],SMALL(IF(Trips[Claim No.]=INV_CLAIM,_xlfn.SEQUENCE(ROWS(Trips[Claim No.]))),ROW()-11)),"")</f>
        <v/>
      </c>
      <c r="K32" s="170">
        <f t="array" ref="K32">IFERROR(INDEX(Trips[Demurrage (USD)],SMALL(IF(Trips[Claim No.]=INV_CLAIM,_xlfn.SEQUENCE(ROWS(Trips[Claim No.]))),ROW()-11)),"")</f>
        <v/>
      </c>
    </row>
    <row r="33">
      <c r="B33">
        <f t="array" ref="B33">IFERROR(IF(SMALL(IF(Trips[Claim No.]=INV_CLAIM,_xlfn.SEQUENCE(ROWS(Trips[Claim No.]))),ROW()-11)&gt;0,ROW()-11,""),"")</f>
        <v/>
      </c>
      <c r="C33" s="184">
        <f t="array" ref="C33">IFERROR(INDEX(Trips[Date Loaded],SMALL(IF(Trips[Claim No.]=INV_CLAIM,_xlfn.SEQUENCE(ROWS(Trips[Claim No.]))),ROW()-11)),"")</f>
        <v/>
      </c>
      <c r="D33">
        <f t="array" ref="D33">IFERROR(INDEX(Trips[Truck No.],SMALL(IF(Trips[Claim No.]=INV_CLAIM,_xlfn.SEQUENCE(ROWS(Trips[Claim No.]))),ROW()-11)),"")</f>
        <v/>
      </c>
      <c r="E33" s="184">
        <f t="array" ref="E33">IFERROR(INDEX(Trips[Arrival],SMALL(IF(Trips[Claim No.]=INV_CLAIM,_xlfn.SEQUENCE(ROWS(Trips[Claim No.]))),ROW()-11)),"")</f>
        <v/>
      </c>
      <c r="F33" s="184">
        <f t="array" ref="F33">IFERROR(INDEX(Trips[Offloaded],SMALL(IF(Trips[Claim No.]=INV_CLAIM,_xlfn.SEQUENCE(ROWS(Trips[Claim No.]))),ROW()-11)),"")</f>
        <v/>
      </c>
      <c r="G33">
        <f t="array" ref="G33">IFERROR(INDEX(Trips[Consignee],SMALL(IF(Trips[Claim No.]=INV_CLAIM,_xlfn.SEQUENCE(ROWS(Trips[Claim No.]))),ROW()-11)),"")</f>
        <v/>
      </c>
      <c r="H33" s="83">
        <f t="array" ref="H33">IFERROR(INDEX(Trips[Waiting (d)],SMALL(IF(Trips[Claim No.]=INV_CLAIM,_xlfn.SEQUENCE(ROWS(Trips[Claim No.]))),ROW()-11)),"")</f>
        <v/>
      </c>
      <c r="I33" s="83">
        <f t="array" ref="I33">IFERROR(INDEX(Trips[Laytime (d)],SMALL(IF(Trips[Claim No.]=INV_CLAIM,_xlfn.SEQUENCE(ROWS(Trips[Claim No.]))),ROW()-11)),"")</f>
        <v/>
      </c>
      <c r="J33" s="83">
        <f t="array" ref="J33">IFERROR(INDEX(Trips[Excess (d)],SMALL(IF(Trips[Claim No.]=INV_CLAIM,_xlfn.SEQUENCE(ROWS(Trips[Claim No.]))),ROW()-11)),"")</f>
        <v/>
      </c>
      <c r="K33" s="170">
        <f t="array" ref="K33">IFERROR(INDEX(Trips[Demurrage (USD)],SMALL(IF(Trips[Claim No.]=INV_CLAIM,_xlfn.SEQUENCE(ROWS(Trips[Claim No.]))),ROW()-11)),"")</f>
        <v/>
      </c>
    </row>
    <row r="34">
      <c r="B34">
        <f t="array" ref="B34">IFERROR(IF(SMALL(IF(Trips[Claim No.]=INV_CLAIM,_xlfn.SEQUENCE(ROWS(Trips[Claim No.]))),ROW()-11)&gt;0,ROW()-11,""),"")</f>
        <v/>
      </c>
      <c r="C34" s="184">
        <f t="array" ref="C34">IFERROR(INDEX(Trips[Date Loaded],SMALL(IF(Trips[Claim No.]=INV_CLAIM,_xlfn.SEQUENCE(ROWS(Trips[Claim No.]))),ROW()-11)),"")</f>
        <v/>
      </c>
      <c r="D34">
        <f t="array" ref="D34">IFERROR(INDEX(Trips[Truck No.],SMALL(IF(Trips[Claim No.]=INV_CLAIM,_xlfn.SEQUENCE(ROWS(Trips[Claim No.]))),ROW()-11)),"")</f>
        <v/>
      </c>
      <c r="E34" s="184">
        <f t="array" ref="E34">IFERROR(INDEX(Trips[Arrival],SMALL(IF(Trips[Claim No.]=INV_CLAIM,_xlfn.SEQUENCE(ROWS(Trips[Claim No.]))),ROW()-11)),"")</f>
        <v/>
      </c>
      <c r="F34" s="184">
        <f t="array" ref="F34">IFERROR(INDEX(Trips[Offloaded],SMALL(IF(Trips[Claim No.]=INV_CLAIM,_xlfn.SEQUENCE(ROWS(Trips[Claim No.]))),ROW()-11)),"")</f>
        <v/>
      </c>
      <c r="G34">
        <f t="array" ref="G34">IFERROR(INDEX(Trips[Consignee],SMALL(IF(Trips[Claim No.]=INV_CLAIM,_xlfn.SEQUENCE(ROWS(Trips[Claim No.]))),ROW()-11)),"")</f>
        <v/>
      </c>
      <c r="H34" s="83">
        <f t="array" ref="H34">IFERROR(INDEX(Trips[Waiting (d)],SMALL(IF(Trips[Claim No.]=INV_CLAIM,_xlfn.SEQUENCE(ROWS(Trips[Claim No.]))),ROW()-11)),"")</f>
        <v/>
      </c>
      <c r="I34" s="83">
        <f t="array" ref="I34">IFERROR(INDEX(Trips[Laytime (d)],SMALL(IF(Trips[Claim No.]=INV_CLAIM,_xlfn.SEQUENCE(ROWS(Trips[Claim No.]))),ROW()-11)),"")</f>
        <v/>
      </c>
      <c r="J34" s="83">
        <f t="array" ref="J34">IFERROR(INDEX(Trips[Excess (d)],SMALL(IF(Trips[Claim No.]=INV_CLAIM,_xlfn.SEQUENCE(ROWS(Trips[Claim No.]))),ROW()-11)),"")</f>
        <v/>
      </c>
      <c r="K34" s="170">
        <f t="array" ref="K34">IFERROR(INDEX(Trips[Demurrage (USD)],SMALL(IF(Trips[Claim No.]=INV_CLAIM,_xlfn.SEQUENCE(ROWS(Trips[Claim No.]))),ROW()-11)),"")</f>
        <v/>
      </c>
    </row>
    <row r="35">
      <c r="B35">
        <f t="array" ref="B35">IFERROR(IF(SMALL(IF(Trips[Claim No.]=INV_CLAIM,_xlfn.SEQUENCE(ROWS(Trips[Claim No.]))),ROW()-11)&gt;0,ROW()-11,""),"")</f>
        <v/>
      </c>
      <c r="C35" s="184">
        <f t="array" ref="C35">IFERROR(INDEX(Trips[Date Loaded],SMALL(IF(Trips[Claim No.]=INV_CLAIM,_xlfn.SEQUENCE(ROWS(Trips[Claim No.]))),ROW()-11)),"")</f>
        <v/>
      </c>
      <c r="D35">
        <f t="array" ref="D35">IFERROR(INDEX(Trips[Truck No.],SMALL(IF(Trips[Claim No.]=INV_CLAIM,_xlfn.SEQUENCE(ROWS(Trips[Claim No.]))),ROW()-11)),"")</f>
        <v/>
      </c>
      <c r="E35" s="184">
        <f t="array" ref="E35">IFERROR(INDEX(Trips[Arrival],SMALL(IF(Trips[Claim No.]=INV_CLAIM,_xlfn.SEQUENCE(ROWS(Trips[Claim No.]))),ROW()-11)),"")</f>
        <v/>
      </c>
      <c r="F35" s="184">
        <f t="array" ref="F35">IFERROR(INDEX(Trips[Offloaded],SMALL(IF(Trips[Claim No.]=INV_CLAIM,_xlfn.SEQUENCE(ROWS(Trips[Claim No.]))),ROW()-11)),"")</f>
        <v/>
      </c>
      <c r="G35">
        <f t="array" ref="G35">IFERROR(INDEX(Trips[Consignee],SMALL(IF(Trips[Claim No.]=INV_CLAIM,_xlfn.SEQUENCE(ROWS(Trips[Claim No.]))),ROW()-11)),"")</f>
        <v/>
      </c>
      <c r="H35" s="83">
        <f t="array" ref="H35">IFERROR(INDEX(Trips[Waiting (d)],SMALL(IF(Trips[Claim No.]=INV_CLAIM,_xlfn.SEQUENCE(ROWS(Trips[Claim No.]))),ROW()-11)),"")</f>
        <v/>
      </c>
      <c r="I35" s="83">
        <f t="array" ref="I35">IFERROR(INDEX(Trips[Laytime (d)],SMALL(IF(Trips[Claim No.]=INV_CLAIM,_xlfn.SEQUENCE(ROWS(Trips[Claim No.]))),ROW()-11)),"")</f>
        <v/>
      </c>
      <c r="J35" s="83">
        <f t="array" ref="J35">IFERROR(INDEX(Trips[Excess (d)],SMALL(IF(Trips[Claim No.]=INV_CLAIM,_xlfn.SEQUENCE(ROWS(Trips[Claim No.]))),ROW()-11)),"")</f>
        <v/>
      </c>
      <c r="K35" s="170">
        <f t="array" ref="K35">IFERROR(INDEX(Trips[Demurrage (USD)],SMALL(IF(Trips[Claim No.]=INV_CLAIM,_xlfn.SEQUENCE(ROWS(Trips[Claim No.]))),ROW()-11)),"")</f>
        <v/>
      </c>
    </row>
    <row r="36">
      <c r="B36">
        <f t="array" ref="B36">IFERROR(IF(SMALL(IF(Trips[Claim No.]=INV_CLAIM,_xlfn.SEQUENCE(ROWS(Trips[Claim No.]))),ROW()-11)&gt;0,ROW()-11,""),"")</f>
        <v/>
      </c>
      <c r="C36" s="184">
        <f t="array" ref="C36">IFERROR(INDEX(Trips[Date Loaded],SMALL(IF(Trips[Claim No.]=INV_CLAIM,_xlfn.SEQUENCE(ROWS(Trips[Claim No.]))),ROW()-11)),"")</f>
        <v/>
      </c>
      <c r="D36">
        <f t="array" ref="D36">IFERROR(INDEX(Trips[Truck No.],SMALL(IF(Trips[Claim No.]=INV_CLAIM,_xlfn.SEQUENCE(ROWS(Trips[Claim No.]))),ROW()-11)),"")</f>
        <v/>
      </c>
      <c r="E36" s="184">
        <f t="array" ref="E36">IFERROR(INDEX(Trips[Arrival],SMALL(IF(Trips[Claim No.]=INV_CLAIM,_xlfn.SEQUENCE(ROWS(Trips[Claim No.]))),ROW()-11)),"")</f>
        <v/>
      </c>
      <c r="F36" s="184">
        <f t="array" ref="F36">IFERROR(INDEX(Trips[Offloaded],SMALL(IF(Trips[Claim No.]=INV_CLAIM,_xlfn.SEQUENCE(ROWS(Trips[Claim No.]))),ROW()-11)),"")</f>
        <v/>
      </c>
      <c r="G36">
        <f t="array" ref="G36">IFERROR(INDEX(Trips[Consignee],SMALL(IF(Trips[Claim No.]=INV_CLAIM,_xlfn.SEQUENCE(ROWS(Trips[Claim No.]))),ROW()-11)),"")</f>
        <v/>
      </c>
      <c r="H36" s="83">
        <f t="array" ref="H36">IFERROR(INDEX(Trips[Waiting (d)],SMALL(IF(Trips[Claim No.]=INV_CLAIM,_xlfn.SEQUENCE(ROWS(Trips[Claim No.]))),ROW()-11)),"")</f>
        <v/>
      </c>
      <c r="I36" s="83">
        <f t="array" ref="I36">IFERROR(INDEX(Trips[Laytime (d)],SMALL(IF(Trips[Claim No.]=INV_CLAIM,_xlfn.SEQUENCE(ROWS(Trips[Claim No.]))),ROW()-11)),"")</f>
        <v/>
      </c>
      <c r="J36" s="83">
        <f t="array" ref="J36">IFERROR(INDEX(Trips[Excess (d)],SMALL(IF(Trips[Claim No.]=INV_CLAIM,_xlfn.SEQUENCE(ROWS(Trips[Claim No.]))),ROW()-11)),"")</f>
        <v/>
      </c>
      <c r="K36" s="170">
        <f t="array" ref="K36">IFERROR(INDEX(Trips[Demurrage (USD)],SMALL(IF(Trips[Claim No.]=INV_CLAIM,_xlfn.SEQUENCE(ROWS(Trips[Claim No.]))),ROW()-11)),"")</f>
        <v/>
      </c>
    </row>
    <row r="37">
      <c r="B37">
        <f t="array" ref="B37">IFERROR(IF(SMALL(IF(Trips[Claim No.]=INV_CLAIM,_xlfn.SEQUENCE(ROWS(Trips[Claim No.]))),ROW()-11)&gt;0,ROW()-11,""),"")</f>
        <v/>
      </c>
      <c r="C37" s="184">
        <f t="array" ref="C37">IFERROR(INDEX(Trips[Date Loaded],SMALL(IF(Trips[Claim No.]=INV_CLAIM,_xlfn.SEQUENCE(ROWS(Trips[Claim No.]))),ROW()-11)),"")</f>
        <v/>
      </c>
      <c r="D37">
        <f t="array" ref="D37">IFERROR(INDEX(Trips[Truck No.],SMALL(IF(Trips[Claim No.]=INV_CLAIM,_xlfn.SEQUENCE(ROWS(Trips[Claim No.]))),ROW()-11)),"")</f>
        <v/>
      </c>
      <c r="E37" s="184">
        <f t="array" ref="E37">IFERROR(INDEX(Trips[Arrival],SMALL(IF(Trips[Claim No.]=INV_CLAIM,_xlfn.SEQUENCE(ROWS(Trips[Claim No.]))),ROW()-11)),"")</f>
        <v/>
      </c>
      <c r="F37" s="184">
        <f t="array" ref="F37">IFERROR(INDEX(Trips[Offloaded],SMALL(IF(Trips[Claim No.]=INV_CLAIM,_xlfn.SEQUENCE(ROWS(Trips[Claim No.]))),ROW()-11)),"")</f>
        <v/>
      </c>
      <c r="G37">
        <f t="array" ref="G37">IFERROR(INDEX(Trips[Consignee],SMALL(IF(Trips[Claim No.]=INV_CLAIM,_xlfn.SEQUENCE(ROWS(Trips[Claim No.]))),ROW()-11)),"")</f>
        <v/>
      </c>
      <c r="H37" s="83">
        <f t="array" ref="H37">IFERROR(INDEX(Trips[Waiting (d)],SMALL(IF(Trips[Claim No.]=INV_CLAIM,_xlfn.SEQUENCE(ROWS(Trips[Claim No.]))),ROW()-11)),"")</f>
        <v/>
      </c>
      <c r="I37" s="83">
        <f t="array" ref="I37">IFERROR(INDEX(Trips[Laytime (d)],SMALL(IF(Trips[Claim No.]=INV_CLAIM,_xlfn.SEQUENCE(ROWS(Trips[Claim No.]))),ROW()-11)),"")</f>
        <v/>
      </c>
      <c r="J37" s="83">
        <f t="array" ref="J37">IFERROR(INDEX(Trips[Excess (d)],SMALL(IF(Trips[Claim No.]=INV_CLAIM,_xlfn.SEQUENCE(ROWS(Trips[Claim No.]))),ROW()-11)),"")</f>
        <v/>
      </c>
      <c r="K37" s="170">
        <f t="array" ref="K37">IFERROR(INDEX(Trips[Demurrage (USD)],SMALL(IF(Trips[Claim No.]=INV_CLAIM,_xlfn.SEQUENCE(ROWS(Trips[Claim No.]))),ROW()-11)),"")</f>
        <v/>
      </c>
    </row>
    <row r="38">
      <c r="B38">
        <f t="array" ref="B38">IFERROR(IF(SMALL(IF(Trips[Claim No.]=INV_CLAIM,_xlfn.SEQUENCE(ROWS(Trips[Claim No.]))),ROW()-11)&gt;0,ROW()-11,""),"")</f>
        <v/>
      </c>
      <c r="C38" s="184">
        <f t="array" ref="C38">IFERROR(INDEX(Trips[Date Loaded],SMALL(IF(Trips[Claim No.]=INV_CLAIM,_xlfn.SEQUENCE(ROWS(Trips[Claim No.]))),ROW()-11)),"")</f>
        <v/>
      </c>
      <c r="D38">
        <f t="array" ref="D38">IFERROR(INDEX(Trips[Truck No.],SMALL(IF(Trips[Claim No.]=INV_CLAIM,_xlfn.SEQUENCE(ROWS(Trips[Claim No.]))),ROW()-11)),"")</f>
        <v/>
      </c>
      <c r="E38" s="184">
        <f t="array" ref="E38">IFERROR(INDEX(Trips[Arrival],SMALL(IF(Trips[Claim No.]=INV_CLAIM,_xlfn.SEQUENCE(ROWS(Trips[Claim No.]))),ROW()-11)),"")</f>
        <v/>
      </c>
      <c r="F38" s="184">
        <f t="array" ref="F38">IFERROR(INDEX(Trips[Offloaded],SMALL(IF(Trips[Claim No.]=INV_CLAIM,_xlfn.SEQUENCE(ROWS(Trips[Claim No.]))),ROW()-11)),"")</f>
        <v/>
      </c>
      <c r="G38">
        <f t="array" ref="G38">IFERROR(INDEX(Trips[Consignee],SMALL(IF(Trips[Claim No.]=INV_CLAIM,_xlfn.SEQUENCE(ROWS(Trips[Claim No.]))),ROW()-11)),"")</f>
        <v/>
      </c>
      <c r="H38" s="83">
        <f t="array" ref="H38">IFERROR(INDEX(Trips[Waiting (d)],SMALL(IF(Trips[Claim No.]=INV_CLAIM,_xlfn.SEQUENCE(ROWS(Trips[Claim No.]))),ROW()-11)),"")</f>
        <v/>
      </c>
      <c r="I38" s="83">
        <f t="array" ref="I38">IFERROR(INDEX(Trips[Laytime (d)],SMALL(IF(Trips[Claim No.]=INV_CLAIM,_xlfn.SEQUENCE(ROWS(Trips[Claim No.]))),ROW()-11)),"")</f>
        <v/>
      </c>
      <c r="J38" s="83">
        <f t="array" ref="J38">IFERROR(INDEX(Trips[Excess (d)],SMALL(IF(Trips[Claim No.]=INV_CLAIM,_xlfn.SEQUENCE(ROWS(Trips[Claim No.]))),ROW()-11)),"")</f>
        <v/>
      </c>
      <c r="K38" s="170">
        <f t="array" ref="K38">IFERROR(INDEX(Trips[Demurrage (USD)],SMALL(IF(Trips[Claim No.]=INV_CLAIM,_xlfn.SEQUENCE(ROWS(Trips[Claim No.]))),ROW()-11)),"")</f>
        <v/>
      </c>
    </row>
    <row r="39">
      <c r="B39">
        <f t="array" ref="B39">IFERROR(IF(SMALL(IF(Trips[Claim No.]=INV_CLAIM,_xlfn.SEQUENCE(ROWS(Trips[Claim No.]))),ROW()-11)&gt;0,ROW()-11,""),"")</f>
        <v/>
      </c>
      <c r="C39" s="184">
        <f t="array" ref="C39">IFERROR(INDEX(Trips[Date Loaded],SMALL(IF(Trips[Claim No.]=INV_CLAIM,_xlfn.SEQUENCE(ROWS(Trips[Claim No.]))),ROW()-11)),"")</f>
        <v/>
      </c>
      <c r="D39">
        <f t="array" ref="D39">IFERROR(INDEX(Trips[Truck No.],SMALL(IF(Trips[Claim No.]=INV_CLAIM,_xlfn.SEQUENCE(ROWS(Trips[Claim No.]))),ROW()-11)),"")</f>
        <v/>
      </c>
      <c r="E39" s="184">
        <f t="array" ref="E39">IFERROR(INDEX(Trips[Arrival],SMALL(IF(Trips[Claim No.]=INV_CLAIM,_xlfn.SEQUENCE(ROWS(Trips[Claim No.]))),ROW()-11)),"")</f>
        <v/>
      </c>
      <c r="F39" s="184">
        <f t="array" ref="F39">IFERROR(INDEX(Trips[Offloaded],SMALL(IF(Trips[Claim No.]=INV_CLAIM,_xlfn.SEQUENCE(ROWS(Trips[Claim No.]))),ROW()-11)),"")</f>
        <v/>
      </c>
      <c r="G39">
        <f t="array" ref="G39">IFERROR(INDEX(Trips[Consignee],SMALL(IF(Trips[Claim No.]=INV_CLAIM,_xlfn.SEQUENCE(ROWS(Trips[Claim No.]))),ROW()-11)),"")</f>
        <v/>
      </c>
      <c r="H39" s="83">
        <f t="array" ref="H39">IFERROR(INDEX(Trips[Waiting (d)],SMALL(IF(Trips[Claim No.]=INV_CLAIM,_xlfn.SEQUENCE(ROWS(Trips[Claim No.]))),ROW()-11)),"")</f>
        <v/>
      </c>
      <c r="I39" s="83">
        <f t="array" ref="I39">IFERROR(INDEX(Trips[Laytime (d)],SMALL(IF(Trips[Claim No.]=INV_CLAIM,_xlfn.SEQUENCE(ROWS(Trips[Claim No.]))),ROW()-11)),"")</f>
        <v/>
      </c>
      <c r="J39" s="83">
        <f t="array" ref="J39">IFERROR(INDEX(Trips[Excess (d)],SMALL(IF(Trips[Claim No.]=INV_CLAIM,_xlfn.SEQUENCE(ROWS(Trips[Claim No.]))),ROW()-11)),"")</f>
        <v/>
      </c>
      <c r="K39" s="170">
        <f t="array" ref="K39">IFERROR(INDEX(Trips[Demurrage (USD)],SMALL(IF(Trips[Claim No.]=INV_CLAIM,_xlfn.SEQUENCE(ROWS(Trips[Claim No.]))),ROW()-11)),"")</f>
        <v/>
      </c>
    </row>
    <row r="40">
      <c r="B40">
        <f t="array" ref="B40">IFERROR(IF(SMALL(IF(Trips[Claim No.]=INV_CLAIM,_xlfn.SEQUENCE(ROWS(Trips[Claim No.]))),ROW()-11)&gt;0,ROW()-11,""),"")</f>
        <v/>
      </c>
      <c r="C40" s="184">
        <f t="array" ref="C40">IFERROR(INDEX(Trips[Date Loaded],SMALL(IF(Trips[Claim No.]=INV_CLAIM,_xlfn.SEQUENCE(ROWS(Trips[Claim No.]))),ROW()-11)),"")</f>
        <v/>
      </c>
      <c r="D40">
        <f t="array" ref="D40">IFERROR(INDEX(Trips[Truck No.],SMALL(IF(Trips[Claim No.]=INV_CLAIM,_xlfn.SEQUENCE(ROWS(Trips[Claim No.]))),ROW()-11)),"")</f>
        <v/>
      </c>
      <c r="E40" s="184">
        <f t="array" ref="E40">IFERROR(INDEX(Trips[Arrival],SMALL(IF(Trips[Claim No.]=INV_CLAIM,_xlfn.SEQUENCE(ROWS(Trips[Claim No.]))),ROW()-11)),"")</f>
        <v/>
      </c>
      <c r="F40" s="184">
        <f t="array" ref="F40">IFERROR(INDEX(Trips[Offloaded],SMALL(IF(Trips[Claim No.]=INV_CLAIM,_xlfn.SEQUENCE(ROWS(Trips[Claim No.]))),ROW()-11)),"")</f>
        <v/>
      </c>
      <c r="G40">
        <f t="array" ref="G40">IFERROR(INDEX(Trips[Consignee],SMALL(IF(Trips[Claim No.]=INV_CLAIM,_xlfn.SEQUENCE(ROWS(Trips[Claim No.]))),ROW()-11)),"")</f>
        <v/>
      </c>
      <c r="H40" s="83">
        <f t="array" ref="H40">IFERROR(INDEX(Trips[Waiting (d)],SMALL(IF(Trips[Claim No.]=INV_CLAIM,_xlfn.SEQUENCE(ROWS(Trips[Claim No.]))),ROW()-11)),"")</f>
        <v/>
      </c>
      <c r="I40" s="83">
        <f t="array" ref="I40">IFERROR(INDEX(Trips[Laytime (d)],SMALL(IF(Trips[Claim No.]=INV_CLAIM,_xlfn.SEQUENCE(ROWS(Trips[Claim No.]))),ROW()-11)),"")</f>
        <v/>
      </c>
      <c r="J40" s="83">
        <f t="array" ref="J40">IFERROR(INDEX(Trips[Excess (d)],SMALL(IF(Trips[Claim No.]=INV_CLAIM,_xlfn.SEQUENCE(ROWS(Trips[Claim No.]))),ROW()-11)),"")</f>
        <v/>
      </c>
      <c r="K40" s="170">
        <f t="array" ref="K40">IFERROR(INDEX(Trips[Demurrage (USD)],SMALL(IF(Trips[Claim No.]=INV_CLAIM,_xlfn.SEQUENCE(ROWS(Trips[Claim No.]))),ROW()-11)),"")</f>
        <v/>
      </c>
    </row>
    <row r="41">
      <c r="B41">
        <f t="array" ref="B41">IFERROR(IF(SMALL(IF(Trips[Claim No.]=INV_CLAIM,_xlfn.SEQUENCE(ROWS(Trips[Claim No.]))),ROW()-11)&gt;0,ROW()-11,""),"")</f>
        <v/>
      </c>
      <c r="C41" s="184">
        <f t="array" ref="C41">IFERROR(INDEX(Trips[Date Loaded],SMALL(IF(Trips[Claim No.]=INV_CLAIM,_xlfn.SEQUENCE(ROWS(Trips[Claim No.]))),ROW()-11)),"")</f>
        <v/>
      </c>
      <c r="D41">
        <f t="array" ref="D41">IFERROR(INDEX(Trips[Truck No.],SMALL(IF(Trips[Claim No.]=INV_CLAIM,_xlfn.SEQUENCE(ROWS(Trips[Claim No.]))),ROW()-11)),"")</f>
        <v/>
      </c>
      <c r="E41" s="184">
        <f t="array" ref="E41">IFERROR(INDEX(Trips[Arrival],SMALL(IF(Trips[Claim No.]=INV_CLAIM,_xlfn.SEQUENCE(ROWS(Trips[Claim No.]))),ROW()-11)),"")</f>
        <v/>
      </c>
      <c r="F41" s="184">
        <f t="array" ref="F41">IFERROR(INDEX(Trips[Offloaded],SMALL(IF(Trips[Claim No.]=INV_CLAIM,_xlfn.SEQUENCE(ROWS(Trips[Claim No.]))),ROW()-11)),"")</f>
        <v/>
      </c>
      <c r="G41">
        <f t="array" ref="G41">IFERROR(INDEX(Trips[Consignee],SMALL(IF(Trips[Claim No.]=INV_CLAIM,_xlfn.SEQUENCE(ROWS(Trips[Claim No.]))),ROW()-11)),"")</f>
        <v/>
      </c>
      <c r="H41" s="83">
        <f t="array" ref="H41">IFERROR(INDEX(Trips[Waiting (d)],SMALL(IF(Trips[Claim No.]=INV_CLAIM,_xlfn.SEQUENCE(ROWS(Trips[Claim No.]))),ROW()-11)),"")</f>
        <v/>
      </c>
      <c r="I41" s="83">
        <f t="array" ref="I41">IFERROR(INDEX(Trips[Laytime (d)],SMALL(IF(Trips[Claim No.]=INV_CLAIM,_xlfn.SEQUENCE(ROWS(Trips[Claim No.]))),ROW()-11)),"")</f>
        <v/>
      </c>
      <c r="J41" s="83">
        <f t="array" ref="J41">IFERROR(INDEX(Trips[Excess (d)],SMALL(IF(Trips[Claim No.]=INV_CLAIM,_xlfn.SEQUENCE(ROWS(Trips[Claim No.]))),ROW()-11)),"")</f>
        <v/>
      </c>
      <c r="K41" s="170">
        <f t="array" ref="K41">IFERROR(INDEX(Trips[Demurrage (USD)],SMALL(IF(Trips[Claim No.]=INV_CLAIM,_xlfn.SEQUENCE(ROWS(Trips[Claim No.]))),ROW()-11)),"")</f>
        <v/>
      </c>
    </row>
    <row r="42">
      <c r="B42">
        <f t="array" ref="B42">IFERROR(IF(SMALL(IF(Trips[Claim No.]=INV_CLAIM,_xlfn.SEQUENCE(ROWS(Trips[Claim No.]))),ROW()-11)&gt;0,ROW()-11,""),"")</f>
        <v/>
      </c>
      <c r="C42" s="184">
        <f t="array" ref="C42">IFERROR(INDEX(Trips[Date Loaded],SMALL(IF(Trips[Claim No.]=INV_CLAIM,_xlfn.SEQUENCE(ROWS(Trips[Claim No.]))),ROW()-11)),"")</f>
        <v/>
      </c>
      <c r="D42">
        <f t="array" ref="D42">IFERROR(INDEX(Trips[Truck No.],SMALL(IF(Trips[Claim No.]=INV_CLAIM,_xlfn.SEQUENCE(ROWS(Trips[Claim No.]))),ROW()-11)),"")</f>
        <v/>
      </c>
      <c r="E42" s="184">
        <f t="array" ref="E42">IFERROR(INDEX(Trips[Arrival],SMALL(IF(Trips[Claim No.]=INV_CLAIM,_xlfn.SEQUENCE(ROWS(Trips[Claim No.]))),ROW()-11)),"")</f>
        <v/>
      </c>
      <c r="F42" s="184">
        <f t="array" ref="F42">IFERROR(INDEX(Trips[Offloaded],SMALL(IF(Trips[Claim No.]=INV_CLAIM,_xlfn.SEQUENCE(ROWS(Trips[Claim No.]))),ROW()-11)),"")</f>
        <v/>
      </c>
      <c r="G42">
        <f t="array" ref="G42">IFERROR(INDEX(Trips[Consignee],SMALL(IF(Trips[Claim No.]=INV_CLAIM,_xlfn.SEQUENCE(ROWS(Trips[Claim No.]))),ROW()-11)),"")</f>
        <v/>
      </c>
      <c r="H42" s="83">
        <f t="array" ref="H42">IFERROR(INDEX(Trips[Waiting (d)],SMALL(IF(Trips[Claim No.]=INV_CLAIM,_xlfn.SEQUENCE(ROWS(Trips[Claim No.]))),ROW()-11)),"")</f>
        <v/>
      </c>
      <c r="I42" s="83">
        <f t="array" ref="I42">IFERROR(INDEX(Trips[Laytime (d)],SMALL(IF(Trips[Claim No.]=INV_CLAIM,_xlfn.SEQUENCE(ROWS(Trips[Claim No.]))),ROW()-11)),"")</f>
        <v/>
      </c>
      <c r="J42" s="83">
        <f t="array" ref="J42">IFERROR(INDEX(Trips[Excess (d)],SMALL(IF(Trips[Claim No.]=INV_CLAIM,_xlfn.SEQUENCE(ROWS(Trips[Claim No.]))),ROW()-11)),"")</f>
        <v/>
      </c>
      <c r="K42" s="170">
        <f t="array" ref="K42">IFERROR(INDEX(Trips[Demurrage (USD)],SMALL(IF(Trips[Claim No.]=INV_CLAIM,_xlfn.SEQUENCE(ROWS(Trips[Claim No.]))),ROW()-11)),"")</f>
        <v/>
      </c>
    </row>
    <row r="43">
      <c r="B43">
        <f t="array" ref="B43">IFERROR(IF(SMALL(IF(Trips[Claim No.]=INV_CLAIM,_xlfn.SEQUENCE(ROWS(Trips[Claim No.]))),ROW()-11)&gt;0,ROW()-11,""),"")</f>
        <v/>
      </c>
      <c r="C43" s="184">
        <f t="array" ref="C43">IFERROR(INDEX(Trips[Date Loaded],SMALL(IF(Trips[Claim No.]=INV_CLAIM,_xlfn.SEQUENCE(ROWS(Trips[Claim No.]))),ROW()-11)),"")</f>
        <v/>
      </c>
      <c r="D43">
        <f t="array" ref="D43">IFERROR(INDEX(Trips[Truck No.],SMALL(IF(Trips[Claim No.]=INV_CLAIM,_xlfn.SEQUENCE(ROWS(Trips[Claim No.]))),ROW()-11)),"")</f>
        <v/>
      </c>
      <c r="E43" s="184">
        <f t="array" ref="E43">IFERROR(INDEX(Trips[Arrival],SMALL(IF(Trips[Claim No.]=INV_CLAIM,_xlfn.SEQUENCE(ROWS(Trips[Claim No.]))),ROW()-11)),"")</f>
        <v/>
      </c>
      <c r="F43" s="184">
        <f t="array" ref="F43">IFERROR(INDEX(Trips[Offloaded],SMALL(IF(Trips[Claim No.]=INV_CLAIM,_xlfn.SEQUENCE(ROWS(Trips[Claim No.]))),ROW()-11)),"")</f>
        <v/>
      </c>
      <c r="G43">
        <f t="array" ref="G43">IFERROR(INDEX(Trips[Consignee],SMALL(IF(Trips[Claim No.]=INV_CLAIM,_xlfn.SEQUENCE(ROWS(Trips[Claim No.]))),ROW()-11)),"")</f>
        <v/>
      </c>
      <c r="H43" s="83">
        <f t="array" ref="H43">IFERROR(INDEX(Trips[Waiting (d)],SMALL(IF(Trips[Claim No.]=INV_CLAIM,_xlfn.SEQUENCE(ROWS(Trips[Claim No.]))),ROW()-11)),"")</f>
        <v/>
      </c>
      <c r="I43" s="83">
        <f t="array" ref="I43">IFERROR(INDEX(Trips[Laytime (d)],SMALL(IF(Trips[Claim No.]=INV_CLAIM,_xlfn.SEQUENCE(ROWS(Trips[Claim No.]))),ROW()-11)),"")</f>
        <v/>
      </c>
      <c r="J43" s="83">
        <f t="array" ref="J43">IFERROR(INDEX(Trips[Excess (d)],SMALL(IF(Trips[Claim No.]=INV_CLAIM,_xlfn.SEQUENCE(ROWS(Trips[Claim No.]))),ROW()-11)),"")</f>
        <v/>
      </c>
      <c r="K43" s="170">
        <f t="array" ref="K43">IFERROR(INDEX(Trips[Demurrage (USD)],SMALL(IF(Trips[Claim No.]=INV_CLAIM,_xlfn.SEQUENCE(ROWS(Trips[Claim No.]))),ROW()-11)),"")</f>
        <v/>
      </c>
    </row>
    <row r="44">
      <c r="B44">
        <f t="array" ref="B44">IFERROR(IF(SMALL(IF(Trips[Claim No.]=INV_CLAIM,_xlfn.SEQUENCE(ROWS(Trips[Claim No.]))),ROW()-11)&gt;0,ROW()-11,""),"")</f>
        <v/>
      </c>
      <c r="C44" s="184">
        <f t="array" ref="C44">IFERROR(INDEX(Trips[Date Loaded],SMALL(IF(Trips[Claim No.]=INV_CLAIM,_xlfn.SEQUENCE(ROWS(Trips[Claim No.]))),ROW()-11)),"")</f>
        <v/>
      </c>
      <c r="D44">
        <f t="array" ref="D44">IFERROR(INDEX(Trips[Truck No.],SMALL(IF(Trips[Claim No.]=INV_CLAIM,_xlfn.SEQUENCE(ROWS(Trips[Claim No.]))),ROW()-11)),"")</f>
        <v/>
      </c>
      <c r="E44" s="184">
        <f t="array" ref="E44">IFERROR(INDEX(Trips[Arrival],SMALL(IF(Trips[Claim No.]=INV_CLAIM,_xlfn.SEQUENCE(ROWS(Trips[Claim No.]))),ROW()-11)),"")</f>
        <v/>
      </c>
      <c r="F44" s="184">
        <f t="array" ref="F44">IFERROR(INDEX(Trips[Offloaded],SMALL(IF(Trips[Claim No.]=INV_CLAIM,_xlfn.SEQUENCE(ROWS(Trips[Claim No.]))),ROW()-11)),"")</f>
        <v/>
      </c>
      <c r="G44">
        <f t="array" ref="G44">IFERROR(INDEX(Trips[Consignee],SMALL(IF(Trips[Claim No.]=INV_CLAIM,_xlfn.SEQUENCE(ROWS(Trips[Claim No.]))),ROW()-11)),"")</f>
        <v/>
      </c>
      <c r="H44" s="83">
        <f t="array" ref="H44">IFERROR(INDEX(Trips[Waiting (d)],SMALL(IF(Trips[Claim No.]=INV_CLAIM,_xlfn.SEQUENCE(ROWS(Trips[Claim No.]))),ROW()-11)),"")</f>
        <v/>
      </c>
      <c r="I44" s="83">
        <f t="array" ref="I44">IFERROR(INDEX(Trips[Laytime (d)],SMALL(IF(Trips[Claim No.]=INV_CLAIM,_xlfn.SEQUENCE(ROWS(Trips[Claim No.]))),ROW()-11)),"")</f>
        <v/>
      </c>
      <c r="J44" s="83">
        <f t="array" ref="J44">IFERROR(INDEX(Trips[Excess (d)],SMALL(IF(Trips[Claim No.]=INV_CLAIM,_xlfn.SEQUENCE(ROWS(Trips[Claim No.]))),ROW()-11)),"")</f>
        <v/>
      </c>
      <c r="K44" s="170">
        <f t="array" ref="K44">IFERROR(INDEX(Trips[Demurrage (USD)],SMALL(IF(Trips[Claim No.]=INV_CLAIM,_xlfn.SEQUENCE(ROWS(Trips[Claim No.]))),ROW()-11)),"")</f>
        <v/>
      </c>
    </row>
    <row r="45">
      <c r="B45">
        <f t="array" ref="B45">IFERROR(IF(SMALL(IF(Trips[Claim No.]=INV_CLAIM,_xlfn.SEQUENCE(ROWS(Trips[Claim No.]))),ROW()-11)&gt;0,ROW()-11,""),"")</f>
        <v/>
      </c>
      <c r="C45" s="184">
        <f t="array" ref="C45">IFERROR(INDEX(Trips[Date Loaded],SMALL(IF(Trips[Claim No.]=INV_CLAIM,_xlfn.SEQUENCE(ROWS(Trips[Claim No.]))),ROW()-11)),"")</f>
        <v/>
      </c>
      <c r="D45">
        <f t="array" ref="D45">IFERROR(INDEX(Trips[Truck No.],SMALL(IF(Trips[Claim No.]=INV_CLAIM,_xlfn.SEQUENCE(ROWS(Trips[Claim No.]))),ROW()-11)),"")</f>
        <v/>
      </c>
      <c r="E45" s="184">
        <f t="array" ref="E45">IFERROR(INDEX(Trips[Arrival],SMALL(IF(Trips[Claim No.]=INV_CLAIM,_xlfn.SEQUENCE(ROWS(Trips[Claim No.]))),ROW()-11)),"")</f>
        <v/>
      </c>
      <c r="F45" s="184">
        <f t="array" ref="F45">IFERROR(INDEX(Trips[Offloaded],SMALL(IF(Trips[Claim No.]=INV_CLAIM,_xlfn.SEQUENCE(ROWS(Trips[Claim No.]))),ROW()-11)),"")</f>
        <v/>
      </c>
      <c r="G45">
        <f t="array" ref="G45">IFERROR(INDEX(Trips[Consignee],SMALL(IF(Trips[Claim No.]=INV_CLAIM,_xlfn.SEQUENCE(ROWS(Trips[Claim No.]))),ROW()-11)),"")</f>
        <v/>
      </c>
      <c r="H45" s="83">
        <f t="array" ref="H45">IFERROR(INDEX(Trips[Waiting (d)],SMALL(IF(Trips[Claim No.]=INV_CLAIM,_xlfn.SEQUENCE(ROWS(Trips[Claim No.]))),ROW()-11)),"")</f>
        <v/>
      </c>
      <c r="I45" s="83">
        <f t="array" ref="I45">IFERROR(INDEX(Trips[Laytime (d)],SMALL(IF(Trips[Claim No.]=INV_CLAIM,_xlfn.SEQUENCE(ROWS(Trips[Claim No.]))),ROW()-11)),"")</f>
        <v/>
      </c>
      <c r="J45" s="83">
        <f t="array" ref="J45">IFERROR(INDEX(Trips[Excess (d)],SMALL(IF(Trips[Claim No.]=INV_CLAIM,_xlfn.SEQUENCE(ROWS(Trips[Claim No.]))),ROW()-11)),"")</f>
        <v/>
      </c>
      <c r="K45" s="170">
        <f t="array" ref="K45">IFERROR(INDEX(Trips[Demurrage (USD)],SMALL(IF(Trips[Claim No.]=INV_CLAIM,_xlfn.SEQUENCE(ROWS(Trips[Claim No.]))),ROW()-11)),"")</f>
        <v/>
      </c>
    </row>
    <row r="46">
      <c r="B46">
        <f t="array" ref="B46">IFERROR(IF(SMALL(IF(Trips[Claim No.]=INV_CLAIM,_xlfn.SEQUENCE(ROWS(Trips[Claim No.]))),ROW()-11)&gt;0,ROW()-11,""),"")</f>
        <v/>
      </c>
      <c r="C46" s="184">
        <f t="array" ref="C46">IFERROR(INDEX(Trips[Date Loaded],SMALL(IF(Trips[Claim No.]=INV_CLAIM,_xlfn.SEQUENCE(ROWS(Trips[Claim No.]))),ROW()-11)),"")</f>
        <v/>
      </c>
      <c r="D46">
        <f t="array" ref="D46">IFERROR(INDEX(Trips[Truck No.],SMALL(IF(Trips[Claim No.]=INV_CLAIM,_xlfn.SEQUENCE(ROWS(Trips[Claim No.]))),ROW()-11)),"")</f>
        <v/>
      </c>
      <c r="E46" s="184">
        <f t="array" ref="E46">IFERROR(INDEX(Trips[Arrival],SMALL(IF(Trips[Claim No.]=INV_CLAIM,_xlfn.SEQUENCE(ROWS(Trips[Claim No.]))),ROW()-11)),"")</f>
        <v/>
      </c>
      <c r="F46" s="184">
        <f t="array" ref="F46">IFERROR(INDEX(Trips[Offloaded],SMALL(IF(Trips[Claim No.]=INV_CLAIM,_xlfn.SEQUENCE(ROWS(Trips[Claim No.]))),ROW()-11)),"")</f>
        <v/>
      </c>
      <c r="G46">
        <f t="array" ref="G46">IFERROR(INDEX(Trips[Consignee],SMALL(IF(Trips[Claim No.]=INV_CLAIM,_xlfn.SEQUENCE(ROWS(Trips[Claim No.]))),ROW()-11)),"")</f>
        <v/>
      </c>
      <c r="H46" s="83">
        <f t="array" ref="H46">IFERROR(INDEX(Trips[Waiting (d)],SMALL(IF(Trips[Claim No.]=INV_CLAIM,_xlfn.SEQUENCE(ROWS(Trips[Claim No.]))),ROW()-11)),"")</f>
        <v/>
      </c>
      <c r="I46" s="83">
        <f t="array" ref="I46">IFERROR(INDEX(Trips[Laytime (d)],SMALL(IF(Trips[Claim No.]=INV_CLAIM,_xlfn.SEQUENCE(ROWS(Trips[Claim No.]))),ROW()-11)),"")</f>
        <v/>
      </c>
      <c r="J46" s="83">
        <f t="array" ref="J46">IFERROR(INDEX(Trips[Excess (d)],SMALL(IF(Trips[Claim No.]=INV_CLAIM,_xlfn.SEQUENCE(ROWS(Trips[Claim No.]))),ROW()-11)),"")</f>
        <v/>
      </c>
      <c r="K46" s="170">
        <f t="array" ref="K46">IFERROR(INDEX(Trips[Demurrage (USD)],SMALL(IF(Trips[Claim No.]=INV_CLAIM,_xlfn.SEQUENCE(ROWS(Trips[Claim No.]))),ROW()-11)),"")</f>
        <v/>
      </c>
    </row>
    <row r="47">
      <c r="B47">
        <f t="array" ref="B47">IFERROR(IF(SMALL(IF(Trips[Claim No.]=INV_CLAIM,_xlfn.SEQUENCE(ROWS(Trips[Claim No.]))),ROW()-11)&gt;0,ROW()-11,""),"")</f>
        <v/>
      </c>
      <c r="C47" s="184">
        <f t="array" ref="C47">IFERROR(INDEX(Trips[Date Loaded],SMALL(IF(Trips[Claim No.]=INV_CLAIM,_xlfn.SEQUENCE(ROWS(Trips[Claim No.]))),ROW()-11)),"")</f>
        <v/>
      </c>
      <c r="D47">
        <f t="array" ref="D47">IFERROR(INDEX(Trips[Truck No.],SMALL(IF(Trips[Claim No.]=INV_CLAIM,_xlfn.SEQUENCE(ROWS(Trips[Claim No.]))),ROW()-11)),"")</f>
        <v/>
      </c>
      <c r="E47" s="184">
        <f t="array" ref="E47">IFERROR(INDEX(Trips[Arrival],SMALL(IF(Trips[Claim No.]=INV_CLAIM,_xlfn.SEQUENCE(ROWS(Trips[Claim No.]))),ROW()-11)),"")</f>
        <v/>
      </c>
      <c r="F47" s="184">
        <f t="array" ref="F47">IFERROR(INDEX(Trips[Offloaded],SMALL(IF(Trips[Claim No.]=INV_CLAIM,_xlfn.SEQUENCE(ROWS(Trips[Claim No.]))),ROW()-11)),"")</f>
        <v/>
      </c>
      <c r="G47">
        <f t="array" ref="G47">IFERROR(INDEX(Trips[Consignee],SMALL(IF(Trips[Claim No.]=INV_CLAIM,_xlfn.SEQUENCE(ROWS(Trips[Claim No.]))),ROW()-11)),"")</f>
        <v/>
      </c>
      <c r="H47" s="83">
        <f t="array" ref="H47">IFERROR(INDEX(Trips[Waiting (d)],SMALL(IF(Trips[Claim No.]=INV_CLAIM,_xlfn.SEQUENCE(ROWS(Trips[Claim No.]))),ROW()-11)),"")</f>
        <v/>
      </c>
      <c r="I47" s="83">
        <f t="array" ref="I47">IFERROR(INDEX(Trips[Laytime (d)],SMALL(IF(Trips[Claim No.]=INV_CLAIM,_xlfn.SEQUENCE(ROWS(Trips[Claim No.]))),ROW()-11)),"")</f>
        <v/>
      </c>
      <c r="J47" s="83">
        <f t="array" ref="J47">IFERROR(INDEX(Trips[Excess (d)],SMALL(IF(Trips[Claim No.]=INV_CLAIM,_xlfn.SEQUENCE(ROWS(Trips[Claim No.]))),ROW()-11)),"")</f>
        <v/>
      </c>
      <c r="K47" s="170">
        <f t="array" ref="K47">IFERROR(INDEX(Trips[Demurrage (USD)],SMALL(IF(Trips[Claim No.]=INV_CLAIM,_xlfn.SEQUENCE(ROWS(Trips[Claim No.]))),ROW()-11)),"")</f>
        <v/>
      </c>
    </row>
    <row r="48">
      <c r="B48">
        <f t="array" ref="B48">IFERROR(IF(SMALL(IF(Trips[Claim No.]=INV_CLAIM,_xlfn.SEQUENCE(ROWS(Trips[Claim No.]))),ROW()-11)&gt;0,ROW()-11,""),"")</f>
        <v/>
      </c>
      <c r="C48" s="184">
        <f t="array" ref="C48">IFERROR(INDEX(Trips[Date Loaded],SMALL(IF(Trips[Claim No.]=INV_CLAIM,_xlfn.SEQUENCE(ROWS(Trips[Claim No.]))),ROW()-11)),"")</f>
        <v/>
      </c>
      <c r="D48">
        <f t="array" ref="D48">IFERROR(INDEX(Trips[Truck No.],SMALL(IF(Trips[Claim No.]=INV_CLAIM,_xlfn.SEQUENCE(ROWS(Trips[Claim No.]))),ROW()-11)),"")</f>
        <v/>
      </c>
      <c r="E48" s="184">
        <f t="array" ref="E48">IFERROR(INDEX(Trips[Arrival],SMALL(IF(Trips[Claim No.]=INV_CLAIM,_xlfn.SEQUENCE(ROWS(Trips[Claim No.]))),ROW()-11)),"")</f>
        <v/>
      </c>
      <c r="F48" s="184">
        <f t="array" ref="F48">IFERROR(INDEX(Trips[Offloaded],SMALL(IF(Trips[Claim No.]=INV_CLAIM,_xlfn.SEQUENCE(ROWS(Trips[Claim No.]))),ROW()-11)),"")</f>
        <v/>
      </c>
      <c r="G48">
        <f t="array" ref="G48">IFERROR(INDEX(Trips[Consignee],SMALL(IF(Trips[Claim No.]=INV_CLAIM,_xlfn.SEQUENCE(ROWS(Trips[Claim No.]))),ROW()-11)),"")</f>
        <v/>
      </c>
      <c r="H48" s="83">
        <f t="array" ref="H48">IFERROR(INDEX(Trips[Waiting (d)],SMALL(IF(Trips[Claim No.]=INV_CLAIM,_xlfn.SEQUENCE(ROWS(Trips[Claim No.]))),ROW()-11)),"")</f>
        <v/>
      </c>
      <c r="I48" s="83">
        <f t="array" ref="I48">IFERROR(INDEX(Trips[Laytime (d)],SMALL(IF(Trips[Claim No.]=INV_CLAIM,_xlfn.SEQUENCE(ROWS(Trips[Claim No.]))),ROW()-11)),"")</f>
        <v/>
      </c>
      <c r="J48" s="83">
        <f t="array" ref="J48">IFERROR(INDEX(Trips[Excess (d)],SMALL(IF(Trips[Claim No.]=INV_CLAIM,_xlfn.SEQUENCE(ROWS(Trips[Claim No.]))),ROW()-11)),"")</f>
        <v/>
      </c>
      <c r="K48" s="170">
        <f t="array" ref="K48">IFERROR(INDEX(Trips[Demurrage (USD)],SMALL(IF(Trips[Claim No.]=INV_CLAIM,_xlfn.SEQUENCE(ROWS(Trips[Claim No.]))),ROW()-11)),"")</f>
        <v/>
      </c>
    </row>
    <row r="49">
      <c r="B49">
        <f t="array" ref="B49">IFERROR(IF(SMALL(IF(Trips[Claim No.]=INV_CLAIM,_xlfn.SEQUENCE(ROWS(Trips[Claim No.]))),ROW()-11)&gt;0,ROW()-11,""),"")</f>
        <v/>
      </c>
      <c r="C49" s="184">
        <f t="array" ref="C49">IFERROR(INDEX(Trips[Date Loaded],SMALL(IF(Trips[Claim No.]=INV_CLAIM,_xlfn.SEQUENCE(ROWS(Trips[Claim No.]))),ROW()-11)),"")</f>
        <v/>
      </c>
      <c r="D49">
        <f t="array" ref="D49">IFERROR(INDEX(Trips[Truck No.],SMALL(IF(Trips[Claim No.]=INV_CLAIM,_xlfn.SEQUENCE(ROWS(Trips[Claim No.]))),ROW()-11)),"")</f>
        <v/>
      </c>
      <c r="E49" s="184">
        <f t="array" ref="E49">IFERROR(INDEX(Trips[Arrival],SMALL(IF(Trips[Claim No.]=INV_CLAIM,_xlfn.SEQUENCE(ROWS(Trips[Claim No.]))),ROW()-11)),"")</f>
        <v/>
      </c>
      <c r="F49" s="184">
        <f t="array" ref="F49">IFERROR(INDEX(Trips[Offloaded],SMALL(IF(Trips[Claim No.]=INV_CLAIM,_xlfn.SEQUENCE(ROWS(Trips[Claim No.]))),ROW()-11)),"")</f>
        <v/>
      </c>
      <c r="G49">
        <f t="array" ref="G49">IFERROR(INDEX(Trips[Consignee],SMALL(IF(Trips[Claim No.]=INV_CLAIM,_xlfn.SEQUENCE(ROWS(Trips[Claim No.]))),ROW()-11)),"")</f>
        <v/>
      </c>
      <c r="H49" s="83">
        <f t="array" ref="H49">IFERROR(INDEX(Trips[Waiting (d)],SMALL(IF(Trips[Claim No.]=INV_CLAIM,_xlfn.SEQUENCE(ROWS(Trips[Claim No.]))),ROW()-11)),"")</f>
        <v/>
      </c>
      <c r="I49" s="83">
        <f t="array" ref="I49">IFERROR(INDEX(Trips[Laytime (d)],SMALL(IF(Trips[Claim No.]=INV_CLAIM,_xlfn.SEQUENCE(ROWS(Trips[Claim No.]))),ROW()-11)),"")</f>
        <v/>
      </c>
      <c r="J49" s="83">
        <f t="array" ref="J49">IFERROR(INDEX(Trips[Excess (d)],SMALL(IF(Trips[Claim No.]=INV_CLAIM,_xlfn.SEQUENCE(ROWS(Trips[Claim No.]))),ROW()-11)),"")</f>
        <v/>
      </c>
      <c r="K49" s="170">
        <f t="array" ref="K49">IFERROR(INDEX(Trips[Demurrage (USD)],SMALL(IF(Trips[Claim No.]=INV_CLAIM,_xlfn.SEQUENCE(ROWS(Trips[Claim No.]))),ROW()-11)),"")</f>
        <v/>
      </c>
    </row>
    <row r="50">
      <c r="B50">
        <f t="array" ref="B50">IFERROR(IF(SMALL(IF(Trips[Claim No.]=INV_CLAIM,_xlfn.SEQUENCE(ROWS(Trips[Claim No.]))),ROW()-11)&gt;0,ROW()-11,""),"")</f>
        <v/>
      </c>
      <c r="C50" s="184">
        <f t="array" ref="C50">IFERROR(INDEX(Trips[Date Loaded],SMALL(IF(Trips[Claim No.]=INV_CLAIM,_xlfn.SEQUENCE(ROWS(Trips[Claim No.]))),ROW()-11)),"")</f>
        <v/>
      </c>
      <c r="D50">
        <f t="array" ref="D50">IFERROR(INDEX(Trips[Truck No.],SMALL(IF(Trips[Claim No.]=INV_CLAIM,_xlfn.SEQUENCE(ROWS(Trips[Claim No.]))),ROW()-11)),"")</f>
        <v/>
      </c>
      <c r="E50" s="184">
        <f t="array" ref="E50">IFERROR(INDEX(Trips[Arrival],SMALL(IF(Trips[Claim No.]=INV_CLAIM,_xlfn.SEQUENCE(ROWS(Trips[Claim No.]))),ROW()-11)),"")</f>
        <v/>
      </c>
      <c r="F50" s="184">
        <f t="array" ref="F50">IFERROR(INDEX(Trips[Offloaded],SMALL(IF(Trips[Claim No.]=INV_CLAIM,_xlfn.SEQUENCE(ROWS(Trips[Claim No.]))),ROW()-11)),"")</f>
        <v/>
      </c>
      <c r="G50">
        <f t="array" ref="G50">IFERROR(INDEX(Trips[Consignee],SMALL(IF(Trips[Claim No.]=INV_CLAIM,_xlfn.SEQUENCE(ROWS(Trips[Claim No.]))),ROW()-11)),"")</f>
        <v/>
      </c>
      <c r="H50" s="83">
        <f t="array" ref="H50">IFERROR(INDEX(Trips[Waiting (d)],SMALL(IF(Trips[Claim No.]=INV_CLAIM,_xlfn.SEQUENCE(ROWS(Trips[Claim No.]))),ROW()-11)),"")</f>
        <v/>
      </c>
      <c r="I50" s="83">
        <f t="array" ref="I50">IFERROR(INDEX(Trips[Laytime (d)],SMALL(IF(Trips[Claim No.]=INV_CLAIM,_xlfn.SEQUENCE(ROWS(Trips[Claim No.]))),ROW()-11)),"")</f>
        <v/>
      </c>
      <c r="J50" s="83">
        <f t="array" ref="J50">IFERROR(INDEX(Trips[Excess (d)],SMALL(IF(Trips[Claim No.]=INV_CLAIM,_xlfn.SEQUENCE(ROWS(Trips[Claim No.]))),ROW()-11)),"")</f>
        <v/>
      </c>
      <c r="K50" s="170">
        <f t="array" ref="K50">IFERROR(INDEX(Trips[Demurrage (USD)],SMALL(IF(Trips[Claim No.]=INV_CLAIM,_xlfn.SEQUENCE(ROWS(Trips[Claim No.]))),ROW()-11)),"")</f>
        <v/>
      </c>
    </row>
    <row r="51">
      <c r="B51">
        <f t="array" ref="B51">IFERROR(IF(SMALL(IF(Trips[Claim No.]=INV_CLAIM,_xlfn.SEQUENCE(ROWS(Trips[Claim No.]))),ROW()-11)&gt;0,ROW()-11,""),"")</f>
        <v/>
      </c>
      <c r="C51" s="184">
        <f t="array" ref="C51">IFERROR(INDEX(Trips[Date Loaded],SMALL(IF(Trips[Claim No.]=INV_CLAIM,_xlfn.SEQUENCE(ROWS(Trips[Claim No.]))),ROW()-11)),"")</f>
        <v/>
      </c>
      <c r="D51">
        <f t="array" ref="D51">IFERROR(INDEX(Trips[Truck No.],SMALL(IF(Trips[Claim No.]=INV_CLAIM,_xlfn.SEQUENCE(ROWS(Trips[Claim No.]))),ROW()-11)),"")</f>
        <v/>
      </c>
      <c r="E51" s="184">
        <f t="array" ref="E51">IFERROR(INDEX(Trips[Arrival],SMALL(IF(Trips[Claim No.]=INV_CLAIM,_xlfn.SEQUENCE(ROWS(Trips[Claim No.]))),ROW()-11)),"")</f>
        <v/>
      </c>
      <c r="F51" s="184">
        <f t="array" ref="F51">IFERROR(INDEX(Trips[Offloaded],SMALL(IF(Trips[Claim No.]=INV_CLAIM,_xlfn.SEQUENCE(ROWS(Trips[Claim No.]))),ROW()-11)),"")</f>
        <v/>
      </c>
      <c r="G51">
        <f t="array" ref="G51">IFERROR(INDEX(Trips[Consignee],SMALL(IF(Trips[Claim No.]=INV_CLAIM,_xlfn.SEQUENCE(ROWS(Trips[Claim No.]))),ROW()-11)),"")</f>
        <v/>
      </c>
      <c r="H51" s="83">
        <f t="array" ref="H51">IFERROR(INDEX(Trips[Waiting (d)],SMALL(IF(Trips[Claim No.]=INV_CLAIM,_xlfn.SEQUENCE(ROWS(Trips[Claim No.]))),ROW()-11)),"")</f>
        <v/>
      </c>
      <c r="I51" s="83">
        <f t="array" ref="I51">IFERROR(INDEX(Trips[Laytime (d)],SMALL(IF(Trips[Claim No.]=INV_CLAIM,_xlfn.SEQUENCE(ROWS(Trips[Claim No.]))),ROW()-11)),"")</f>
        <v/>
      </c>
      <c r="J51" s="83">
        <f t="array" ref="J51">IFERROR(INDEX(Trips[Excess (d)],SMALL(IF(Trips[Claim No.]=INV_CLAIM,_xlfn.SEQUENCE(ROWS(Trips[Claim No.]))),ROW()-11)),"")</f>
        <v/>
      </c>
      <c r="K51" s="170">
        <f t="array" ref="K51">IFERROR(INDEX(Trips[Demurrage (USD)],SMALL(IF(Trips[Claim No.]=INV_CLAIM,_xlfn.SEQUENCE(ROWS(Trips[Claim No.]))),ROW()-11)),"")</f>
        <v/>
      </c>
    </row>
    <row r="52">
      <c r="B52">
        <f t="array" ref="B52">IFERROR(IF(SMALL(IF(Trips[Claim No.]=INV_CLAIM,_xlfn.SEQUENCE(ROWS(Trips[Claim No.]))),ROW()-11)&gt;0,ROW()-11,""),"")</f>
        <v/>
      </c>
      <c r="C52" s="184">
        <f t="array" ref="C52">IFERROR(INDEX(Trips[Date Loaded],SMALL(IF(Trips[Claim No.]=INV_CLAIM,_xlfn.SEQUENCE(ROWS(Trips[Claim No.]))),ROW()-11)),"")</f>
        <v/>
      </c>
      <c r="D52">
        <f t="array" ref="D52">IFERROR(INDEX(Trips[Truck No.],SMALL(IF(Trips[Claim No.]=INV_CLAIM,_xlfn.SEQUENCE(ROWS(Trips[Claim No.]))),ROW()-11)),"")</f>
        <v/>
      </c>
      <c r="E52" s="184">
        <f t="array" ref="E52">IFERROR(INDEX(Trips[Arrival],SMALL(IF(Trips[Claim No.]=INV_CLAIM,_xlfn.SEQUENCE(ROWS(Trips[Claim No.]))),ROW()-11)),"")</f>
        <v/>
      </c>
      <c r="F52" s="184">
        <f t="array" ref="F52">IFERROR(INDEX(Trips[Offloaded],SMALL(IF(Trips[Claim No.]=INV_CLAIM,_xlfn.SEQUENCE(ROWS(Trips[Claim No.]))),ROW()-11)),"")</f>
        <v/>
      </c>
      <c r="G52">
        <f t="array" ref="G52">IFERROR(INDEX(Trips[Consignee],SMALL(IF(Trips[Claim No.]=INV_CLAIM,_xlfn.SEQUENCE(ROWS(Trips[Claim No.]))),ROW()-11)),"")</f>
        <v/>
      </c>
      <c r="H52" s="83">
        <f t="array" ref="H52">IFERROR(INDEX(Trips[Waiting (d)],SMALL(IF(Trips[Claim No.]=INV_CLAIM,_xlfn.SEQUENCE(ROWS(Trips[Claim No.]))),ROW()-11)),"")</f>
        <v/>
      </c>
      <c r="I52" s="83">
        <f t="array" ref="I52">IFERROR(INDEX(Trips[Laytime (d)],SMALL(IF(Trips[Claim No.]=INV_CLAIM,_xlfn.SEQUENCE(ROWS(Trips[Claim No.]))),ROW()-11)),"")</f>
        <v/>
      </c>
      <c r="J52" s="83">
        <f t="array" ref="J52">IFERROR(INDEX(Trips[Excess (d)],SMALL(IF(Trips[Claim No.]=INV_CLAIM,_xlfn.SEQUENCE(ROWS(Trips[Claim No.]))),ROW()-11)),"")</f>
        <v/>
      </c>
      <c r="K52" s="170">
        <f t="array" ref="K52">IFERROR(INDEX(Trips[Demurrage (USD)],SMALL(IF(Trips[Claim No.]=INV_CLAIM,_xlfn.SEQUENCE(ROWS(Trips[Claim No.]))),ROW()-11)),"")</f>
        <v/>
      </c>
    </row>
    <row r="53">
      <c r="B53">
        <f t="array" ref="B53">IFERROR(IF(SMALL(IF(Trips[Claim No.]=INV_CLAIM,_xlfn.SEQUENCE(ROWS(Trips[Claim No.]))),ROW()-11)&gt;0,ROW()-11,""),"")</f>
        <v/>
      </c>
      <c r="C53" s="184">
        <f t="array" ref="C53">IFERROR(INDEX(Trips[Date Loaded],SMALL(IF(Trips[Claim No.]=INV_CLAIM,_xlfn.SEQUENCE(ROWS(Trips[Claim No.]))),ROW()-11)),"")</f>
        <v/>
      </c>
      <c r="D53">
        <f t="array" ref="D53">IFERROR(INDEX(Trips[Truck No.],SMALL(IF(Trips[Claim No.]=INV_CLAIM,_xlfn.SEQUENCE(ROWS(Trips[Claim No.]))),ROW()-11)),"")</f>
        <v/>
      </c>
      <c r="E53" s="184">
        <f t="array" ref="E53">IFERROR(INDEX(Trips[Arrival],SMALL(IF(Trips[Claim No.]=INV_CLAIM,_xlfn.SEQUENCE(ROWS(Trips[Claim No.]))),ROW()-11)),"")</f>
        <v/>
      </c>
      <c r="F53" s="184">
        <f t="array" ref="F53">IFERROR(INDEX(Trips[Offloaded],SMALL(IF(Trips[Claim No.]=INV_CLAIM,_xlfn.SEQUENCE(ROWS(Trips[Claim No.]))),ROW()-11)),"")</f>
        <v/>
      </c>
      <c r="G53">
        <f t="array" ref="G53">IFERROR(INDEX(Trips[Consignee],SMALL(IF(Trips[Claim No.]=INV_CLAIM,_xlfn.SEQUENCE(ROWS(Trips[Claim No.]))),ROW()-11)),"")</f>
        <v/>
      </c>
      <c r="H53" s="83">
        <f t="array" ref="H53">IFERROR(INDEX(Trips[Waiting (d)],SMALL(IF(Trips[Claim No.]=INV_CLAIM,_xlfn.SEQUENCE(ROWS(Trips[Claim No.]))),ROW()-11)),"")</f>
        <v/>
      </c>
      <c r="I53" s="83">
        <f t="array" ref="I53">IFERROR(INDEX(Trips[Laytime (d)],SMALL(IF(Trips[Claim No.]=INV_CLAIM,_xlfn.SEQUENCE(ROWS(Trips[Claim No.]))),ROW()-11)),"")</f>
        <v/>
      </c>
      <c r="J53" s="83">
        <f t="array" ref="J53">IFERROR(INDEX(Trips[Excess (d)],SMALL(IF(Trips[Claim No.]=INV_CLAIM,_xlfn.SEQUENCE(ROWS(Trips[Claim No.]))),ROW()-11)),"")</f>
        <v/>
      </c>
      <c r="K53" s="170">
        <f t="array" ref="K53">IFERROR(INDEX(Trips[Demurrage (USD)],SMALL(IF(Trips[Claim No.]=INV_CLAIM,_xlfn.SEQUENCE(ROWS(Trips[Claim No.]))),ROW()-11)),"")</f>
        <v/>
      </c>
    </row>
    <row r="54">
      <c r="B54">
        <f t="array" ref="B54">IFERROR(IF(SMALL(IF(Trips[Claim No.]=INV_CLAIM,_xlfn.SEQUENCE(ROWS(Trips[Claim No.]))),ROW()-11)&gt;0,ROW()-11,""),"")</f>
        <v/>
      </c>
      <c r="C54" s="184">
        <f t="array" ref="C54">IFERROR(INDEX(Trips[Date Loaded],SMALL(IF(Trips[Claim No.]=INV_CLAIM,_xlfn.SEQUENCE(ROWS(Trips[Claim No.]))),ROW()-11)),"")</f>
        <v/>
      </c>
      <c r="D54">
        <f t="array" ref="D54">IFERROR(INDEX(Trips[Truck No.],SMALL(IF(Trips[Claim No.]=INV_CLAIM,_xlfn.SEQUENCE(ROWS(Trips[Claim No.]))),ROW()-11)),"")</f>
        <v/>
      </c>
      <c r="E54" s="184">
        <f t="array" ref="E54">IFERROR(INDEX(Trips[Arrival],SMALL(IF(Trips[Claim No.]=INV_CLAIM,_xlfn.SEQUENCE(ROWS(Trips[Claim No.]))),ROW()-11)),"")</f>
        <v/>
      </c>
      <c r="F54" s="184">
        <f t="array" ref="F54">IFERROR(INDEX(Trips[Offloaded],SMALL(IF(Trips[Claim No.]=INV_CLAIM,_xlfn.SEQUENCE(ROWS(Trips[Claim No.]))),ROW()-11)),"")</f>
        <v/>
      </c>
      <c r="G54">
        <f t="array" ref="G54">IFERROR(INDEX(Trips[Consignee],SMALL(IF(Trips[Claim No.]=INV_CLAIM,_xlfn.SEQUENCE(ROWS(Trips[Claim No.]))),ROW()-11)),"")</f>
        <v/>
      </c>
      <c r="H54" s="83">
        <f t="array" ref="H54">IFERROR(INDEX(Trips[Waiting (d)],SMALL(IF(Trips[Claim No.]=INV_CLAIM,_xlfn.SEQUENCE(ROWS(Trips[Claim No.]))),ROW()-11)),"")</f>
        <v/>
      </c>
      <c r="I54" s="83">
        <f t="array" ref="I54">IFERROR(INDEX(Trips[Laytime (d)],SMALL(IF(Trips[Claim No.]=INV_CLAIM,_xlfn.SEQUENCE(ROWS(Trips[Claim No.]))),ROW()-11)),"")</f>
        <v/>
      </c>
      <c r="J54" s="83">
        <f t="array" ref="J54">IFERROR(INDEX(Trips[Excess (d)],SMALL(IF(Trips[Claim No.]=INV_CLAIM,_xlfn.SEQUENCE(ROWS(Trips[Claim No.]))),ROW()-11)),"")</f>
        <v/>
      </c>
      <c r="K54" s="170">
        <f t="array" ref="K54">IFERROR(INDEX(Trips[Demurrage (USD)],SMALL(IF(Trips[Claim No.]=INV_CLAIM,_xlfn.SEQUENCE(ROWS(Trips[Claim No.]))),ROW()-11)),"")</f>
        <v/>
      </c>
    </row>
    <row r="55">
      <c r="B55">
        <f t="array" ref="B55">IFERROR(IF(SMALL(IF(Trips[Claim No.]=INV_CLAIM,_xlfn.SEQUENCE(ROWS(Trips[Claim No.]))),ROW()-11)&gt;0,ROW()-11,""),"")</f>
        <v/>
      </c>
      <c r="C55" s="184">
        <f t="array" ref="C55">IFERROR(INDEX(Trips[Date Loaded],SMALL(IF(Trips[Claim No.]=INV_CLAIM,_xlfn.SEQUENCE(ROWS(Trips[Claim No.]))),ROW()-11)),"")</f>
        <v/>
      </c>
      <c r="D55">
        <f t="array" ref="D55">IFERROR(INDEX(Trips[Truck No.],SMALL(IF(Trips[Claim No.]=INV_CLAIM,_xlfn.SEQUENCE(ROWS(Trips[Claim No.]))),ROW()-11)),"")</f>
        <v/>
      </c>
      <c r="E55" s="184">
        <f t="array" ref="E55">IFERROR(INDEX(Trips[Arrival],SMALL(IF(Trips[Claim No.]=INV_CLAIM,_xlfn.SEQUENCE(ROWS(Trips[Claim No.]))),ROW()-11)),"")</f>
        <v/>
      </c>
      <c r="F55" s="184">
        <f t="array" ref="F55">IFERROR(INDEX(Trips[Offloaded],SMALL(IF(Trips[Claim No.]=INV_CLAIM,_xlfn.SEQUENCE(ROWS(Trips[Claim No.]))),ROW()-11)),"")</f>
        <v/>
      </c>
      <c r="G55">
        <f t="array" ref="G55">IFERROR(INDEX(Trips[Consignee],SMALL(IF(Trips[Claim No.]=INV_CLAIM,_xlfn.SEQUENCE(ROWS(Trips[Claim No.]))),ROW()-11)),"")</f>
        <v/>
      </c>
      <c r="H55" s="83">
        <f t="array" ref="H55">IFERROR(INDEX(Trips[Waiting (d)],SMALL(IF(Trips[Claim No.]=INV_CLAIM,_xlfn.SEQUENCE(ROWS(Trips[Claim No.]))),ROW()-11)),"")</f>
        <v/>
      </c>
      <c r="I55" s="83">
        <f t="array" ref="I55">IFERROR(INDEX(Trips[Laytime (d)],SMALL(IF(Trips[Claim No.]=INV_CLAIM,_xlfn.SEQUENCE(ROWS(Trips[Claim No.]))),ROW()-11)),"")</f>
        <v/>
      </c>
      <c r="J55" s="83">
        <f t="array" ref="J55">IFERROR(INDEX(Trips[Excess (d)],SMALL(IF(Trips[Claim No.]=INV_CLAIM,_xlfn.SEQUENCE(ROWS(Trips[Claim No.]))),ROW()-11)),"")</f>
        <v/>
      </c>
      <c r="K55" s="170">
        <f t="array" ref="K55">IFERROR(INDEX(Trips[Demurrage (USD)],SMALL(IF(Trips[Claim No.]=INV_CLAIM,_xlfn.SEQUENCE(ROWS(Trips[Claim No.]))),ROW()-11)),"")</f>
        <v/>
      </c>
    </row>
    <row r="56">
      <c r="B56">
        <f t="array" ref="B56">IFERROR(IF(SMALL(IF(Trips[Claim No.]=INV_CLAIM,_xlfn.SEQUENCE(ROWS(Trips[Claim No.]))),ROW()-11)&gt;0,ROW()-11,""),"")</f>
        <v/>
      </c>
      <c r="C56" s="184">
        <f t="array" ref="C56">IFERROR(INDEX(Trips[Date Loaded],SMALL(IF(Trips[Claim No.]=INV_CLAIM,_xlfn.SEQUENCE(ROWS(Trips[Claim No.]))),ROW()-11)),"")</f>
        <v/>
      </c>
      <c r="D56">
        <f t="array" ref="D56">IFERROR(INDEX(Trips[Truck No.],SMALL(IF(Trips[Claim No.]=INV_CLAIM,_xlfn.SEQUENCE(ROWS(Trips[Claim No.]))),ROW()-11)),"")</f>
        <v/>
      </c>
      <c r="E56" s="184">
        <f t="array" ref="E56">IFERROR(INDEX(Trips[Arrival],SMALL(IF(Trips[Claim No.]=INV_CLAIM,_xlfn.SEQUENCE(ROWS(Trips[Claim No.]))),ROW()-11)),"")</f>
        <v/>
      </c>
      <c r="F56" s="184">
        <f t="array" ref="F56">IFERROR(INDEX(Trips[Offloaded],SMALL(IF(Trips[Claim No.]=INV_CLAIM,_xlfn.SEQUENCE(ROWS(Trips[Claim No.]))),ROW()-11)),"")</f>
        <v/>
      </c>
      <c r="G56">
        <f t="array" ref="G56">IFERROR(INDEX(Trips[Consignee],SMALL(IF(Trips[Claim No.]=INV_CLAIM,_xlfn.SEQUENCE(ROWS(Trips[Claim No.]))),ROW()-11)),"")</f>
        <v/>
      </c>
      <c r="H56" s="83">
        <f t="array" ref="H56">IFERROR(INDEX(Trips[Waiting (d)],SMALL(IF(Trips[Claim No.]=INV_CLAIM,_xlfn.SEQUENCE(ROWS(Trips[Claim No.]))),ROW()-11)),"")</f>
        <v/>
      </c>
      <c r="I56" s="83">
        <f t="array" ref="I56">IFERROR(INDEX(Trips[Laytime (d)],SMALL(IF(Trips[Claim No.]=INV_CLAIM,_xlfn.SEQUENCE(ROWS(Trips[Claim No.]))),ROW()-11)),"")</f>
        <v/>
      </c>
      <c r="J56" s="83">
        <f t="array" ref="J56">IFERROR(INDEX(Trips[Excess (d)],SMALL(IF(Trips[Claim No.]=INV_CLAIM,_xlfn.SEQUENCE(ROWS(Trips[Claim No.]))),ROW()-11)),"")</f>
        <v/>
      </c>
      <c r="K56" s="170">
        <f t="array" ref="K56">IFERROR(INDEX(Trips[Demurrage (USD)],SMALL(IF(Trips[Claim No.]=INV_CLAIM,_xlfn.SEQUENCE(ROWS(Trips[Claim No.]))),ROW()-11)),"")</f>
        <v/>
      </c>
    </row>
    <row r="57">
      <c r="B57">
        <f t="array" ref="B57">IFERROR(IF(SMALL(IF(Trips[Claim No.]=INV_CLAIM,_xlfn.SEQUENCE(ROWS(Trips[Claim No.]))),ROW()-11)&gt;0,ROW()-11,""),"")</f>
        <v/>
      </c>
      <c r="C57" s="184">
        <f t="array" ref="C57">IFERROR(INDEX(Trips[Date Loaded],SMALL(IF(Trips[Claim No.]=INV_CLAIM,_xlfn.SEQUENCE(ROWS(Trips[Claim No.]))),ROW()-11)),"")</f>
        <v/>
      </c>
      <c r="D57">
        <f t="array" ref="D57">IFERROR(INDEX(Trips[Truck No.],SMALL(IF(Trips[Claim No.]=INV_CLAIM,_xlfn.SEQUENCE(ROWS(Trips[Claim No.]))),ROW()-11)),"")</f>
        <v/>
      </c>
      <c r="E57" s="184">
        <f t="array" ref="E57">IFERROR(INDEX(Trips[Arrival],SMALL(IF(Trips[Claim No.]=INV_CLAIM,_xlfn.SEQUENCE(ROWS(Trips[Claim No.]))),ROW()-11)),"")</f>
        <v/>
      </c>
      <c r="F57" s="184">
        <f t="array" ref="F57">IFERROR(INDEX(Trips[Offloaded],SMALL(IF(Trips[Claim No.]=INV_CLAIM,_xlfn.SEQUENCE(ROWS(Trips[Claim No.]))),ROW()-11)),"")</f>
        <v/>
      </c>
      <c r="G57">
        <f t="array" ref="G57">IFERROR(INDEX(Trips[Consignee],SMALL(IF(Trips[Claim No.]=INV_CLAIM,_xlfn.SEQUENCE(ROWS(Trips[Claim No.]))),ROW()-11)),"")</f>
        <v/>
      </c>
      <c r="H57" s="83">
        <f t="array" ref="H57">IFERROR(INDEX(Trips[Waiting (d)],SMALL(IF(Trips[Claim No.]=INV_CLAIM,_xlfn.SEQUENCE(ROWS(Trips[Claim No.]))),ROW()-11)),"")</f>
        <v/>
      </c>
      <c r="I57" s="83">
        <f t="array" ref="I57">IFERROR(INDEX(Trips[Laytime (d)],SMALL(IF(Trips[Claim No.]=INV_CLAIM,_xlfn.SEQUENCE(ROWS(Trips[Claim No.]))),ROW()-11)),"")</f>
        <v/>
      </c>
      <c r="J57" s="83">
        <f t="array" ref="J57">IFERROR(INDEX(Trips[Excess (d)],SMALL(IF(Trips[Claim No.]=INV_CLAIM,_xlfn.SEQUENCE(ROWS(Trips[Claim No.]))),ROW()-11)),"")</f>
        <v/>
      </c>
      <c r="K57" s="170">
        <f t="array" ref="K57">IFERROR(INDEX(Trips[Demurrage (USD)],SMALL(IF(Trips[Claim No.]=INV_CLAIM,_xlfn.SEQUENCE(ROWS(Trips[Claim No.]))),ROW()-11)),"")</f>
        <v/>
      </c>
    </row>
    <row r="58">
      <c r="B58">
        <f t="array" ref="B58">IFERROR(IF(SMALL(IF(Trips[Claim No.]=INV_CLAIM,_xlfn.SEQUENCE(ROWS(Trips[Claim No.]))),ROW()-11)&gt;0,ROW()-11,""),"")</f>
        <v/>
      </c>
      <c r="C58" s="184">
        <f t="array" ref="C58">IFERROR(INDEX(Trips[Date Loaded],SMALL(IF(Trips[Claim No.]=INV_CLAIM,_xlfn.SEQUENCE(ROWS(Trips[Claim No.]))),ROW()-11)),"")</f>
        <v/>
      </c>
      <c r="D58">
        <f t="array" ref="D58">IFERROR(INDEX(Trips[Truck No.],SMALL(IF(Trips[Claim No.]=INV_CLAIM,_xlfn.SEQUENCE(ROWS(Trips[Claim No.]))),ROW()-11)),"")</f>
        <v/>
      </c>
      <c r="E58" s="184">
        <f t="array" ref="E58">IFERROR(INDEX(Trips[Arrival],SMALL(IF(Trips[Claim No.]=INV_CLAIM,_xlfn.SEQUENCE(ROWS(Trips[Claim No.]))),ROW()-11)),"")</f>
        <v/>
      </c>
      <c r="F58" s="184">
        <f t="array" ref="F58">IFERROR(INDEX(Trips[Offloaded],SMALL(IF(Trips[Claim No.]=INV_CLAIM,_xlfn.SEQUENCE(ROWS(Trips[Claim No.]))),ROW()-11)),"")</f>
        <v/>
      </c>
      <c r="G58">
        <f t="array" ref="G58">IFERROR(INDEX(Trips[Consignee],SMALL(IF(Trips[Claim No.]=INV_CLAIM,_xlfn.SEQUENCE(ROWS(Trips[Claim No.]))),ROW()-11)),"")</f>
        <v/>
      </c>
      <c r="H58" s="83">
        <f t="array" ref="H58">IFERROR(INDEX(Trips[Waiting (d)],SMALL(IF(Trips[Claim No.]=INV_CLAIM,_xlfn.SEQUENCE(ROWS(Trips[Claim No.]))),ROW()-11)),"")</f>
        <v/>
      </c>
      <c r="I58" s="83">
        <f t="array" ref="I58">IFERROR(INDEX(Trips[Laytime (d)],SMALL(IF(Trips[Claim No.]=INV_CLAIM,_xlfn.SEQUENCE(ROWS(Trips[Claim No.]))),ROW()-11)),"")</f>
        <v/>
      </c>
      <c r="J58" s="83">
        <f t="array" ref="J58">IFERROR(INDEX(Trips[Excess (d)],SMALL(IF(Trips[Claim No.]=INV_CLAIM,_xlfn.SEQUENCE(ROWS(Trips[Claim No.]))),ROW()-11)),"")</f>
        <v/>
      </c>
      <c r="K58" s="170">
        <f t="array" ref="K58">IFERROR(INDEX(Trips[Demurrage (USD)],SMALL(IF(Trips[Claim No.]=INV_CLAIM,_xlfn.SEQUENCE(ROWS(Trips[Claim No.]))),ROW()-11)),"")</f>
        <v/>
      </c>
    </row>
    <row r="59">
      <c r="B59">
        <f t="array" ref="B59">IFERROR(IF(SMALL(IF(Trips[Claim No.]=INV_CLAIM,_xlfn.SEQUENCE(ROWS(Trips[Claim No.]))),ROW()-11)&gt;0,ROW()-11,""),"")</f>
        <v/>
      </c>
      <c r="C59" s="184">
        <f t="array" ref="C59">IFERROR(INDEX(Trips[Date Loaded],SMALL(IF(Trips[Claim No.]=INV_CLAIM,_xlfn.SEQUENCE(ROWS(Trips[Claim No.]))),ROW()-11)),"")</f>
        <v/>
      </c>
      <c r="D59">
        <f t="array" ref="D59">IFERROR(INDEX(Trips[Truck No.],SMALL(IF(Trips[Claim No.]=INV_CLAIM,_xlfn.SEQUENCE(ROWS(Trips[Claim No.]))),ROW()-11)),"")</f>
        <v/>
      </c>
      <c r="E59" s="184">
        <f t="array" ref="E59">IFERROR(INDEX(Trips[Arrival],SMALL(IF(Trips[Claim No.]=INV_CLAIM,_xlfn.SEQUENCE(ROWS(Trips[Claim No.]))),ROW()-11)),"")</f>
        <v/>
      </c>
      <c r="F59" s="184">
        <f t="array" ref="F59">IFERROR(INDEX(Trips[Offloaded],SMALL(IF(Trips[Claim No.]=INV_CLAIM,_xlfn.SEQUENCE(ROWS(Trips[Claim No.]))),ROW()-11)),"")</f>
        <v/>
      </c>
      <c r="G59">
        <f t="array" ref="G59">IFERROR(INDEX(Trips[Consignee],SMALL(IF(Trips[Claim No.]=INV_CLAIM,_xlfn.SEQUENCE(ROWS(Trips[Claim No.]))),ROW()-11)),"")</f>
        <v/>
      </c>
      <c r="H59" s="83">
        <f t="array" ref="H59">IFERROR(INDEX(Trips[Waiting (d)],SMALL(IF(Trips[Claim No.]=INV_CLAIM,_xlfn.SEQUENCE(ROWS(Trips[Claim No.]))),ROW()-11)),"")</f>
        <v/>
      </c>
      <c r="I59" s="83">
        <f t="array" ref="I59">IFERROR(INDEX(Trips[Laytime (d)],SMALL(IF(Trips[Claim No.]=INV_CLAIM,_xlfn.SEQUENCE(ROWS(Trips[Claim No.]))),ROW()-11)),"")</f>
        <v/>
      </c>
      <c r="J59" s="83">
        <f t="array" ref="J59">IFERROR(INDEX(Trips[Excess (d)],SMALL(IF(Trips[Claim No.]=INV_CLAIM,_xlfn.SEQUENCE(ROWS(Trips[Claim No.]))),ROW()-11)),"")</f>
        <v/>
      </c>
      <c r="K59" s="170">
        <f t="array" ref="K59">IFERROR(INDEX(Trips[Demurrage (USD)],SMALL(IF(Trips[Claim No.]=INV_CLAIM,_xlfn.SEQUENCE(ROWS(Trips[Claim No.]))),ROW()-11)),"")</f>
        <v/>
      </c>
    </row>
    <row r="60">
      <c r="B60">
        <f t="array" ref="B60">IFERROR(IF(SMALL(IF(Trips[Claim No.]=INV_CLAIM,_xlfn.SEQUENCE(ROWS(Trips[Claim No.]))),ROW()-11)&gt;0,ROW()-11,""),"")</f>
        <v/>
      </c>
      <c r="C60" s="184">
        <f t="array" ref="C60">IFERROR(INDEX(Trips[Date Loaded],SMALL(IF(Trips[Claim No.]=INV_CLAIM,_xlfn.SEQUENCE(ROWS(Trips[Claim No.]))),ROW()-11)),"")</f>
        <v/>
      </c>
      <c r="D60">
        <f t="array" ref="D60">IFERROR(INDEX(Trips[Truck No.],SMALL(IF(Trips[Claim No.]=INV_CLAIM,_xlfn.SEQUENCE(ROWS(Trips[Claim No.]))),ROW()-11)),"")</f>
        <v/>
      </c>
      <c r="E60" s="184">
        <f t="array" ref="E60">IFERROR(INDEX(Trips[Arrival],SMALL(IF(Trips[Claim No.]=INV_CLAIM,_xlfn.SEQUENCE(ROWS(Trips[Claim No.]))),ROW()-11)),"")</f>
        <v/>
      </c>
      <c r="F60" s="184">
        <f t="array" ref="F60">IFERROR(INDEX(Trips[Offloaded],SMALL(IF(Trips[Claim No.]=INV_CLAIM,_xlfn.SEQUENCE(ROWS(Trips[Claim No.]))),ROW()-11)),"")</f>
        <v/>
      </c>
      <c r="G60">
        <f t="array" ref="G60">IFERROR(INDEX(Trips[Consignee],SMALL(IF(Trips[Claim No.]=INV_CLAIM,_xlfn.SEQUENCE(ROWS(Trips[Claim No.]))),ROW()-11)),"")</f>
        <v/>
      </c>
      <c r="H60" s="83">
        <f t="array" ref="H60">IFERROR(INDEX(Trips[Waiting (d)],SMALL(IF(Trips[Claim No.]=INV_CLAIM,_xlfn.SEQUENCE(ROWS(Trips[Claim No.]))),ROW()-11)),"")</f>
        <v/>
      </c>
      <c r="I60" s="83">
        <f t="array" ref="I60">IFERROR(INDEX(Trips[Laytime (d)],SMALL(IF(Trips[Claim No.]=INV_CLAIM,_xlfn.SEQUENCE(ROWS(Trips[Claim No.]))),ROW()-11)),"")</f>
        <v/>
      </c>
      <c r="J60" s="83">
        <f t="array" ref="J60">IFERROR(INDEX(Trips[Excess (d)],SMALL(IF(Trips[Claim No.]=INV_CLAIM,_xlfn.SEQUENCE(ROWS(Trips[Claim No.]))),ROW()-11)),"")</f>
        <v/>
      </c>
      <c r="K60" s="170">
        <f t="array" ref="K60">IFERROR(INDEX(Trips[Demurrage (USD)],SMALL(IF(Trips[Claim No.]=INV_CLAIM,_xlfn.SEQUENCE(ROWS(Trips[Claim No.]))),ROW()-11)),"")</f>
        <v/>
      </c>
    </row>
    <row r="61">
      <c r="B61">
        <f t="array" ref="B61">IFERROR(IF(SMALL(IF(Trips[Claim No.]=INV_CLAIM,_xlfn.SEQUENCE(ROWS(Trips[Claim No.]))),ROW()-11)&gt;0,ROW()-11,""),"")</f>
        <v/>
      </c>
      <c r="C61" s="184">
        <f t="array" ref="C61">IFERROR(INDEX(Trips[Date Loaded],SMALL(IF(Trips[Claim No.]=INV_CLAIM,_xlfn.SEQUENCE(ROWS(Trips[Claim No.]))),ROW()-11)),"")</f>
        <v/>
      </c>
      <c r="D61">
        <f t="array" ref="D61">IFERROR(INDEX(Trips[Truck No.],SMALL(IF(Trips[Claim No.]=INV_CLAIM,_xlfn.SEQUENCE(ROWS(Trips[Claim No.]))),ROW()-11)),"")</f>
        <v/>
      </c>
      <c r="E61" s="184">
        <f t="array" ref="E61">IFERROR(INDEX(Trips[Arrival],SMALL(IF(Trips[Claim No.]=INV_CLAIM,_xlfn.SEQUENCE(ROWS(Trips[Claim No.]))),ROW()-11)),"")</f>
        <v/>
      </c>
      <c r="F61" s="184">
        <f t="array" ref="F61">IFERROR(INDEX(Trips[Offloaded],SMALL(IF(Trips[Claim No.]=INV_CLAIM,_xlfn.SEQUENCE(ROWS(Trips[Claim No.]))),ROW()-11)),"")</f>
        <v/>
      </c>
      <c r="G61">
        <f t="array" ref="G61">IFERROR(INDEX(Trips[Consignee],SMALL(IF(Trips[Claim No.]=INV_CLAIM,_xlfn.SEQUENCE(ROWS(Trips[Claim No.]))),ROW()-11)),"")</f>
        <v/>
      </c>
      <c r="H61" s="83">
        <f t="array" ref="H61">IFERROR(INDEX(Trips[Waiting (d)],SMALL(IF(Trips[Claim No.]=INV_CLAIM,_xlfn.SEQUENCE(ROWS(Trips[Claim No.]))),ROW()-11)),"")</f>
        <v/>
      </c>
      <c r="I61" s="83">
        <f t="array" ref="I61">IFERROR(INDEX(Trips[Laytime (d)],SMALL(IF(Trips[Claim No.]=INV_CLAIM,_xlfn.SEQUENCE(ROWS(Trips[Claim No.]))),ROW()-11)),"")</f>
        <v/>
      </c>
      <c r="J61" s="83">
        <f t="array" ref="J61">IFERROR(INDEX(Trips[Excess (d)],SMALL(IF(Trips[Claim No.]=INV_CLAIM,_xlfn.SEQUENCE(ROWS(Trips[Claim No.]))),ROW()-11)),"")</f>
        <v/>
      </c>
      <c r="K61" s="170">
        <f t="array" ref="K61">IFERROR(INDEX(Trips[Demurrage (USD)],SMALL(IF(Trips[Claim No.]=INV_CLAIM,_xlfn.SEQUENCE(ROWS(Trips[Claim No.]))),ROW()-11)),"")</f>
        <v/>
      </c>
    </row>
    <row r="62" ht="15.75" customHeight="1" s="106" thickBot="1">
      <c r="B62" s="87" t="inlineStr">
        <is>
          <t>Total</t>
        </is>
      </c>
      <c r="C62" s="88" t="n"/>
      <c r="D62" s="88" t="n"/>
      <c r="E62" s="88" t="n"/>
      <c r="F62" s="88" t="n"/>
      <c r="G62" s="88" t="n"/>
      <c r="H62" s="89">
        <f>SUMIF(Trips[Claim No.],INV_CLAIM,Trips[Waiting (d)])</f>
        <v/>
      </c>
      <c r="I62" s="88" t="n"/>
      <c r="J62" s="89">
        <f>SUMIF(Trips[Claim No.],INV_CLAIM,Trips[Excess (d)])</f>
        <v/>
      </c>
      <c r="K62" s="185">
        <f>SUMIF(Trips[Claim No.],INV_CLAIM,Trips[Demurrage (USD)])</f>
        <v/>
      </c>
    </row>
  </sheetData>
  <conditionalFormatting sqref="B12:K61">
    <cfRule type="expression" priority="1" dxfId="38">
      <formula>AND(MOD(ROW(),2)=0,$B12&lt;&gt;"")</formula>
    </cfRule>
  </conditionalFormatting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</hyperlinks>
  <printOptions horizontalCentered="1"/>
  <pageMargins left="0.5" right="0.5" top="0.6" bottom="0.6" header="0.3" footer="0.3"/>
  <pageSetup orientation="portrait" paperSize="9" scale="53" fitToHeight="1" fitToWidth="1"/>
</worksheet>
</file>

<file path=xl/worksheets/sheet5.xml><?xml version="1.0" encoding="utf-8"?>
<worksheet xmlns="http://schemas.openxmlformats.org/spreadsheetml/2006/main">
  <sheetPr codeName="Sheet5">
    <tabColor rgb="FFF5A623"/>
    <outlinePr summaryBelow="1" summaryRight="1"/>
    <pageSetUpPr fitToPage="1"/>
  </sheetPr>
  <dimension ref="B2:R200"/>
  <sheetViews>
    <sheetView showGridLines="0" workbookViewId="0">
      <pane xSplit="2" ySplit="6" topLeftCell="C7" activePane="bottomRight" state="frozen"/>
      <selection pane="topRight" activeCell="A1" sqref="A1"/>
      <selection pane="bottomLeft" activeCell="A1" sqref="A1"/>
      <selection pane="bottomRight" activeCell="H11" sqref="H11"/>
    </sheetView>
  </sheetViews>
  <sheetFormatPr baseColWidth="8" defaultRowHeight="15"/>
  <cols>
    <col width="2" customWidth="1" style="106" min="1" max="1"/>
    <col width="18" customWidth="1" style="106" min="2" max="2"/>
    <col width="13" customWidth="1" style="106" min="3" max="3"/>
    <col width="11" customWidth="1" style="106" min="4" max="4"/>
    <col width="26" customWidth="1" style="106" min="5" max="5"/>
    <col width="36" customWidth="1" style="106" min="6" max="6"/>
    <col width="13" customWidth="1" style="106" min="7" max="8"/>
    <col width="9" customWidth="1" style="106" min="9" max="9"/>
    <col width="14" customWidth="1" style="106" min="10" max="10"/>
    <col width="10" customWidth="1" style="106" min="11" max="11"/>
    <col width="12" customWidth="1" style="106" min="12" max="12"/>
    <col width="13" customWidth="1" style="106" min="13" max="14"/>
    <col width="12" customWidth="1" style="106" min="15" max="16"/>
    <col width="32" customWidth="1" style="106" min="17" max="17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4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</row>
    <row r="3">
      <c r="B3" s="37" t="inlineStr">
        <is>
          <t>One row per claim. Assign trips to the Claim No. on the Trips Ledger; then preview / print on the Invoice tab.</t>
        </is>
      </c>
    </row>
    <row r="4">
      <c r="B4" s="5" t="n"/>
      <c r="C4" s="5" t="n"/>
      <c r="D4" s="5" t="n"/>
      <c r="E4" s="5" t="n"/>
      <c r="F4" s="5" t="n"/>
      <c r="G4" s="5" t="n"/>
      <c r="H4" s="5" t="n"/>
      <c r="I4" s="5" t="n"/>
      <c r="J4" s="5" t="n"/>
      <c r="K4" s="5" t="n"/>
      <c r="L4" s="5" t="n"/>
      <c r="M4" s="5" t="n"/>
      <c r="N4" s="5" t="n"/>
      <c r="O4" s="5" t="n"/>
      <c r="P4" s="5" t="n"/>
      <c r="Q4" s="5" t="n"/>
    </row>
    <row r="6" ht="36" customHeight="1" s="106">
      <c r="B6" s="15" t="inlineStr">
        <is>
          <t>Claim No.</t>
        </is>
      </c>
      <c r="C6" s="15" t="inlineStr">
        <is>
          <t>Issue Date</t>
        </is>
      </c>
      <c r="D6" s="15" t="inlineStr">
        <is>
          <t>Deal No.</t>
        </is>
      </c>
      <c r="E6" s="15" t="inlineStr">
        <is>
          <t>Consignee</t>
        </is>
      </c>
      <c r="F6" s="15" t="inlineStr">
        <is>
          <t>Bill-To Address</t>
        </is>
      </c>
      <c r="G6" s="15" t="inlineStr">
        <is>
          <t>Period From</t>
        </is>
      </c>
      <c r="H6" s="15" t="inlineStr">
        <is>
          <t>Period To</t>
        </is>
      </c>
      <c r="I6" s="15" t="inlineStr">
        <is>
          <t># Trips</t>
        </is>
      </c>
      <c r="J6" s="15" t="inlineStr">
        <is>
          <t>Amount (USD)</t>
        </is>
      </c>
      <c r="K6" s="15" t="inlineStr">
        <is>
          <t>Currency</t>
        </is>
      </c>
      <c r="L6" s="15" t="inlineStr">
        <is>
          <t>Status</t>
        </is>
      </c>
      <c r="M6" s="15" t="inlineStr">
        <is>
          <t>Due Date</t>
        </is>
      </c>
      <c r="N6" s="15" t="inlineStr">
        <is>
          <t>Paid Date</t>
        </is>
      </c>
      <c r="O6" s="15" t="inlineStr">
        <is>
          <t>Days Overdue</t>
        </is>
      </c>
      <c r="P6" s="15" t="inlineStr">
        <is>
          <t>Aging</t>
        </is>
      </c>
      <c r="Q6" s="15" t="inlineStr">
        <is>
          <t>Notes</t>
        </is>
      </c>
      <c r="R6" s="80" t="inlineStr">
        <is>
          <t>Actions</t>
        </is>
      </c>
    </row>
    <row r="7" ht="48" customHeight="1" s="106">
      <c r="B7" s="16">
        <f>IF(Claims[[#This Row],[Deal No.]]="","",Claims[[#This Row],[Deal No.]]&amp;"-DEM")</f>
        <v/>
      </c>
      <c r="C7" s="186" t="n">
        <v>46157</v>
      </c>
      <c r="D7" s="16" t="n">
        <v>184182</v>
      </c>
      <c r="E7" s="18">
        <f>IFERROR(VLOOKUP(D7,Deals[#All],2,FALSE),"")</f>
        <v/>
      </c>
      <c r="F7" s="18">
        <f>IFERROR(VLOOKUP(E7,Consignees[],2,FALSE),"")</f>
        <v/>
      </c>
      <c r="G7" s="186">
        <f>IFERROR(_xlfn.MINIFS(Trips[Date Loaded],Trips[Claim No.],Claims[[#This Row],[Claim No.]]),"")</f>
        <v/>
      </c>
      <c r="H7" s="186">
        <f>IFERROR(_xlfn.MAXIFS(Trips[Offloaded],Trips[Claim No.],Claims[[#This Row],[Claim No.]]),"")</f>
        <v/>
      </c>
      <c r="I7" s="187">
        <f>COUNTIF(Trips[Claim No.],B7)</f>
        <v/>
      </c>
      <c r="J7" s="188">
        <f>SUMIF(Trips[Claim No.],B7,Trips[Demurrage (USD)])</f>
        <v/>
      </c>
      <c r="K7" s="16">
        <f>CCY</f>
        <v/>
      </c>
      <c r="L7" s="16" t="inlineStr">
        <is>
          <t>Draft</t>
        </is>
      </c>
      <c r="M7" s="186">
        <f>C7+PAY_TERMS</f>
        <v/>
      </c>
      <c r="N7" s="186" t="n"/>
      <c r="O7" s="187">
        <f>IF(L7="Paid",0,IF(L7="Sent",MAX(0,TODAY()-M7),""))</f>
        <v/>
      </c>
      <c r="P7" s="16">
        <f>IF(L7="Paid","Paid",IF(L7&lt;&gt;"Sent","",IF(ISNUMBER(O7),IF(O7&lt;=0,"Current",IF(O7&lt;=30,"1-30",IF(O7&lt;=60,"31-60",IF(O7&lt;=90,"61-90","90+")))),"")))</f>
        <v/>
      </c>
      <c r="Q7" s="18">
        <f>"Demurrage on Deal "&amp;Claims[[#This Row],[Deal No.]]&amp;" — "&amp;IFERROR(VLOOKUP(Claims[[#This Row],[Deal No.]],Deals[#All],3,FALSE),"")</f>
        <v/>
      </c>
      <c r="R7" s="80" t="inlineStr">
        <is>
          <t>Actions</t>
        </is>
      </c>
    </row>
    <row r="8" ht="48" customHeight="1" s="106">
      <c r="B8" s="16">
        <f>IF(Claims[[#This Row],[Deal No.]]="","",Claims[[#This Row],[Deal No.]]&amp;"-DEM")</f>
        <v/>
      </c>
      <c r="C8" s="186" t="n">
        <v>46157</v>
      </c>
      <c r="D8" s="16" t="n">
        <v>184752</v>
      </c>
      <c r="E8" s="18">
        <f>IFERROR(VLOOKUP(D8,Deals[#All],2,FALSE),"")</f>
        <v/>
      </c>
      <c r="F8" s="18">
        <f>IFERROR(VLOOKUP(E8,Consignees[],2,FALSE),"")</f>
        <v/>
      </c>
      <c r="G8" s="186">
        <f>IFERROR(_xlfn.MINIFS(Trips[Date Loaded],Trips[Claim No.],Claims[[#This Row],[Claim No.]]),"")</f>
        <v/>
      </c>
      <c r="H8" s="186">
        <f>IFERROR(_xlfn.MAXIFS(Trips[Offloaded],Trips[Claim No.],Claims[[#This Row],[Claim No.]]),"")</f>
        <v/>
      </c>
      <c r="I8" s="187">
        <f>COUNTIF(Trips[Claim No.],B8)</f>
        <v/>
      </c>
      <c r="J8" s="188">
        <f>SUMIF(Trips[Claim No.],B8,Trips[Demurrage (USD)])</f>
        <v/>
      </c>
      <c r="K8" s="16">
        <f>CCY</f>
        <v/>
      </c>
      <c r="L8" s="16" t="inlineStr">
        <is>
          <t>Draft</t>
        </is>
      </c>
      <c r="M8" s="186">
        <f>C8+PAY_TERMS</f>
        <v/>
      </c>
      <c r="N8" s="186" t="n"/>
      <c r="O8" s="187">
        <f>IF(L8="Paid",0,IF(L8="Sent",MAX(0,TODAY()-M8),""))</f>
        <v/>
      </c>
      <c r="P8" s="16">
        <f>IF(L8="Paid","Paid",IF(L8&lt;&gt;"Sent","",IF(ISNUMBER(O8),IF(O8&lt;=0,"Current",IF(O8&lt;=30,"1-30",IF(O8&lt;=60,"31-60",IF(O8&lt;=90,"61-90","90+")))),"")))</f>
        <v/>
      </c>
      <c r="Q8" s="18">
        <f>"Demurrage on Deal "&amp;Claims[[#This Row],[Deal No.]]&amp;" — "&amp;IFERROR(VLOOKUP(Claims[[#This Row],[Deal No.]],Deals[#All],3,FALSE),"")</f>
        <v/>
      </c>
      <c r="R8" s="149" t="inlineStr">
        <is>
          <t>▶ Issue   ✓ Paid</t>
        </is>
      </c>
    </row>
    <row r="9" ht="48" customHeight="1" s="106">
      <c r="B9" s="16">
        <f>IF(Claims[[#This Row],[Deal No.]]="","",Claims[[#This Row],[Deal No.]]&amp;"-DEM")</f>
        <v/>
      </c>
      <c r="C9" s="186" t="n">
        <v>46157</v>
      </c>
      <c r="D9" s="16" t="n">
        <v>184834</v>
      </c>
      <c r="E9" s="18">
        <f>IFERROR(VLOOKUP(D9,Deals[#All],2,FALSE),"")</f>
        <v/>
      </c>
      <c r="F9" s="18">
        <f>IFERROR(VLOOKUP(E9,Consignees[],2,FALSE),"")</f>
        <v/>
      </c>
      <c r="G9" s="186">
        <f>IFERROR(_xlfn.MINIFS(Trips[Date Loaded],Trips[Claim No.],Claims[[#This Row],[Claim No.]]),"")</f>
        <v/>
      </c>
      <c r="H9" s="186">
        <f>IFERROR(_xlfn.MAXIFS(Trips[Offloaded],Trips[Claim No.],Claims[[#This Row],[Claim No.]]),"")</f>
        <v/>
      </c>
      <c r="I9" s="187">
        <f>COUNTIF(Trips[Claim No.],B9)</f>
        <v/>
      </c>
      <c r="J9" s="188">
        <f>SUMIF(Trips[Claim No.],B9,Trips[Demurrage (USD)])</f>
        <v/>
      </c>
      <c r="K9" s="16">
        <f>CCY</f>
        <v/>
      </c>
      <c r="L9" s="16" t="inlineStr">
        <is>
          <t>Draft</t>
        </is>
      </c>
      <c r="M9" s="186">
        <f>C9+PAY_TERMS</f>
        <v/>
      </c>
      <c r="N9" s="186" t="n"/>
      <c r="O9" s="187">
        <f>IF(L9="Paid",0,IF(L9="Sent",MAX(0,TODAY()-M9),""))</f>
        <v/>
      </c>
      <c r="P9" s="16">
        <f>IF(L9="Paid","Paid",IF(L9&lt;&gt;"Sent","",IF(ISNUMBER(O9),IF(O9&lt;=0,"Current",IF(O9&lt;=30,"1-30",IF(O9&lt;=60,"31-60",IF(O9&lt;=90,"61-90","90+")))),"")))</f>
        <v/>
      </c>
      <c r="Q9" s="18">
        <f>"Demurrage on Deal "&amp;Claims[[#This Row],[Deal No.]]&amp;" — "&amp;IFERROR(VLOOKUP(Claims[[#This Row],[Deal No.]],Deals[#All],3,FALSE),"")</f>
        <v/>
      </c>
    </row>
    <row r="10" ht="48" customHeight="1" s="106">
      <c r="B10" s="16">
        <f>IF(Claims[[#This Row],[Deal No.]]="","",Claims[[#This Row],[Deal No.]]&amp;"-DEM")</f>
        <v/>
      </c>
      <c r="C10" s="186" t="n">
        <v>46157</v>
      </c>
      <c r="D10" s="16" t="n">
        <v>187293</v>
      </c>
      <c r="E10" s="18">
        <f>IFERROR(VLOOKUP(D10,Deals[#All],2,FALSE),"")</f>
        <v/>
      </c>
      <c r="F10" s="18">
        <f>IFERROR(VLOOKUP(E10,Consignees[],2,FALSE),"")</f>
        <v/>
      </c>
      <c r="G10" s="186">
        <f>IFERROR(_xlfn.MINIFS(Trips[Date Loaded],Trips[Claim No.],Claims[[#This Row],[Claim No.]]),"")</f>
        <v/>
      </c>
      <c r="H10" s="186">
        <f>IFERROR(_xlfn.MAXIFS(Trips[Offloaded],Trips[Claim No.],Claims[[#This Row],[Claim No.]]),"")</f>
        <v/>
      </c>
      <c r="I10" s="187">
        <f>COUNTIF(Trips[Claim No.],B10)</f>
        <v/>
      </c>
      <c r="J10" s="188">
        <f>SUMIF(Trips[Claim No.],B10,Trips[Demurrage (USD)])</f>
        <v/>
      </c>
      <c r="K10" s="16">
        <f>CCY</f>
        <v/>
      </c>
      <c r="L10" s="16" t="inlineStr">
        <is>
          <t>Draft</t>
        </is>
      </c>
      <c r="M10" s="186">
        <f>C10+PAY_TERMS</f>
        <v/>
      </c>
      <c r="N10" s="186" t="n"/>
      <c r="O10" s="187">
        <f>IF(L10="Paid",0,IF(L10="Sent",MAX(0,TODAY()-M10),""))</f>
        <v/>
      </c>
      <c r="P10" s="16">
        <f>IF(L10="Paid","Paid",IF(L10&lt;&gt;"Sent","",IF(ISNUMBER(O10),IF(O10&lt;=0,"Current",IF(O10&lt;=30,"1-30",IF(O10&lt;=60,"31-60",IF(O10&lt;=90,"61-90","90+")))),"")))</f>
        <v/>
      </c>
      <c r="Q10" s="18">
        <f>"Demurrage on Deal "&amp;Claims[[#This Row],[Deal No.]]&amp;" — "&amp;IFERROR(VLOOKUP(Claims[[#This Row],[Deal No.]],Deals[#All],3,FALSE),"")</f>
        <v/>
      </c>
    </row>
    <row r="11" ht="48" customHeight="1" s="106">
      <c r="B11" s="16">
        <f>IF(Claims[[#This Row],[Deal No.]]="","",Claims[[#This Row],[Deal No.]]&amp;"-DEM")</f>
        <v/>
      </c>
      <c r="C11" s="186" t="n">
        <v>46157</v>
      </c>
      <c r="D11" s="16" t="n">
        <v>187296</v>
      </c>
      <c r="E11" s="18">
        <f>IFERROR(VLOOKUP(D11,Deals[#All],2,FALSE),"")</f>
        <v/>
      </c>
      <c r="F11" s="18">
        <f>IFERROR(VLOOKUP(E11,Consignees[],2,FALSE),"")</f>
        <v/>
      </c>
      <c r="G11" s="186">
        <f>IFERROR(_xlfn.MINIFS(Trips[Date Loaded],Trips[Claim No.],Claims[[#This Row],[Claim No.]]),"")</f>
        <v/>
      </c>
      <c r="H11" s="186">
        <f>IFERROR(_xlfn.MAXIFS(Trips[Offloaded],Trips[Claim No.],Claims[[#This Row],[Claim No.]]),"")</f>
        <v/>
      </c>
      <c r="I11" s="187">
        <f>COUNTIF(Trips[Claim No.],B11)</f>
        <v/>
      </c>
      <c r="J11" s="188">
        <f>SUMIF(Trips[Claim No.],B11,Trips[Demurrage (USD)])</f>
        <v/>
      </c>
      <c r="K11" s="16">
        <f>CCY</f>
        <v/>
      </c>
      <c r="L11" s="16" t="inlineStr">
        <is>
          <t>Draft</t>
        </is>
      </c>
      <c r="M11" s="186">
        <f>C11+PAY_TERMS</f>
        <v/>
      </c>
      <c r="N11" s="186" t="n"/>
      <c r="O11" s="187">
        <f>IF(L11="Paid",0,IF(L11="Sent",MAX(0,TODAY()-M11),""))</f>
        <v/>
      </c>
      <c r="P11" s="16">
        <f>IF(L11="Paid","Paid",IF(L11&lt;&gt;"Sent","",IF(ISNUMBER(O11),IF(O11&lt;=0,"Current",IF(O11&lt;=30,"1-30",IF(O11&lt;=60,"31-60",IF(O11&lt;=90,"61-90","90+")))),"")))</f>
        <v/>
      </c>
      <c r="Q11" s="18">
        <f>"Demurrage on Deal "&amp;Claims[[#This Row],[Deal No.]]&amp;" — "&amp;IFERROR(VLOOKUP(Claims[[#This Row],[Deal No.]],Deals[#All],3,FALSE),"")</f>
        <v/>
      </c>
    </row>
    <row r="12" ht="48" customHeight="1" s="106">
      <c r="B12" s="16">
        <f>IF(Claims[[#This Row],[Deal No.]]="","",Claims[[#This Row],[Deal No.]]&amp;"-DEM")</f>
        <v/>
      </c>
      <c r="C12" s="186" t="n">
        <v>46157</v>
      </c>
      <c r="D12" s="16" t="n">
        <v>189084</v>
      </c>
      <c r="E12" s="18">
        <f>IFERROR(VLOOKUP(D12,Deals[#All],2,FALSE),"")</f>
        <v/>
      </c>
      <c r="F12" s="18">
        <f>IFERROR(VLOOKUP(E12,Consignees[],2,FALSE),"")</f>
        <v/>
      </c>
      <c r="G12" s="186">
        <f>IFERROR(_xlfn.MINIFS(Trips[Date Loaded],Trips[Claim No.],Claims[[#This Row],[Claim No.]]),"")</f>
        <v/>
      </c>
      <c r="H12" s="186">
        <f>IFERROR(_xlfn.MAXIFS(Trips[Offloaded],Trips[Claim No.],Claims[[#This Row],[Claim No.]]),"")</f>
        <v/>
      </c>
      <c r="I12" s="187">
        <f>COUNTIF(Trips[Claim No.],B12)</f>
        <v/>
      </c>
      <c r="J12" s="188">
        <f>SUMIF(Trips[Claim No.],B12,Trips[Demurrage (USD)])</f>
        <v/>
      </c>
      <c r="K12" s="16">
        <f>CCY</f>
        <v/>
      </c>
      <c r="L12" s="16" t="inlineStr">
        <is>
          <t>Draft</t>
        </is>
      </c>
      <c r="M12" s="186">
        <f>C12+PAY_TERMS</f>
        <v/>
      </c>
      <c r="N12" s="186" t="n"/>
      <c r="O12" s="187">
        <f>IF(L12="Paid",0,IF(L12="Sent",MAX(0,TODAY()-M12),""))</f>
        <v/>
      </c>
      <c r="P12" s="16">
        <f>IF(L12="Paid","Paid",IF(L12&lt;&gt;"Sent","",IF(ISNUMBER(O12),IF(O12&lt;=0,"Current",IF(O12&lt;=30,"1-30",IF(O12&lt;=60,"31-60",IF(O12&lt;=90,"61-90","90+")))),"")))</f>
        <v/>
      </c>
      <c r="Q12" s="18">
        <f>"Demurrage on Deal "&amp;Claims[[#This Row],[Deal No.]]&amp;" — "&amp;IFERROR(VLOOKUP(Claims[[#This Row],[Deal No.]],Deals[#All],3,FALSE),"")</f>
        <v/>
      </c>
    </row>
    <row r="13" ht="48" customHeight="1" s="106">
      <c r="B13" s="16">
        <f>IF(Claims[[#This Row],[Deal No.]]="","",Claims[[#This Row],[Deal No.]]&amp;"-DEM")</f>
        <v/>
      </c>
      <c r="C13" s="186" t="n">
        <v>46157</v>
      </c>
      <c r="D13" s="16" t="n">
        <v>190261</v>
      </c>
      <c r="E13" s="18">
        <f>IFERROR(VLOOKUP(D13,Deals[#All],2,FALSE),"")</f>
        <v/>
      </c>
      <c r="F13" s="18">
        <f>IFERROR(VLOOKUP(E13,Consignees[],2,FALSE),"")</f>
        <v/>
      </c>
      <c r="G13" s="186">
        <f>IFERROR(_xlfn.MINIFS(Trips[Date Loaded],Trips[Claim No.],Claims[[#This Row],[Claim No.]]),"")</f>
        <v/>
      </c>
      <c r="H13" s="186">
        <f>IFERROR(_xlfn.MAXIFS(Trips[Offloaded],Trips[Claim No.],Claims[[#This Row],[Claim No.]]),"")</f>
        <v/>
      </c>
      <c r="I13" s="187">
        <f>COUNTIF(Trips[Claim No.],B13)</f>
        <v/>
      </c>
      <c r="J13" s="188">
        <f>SUMIF(Trips[Claim No.],B13,Trips[Demurrage (USD)])</f>
        <v/>
      </c>
      <c r="K13" s="16">
        <f>CCY</f>
        <v/>
      </c>
      <c r="L13" s="16" t="inlineStr">
        <is>
          <t>Draft</t>
        </is>
      </c>
      <c r="M13" s="186">
        <f>C13+PAY_TERMS</f>
        <v/>
      </c>
      <c r="N13" s="186" t="n"/>
      <c r="O13" s="187">
        <f>IF(L13="Paid",0,IF(L13="Sent",MAX(0,TODAY()-M13),""))</f>
        <v/>
      </c>
      <c r="P13" s="16">
        <f>IF(L13="Paid","Paid",IF(L13&lt;&gt;"Sent","",IF(ISNUMBER(O13),IF(O13&lt;=0,"Current",IF(O13&lt;=30,"1-30",IF(O13&lt;=60,"31-60",IF(O13&lt;=90,"61-90","90+")))),"")))</f>
        <v/>
      </c>
      <c r="Q13" s="18">
        <f>"Demurrage on Deal "&amp;Claims[[#This Row],[Deal No.]]&amp;" — "&amp;IFERROR(VLOOKUP(Claims[[#This Row],[Deal No.]],Deals[#All],3,FALSE),"")</f>
        <v/>
      </c>
    </row>
    <row r="14" ht="48" customHeight="1" s="106">
      <c r="B14" s="16">
        <f>IF(Claims[[#This Row],[Deal No.]]="","",Claims[[#This Row],[Deal No.]]&amp;"-DEM")</f>
        <v/>
      </c>
      <c r="C14" s="186" t="n">
        <v>46157</v>
      </c>
      <c r="D14" s="16" t="n">
        <v>190664</v>
      </c>
      <c r="E14" s="18">
        <f>IFERROR(VLOOKUP(D14,Deals[#All],2,FALSE),"")</f>
        <v/>
      </c>
      <c r="F14" s="18">
        <f>IFERROR(VLOOKUP(E14,Consignees[],2,FALSE),"")</f>
        <v/>
      </c>
      <c r="G14" s="186">
        <f>IFERROR(_xlfn.MINIFS(Trips[Date Loaded],Trips[Claim No.],Claims[[#This Row],[Claim No.]]),"")</f>
        <v/>
      </c>
      <c r="H14" s="186">
        <f>IFERROR(_xlfn.MAXIFS(Trips[Offloaded],Trips[Claim No.],Claims[[#This Row],[Claim No.]]),"")</f>
        <v/>
      </c>
      <c r="I14" s="187">
        <f>COUNTIF(Trips[Claim No.],B14)</f>
        <v/>
      </c>
      <c r="J14" s="188">
        <f>SUMIF(Trips[Claim No.],B14,Trips[Demurrage (USD)])</f>
        <v/>
      </c>
      <c r="K14" s="16">
        <f>CCY</f>
        <v/>
      </c>
      <c r="L14" s="16" t="inlineStr">
        <is>
          <t>Draft</t>
        </is>
      </c>
      <c r="M14" s="186">
        <f>C14+PAY_TERMS</f>
        <v/>
      </c>
      <c r="N14" s="186" t="n"/>
      <c r="O14" s="187">
        <f>IF(L14="Paid",0,IF(L14="Sent",MAX(0,TODAY()-M14),""))</f>
        <v/>
      </c>
      <c r="P14" s="16">
        <f>IF(L14="Paid","Paid",IF(L14&lt;&gt;"Sent","",IF(ISNUMBER(O14),IF(O14&lt;=0,"Current",IF(O14&lt;=30,"1-30",IF(O14&lt;=60,"31-60",IF(O14&lt;=90,"61-90","90+")))),"")))</f>
        <v/>
      </c>
      <c r="Q14" s="18">
        <f>"Demurrage on Deal "&amp;Claims[[#This Row],[Deal No.]]&amp;" — "&amp;IFERROR(VLOOKUP(Claims[[#This Row],[Deal No.]],Deals[#All],3,FALSE),"")</f>
        <v/>
      </c>
    </row>
    <row r="15" ht="48" customHeight="1" s="106">
      <c r="B15" s="16">
        <f>IF(Claims[[#This Row],[Deal No.]]="","",Claims[[#This Row],[Deal No.]]&amp;"-DEM")</f>
        <v/>
      </c>
      <c r="C15" s="186" t="n">
        <v>46157</v>
      </c>
      <c r="D15" s="16" t="n">
        <v>191610</v>
      </c>
      <c r="E15" s="18">
        <f>IFERROR(VLOOKUP(D15,Deals[#All],2,FALSE),"")</f>
        <v/>
      </c>
      <c r="F15" s="18">
        <f>IFERROR(VLOOKUP(E15,Consignees[],2,FALSE),"")</f>
        <v/>
      </c>
      <c r="G15" s="186">
        <f>IFERROR(_xlfn.MINIFS(Trips[Date Loaded],Trips[Claim No.],Claims[[#This Row],[Claim No.]]),"")</f>
        <v/>
      </c>
      <c r="H15" s="186">
        <f>IFERROR(_xlfn.MAXIFS(Trips[Offloaded],Trips[Claim No.],Claims[[#This Row],[Claim No.]]),"")</f>
        <v/>
      </c>
      <c r="I15" s="187">
        <f>COUNTIF(Trips[Claim No.],B15)</f>
        <v/>
      </c>
      <c r="J15" s="188">
        <f>SUMIF(Trips[Claim No.],B15,Trips[Demurrage (USD)])</f>
        <v/>
      </c>
      <c r="K15" s="16">
        <f>CCY</f>
        <v/>
      </c>
      <c r="L15" s="16" t="inlineStr">
        <is>
          <t>Draft</t>
        </is>
      </c>
      <c r="M15" s="186">
        <f>C15+PAY_TERMS</f>
        <v/>
      </c>
      <c r="N15" s="186" t="n"/>
      <c r="O15" s="187">
        <f>IF(L15="Paid",0,IF(L15="Sent",MAX(0,TODAY()-M15),""))</f>
        <v/>
      </c>
      <c r="P15" s="16">
        <f>IF(L15="Paid","Paid",IF(L15&lt;&gt;"Sent","",IF(ISNUMBER(O15),IF(O15&lt;=0,"Current",IF(O15&lt;=30,"1-30",IF(O15&lt;=60,"31-60",IF(O15&lt;=90,"61-90","90+")))),"")))</f>
        <v/>
      </c>
      <c r="Q15" s="18">
        <f>"Demurrage on Deal "&amp;Claims[[#This Row],[Deal No.]]&amp;" — "&amp;IFERROR(VLOOKUP(Claims[[#This Row],[Deal No.]],Deals[#All],3,FALSE),"")</f>
        <v/>
      </c>
    </row>
    <row r="16">
      <c r="B16" s="71" t="inlineStr">
        <is>
          <t>Total</t>
        </is>
      </c>
      <c r="C16" s="71" t="n"/>
      <c r="D16" s="71" t="n"/>
      <c r="E16" s="71" t="n"/>
      <c r="F16" s="71" t="n"/>
      <c r="G16" s="71" t="n"/>
      <c r="H16" s="71" t="n"/>
      <c r="I16" s="71">
        <f>SUBTOTAL(109,Claims['# Trips])</f>
        <v/>
      </c>
      <c r="J16" s="189">
        <f>SUBTOTAL(109,Claims[Amount (USD)])</f>
        <v/>
      </c>
      <c r="K16" s="71" t="n"/>
      <c r="L16" s="71" t="n"/>
      <c r="M16" s="71" t="n"/>
      <c r="N16" s="71" t="n"/>
      <c r="O16" s="71" t="n"/>
      <c r="P16" s="71" t="n"/>
      <c r="Q16" s="71" t="n"/>
      <c r="R16" s="71" t="n"/>
    </row>
    <row r="17">
      <c r="J17" s="170" t="n"/>
    </row>
    <row r="18">
      <c r="J18" s="170" t="n"/>
    </row>
    <row r="19">
      <c r="J19" s="170" t="n"/>
    </row>
    <row r="20">
      <c r="J20" s="170" t="n"/>
    </row>
    <row r="21">
      <c r="J21" s="170" t="n"/>
    </row>
    <row r="22">
      <c r="J22" s="170" t="n"/>
    </row>
    <row r="23">
      <c r="J23" s="170" t="n"/>
    </row>
    <row r="24">
      <c r="J24" s="170" t="n"/>
    </row>
    <row r="25">
      <c r="J25" s="170" t="n"/>
    </row>
    <row r="26">
      <c r="J26" s="170" t="n"/>
    </row>
    <row r="27">
      <c r="J27" s="170" t="n"/>
    </row>
    <row r="28">
      <c r="J28" s="170" t="n"/>
    </row>
    <row r="29">
      <c r="J29" s="170" t="n"/>
    </row>
    <row r="30">
      <c r="J30" s="170" t="n"/>
    </row>
    <row r="31">
      <c r="J31" s="170" t="n"/>
    </row>
    <row r="32">
      <c r="J32" s="170" t="n"/>
    </row>
    <row r="33">
      <c r="J33" s="170" t="n"/>
    </row>
    <row r="34">
      <c r="J34" s="170" t="n"/>
    </row>
    <row r="35">
      <c r="J35" s="170" t="n"/>
    </row>
    <row r="36">
      <c r="J36" s="170" t="n"/>
    </row>
    <row r="37">
      <c r="J37" s="170" t="n"/>
    </row>
    <row r="38">
      <c r="J38" s="170" t="n"/>
    </row>
    <row r="39">
      <c r="J39" s="170" t="n"/>
    </row>
    <row r="40">
      <c r="J40" s="170" t="n"/>
    </row>
    <row r="41">
      <c r="J41" s="170" t="n"/>
    </row>
    <row r="42">
      <c r="J42" s="170" t="n"/>
    </row>
    <row r="43">
      <c r="J43" s="170" t="n"/>
    </row>
    <row r="44">
      <c r="J44" s="170" t="n"/>
    </row>
    <row r="45">
      <c r="J45" s="170" t="n"/>
    </row>
    <row r="46">
      <c r="J46" s="170" t="n"/>
    </row>
    <row r="47">
      <c r="J47" s="170" t="n"/>
    </row>
    <row r="48">
      <c r="J48" s="170" t="n"/>
    </row>
    <row r="49">
      <c r="J49" s="170" t="n"/>
    </row>
    <row r="50">
      <c r="J50" s="170" t="n"/>
    </row>
    <row r="51">
      <c r="J51" s="170" t="n"/>
    </row>
    <row r="52">
      <c r="J52" s="170" t="n"/>
    </row>
    <row r="53">
      <c r="J53" s="170" t="n"/>
    </row>
    <row r="54">
      <c r="J54" s="170" t="n"/>
    </row>
    <row r="55">
      <c r="J55" s="170" t="n"/>
    </row>
    <row r="56">
      <c r="J56" s="170" t="n"/>
    </row>
    <row r="57">
      <c r="J57" s="170" t="n"/>
    </row>
    <row r="58">
      <c r="J58" s="170" t="n"/>
    </row>
    <row r="59">
      <c r="J59" s="170" t="n"/>
    </row>
    <row r="60">
      <c r="J60" s="170" t="n"/>
    </row>
    <row r="61">
      <c r="J61" s="170" t="n"/>
    </row>
    <row r="62">
      <c r="J62" s="170" t="n"/>
    </row>
    <row r="63">
      <c r="J63" s="170" t="n"/>
    </row>
    <row r="64">
      <c r="J64" s="170" t="n"/>
    </row>
    <row r="65">
      <c r="J65" s="170" t="n"/>
    </row>
    <row r="66">
      <c r="J66" s="170" t="n"/>
    </row>
    <row r="67">
      <c r="J67" s="170" t="n"/>
    </row>
    <row r="68">
      <c r="J68" s="170" t="n"/>
    </row>
    <row r="69">
      <c r="J69" s="170" t="n"/>
    </row>
    <row r="70">
      <c r="J70" s="170" t="n"/>
    </row>
    <row r="71">
      <c r="J71" s="170" t="n"/>
    </row>
    <row r="72">
      <c r="J72" s="170" t="n"/>
    </row>
    <row r="73">
      <c r="J73" s="170" t="n"/>
    </row>
    <row r="74">
      <c r="J74" s="170" t="n"/>
    </row>
    <row r="75">
      <c r="J75" s="170" t="n"/>
    </row>
    <row r="76">
      <c r="J76" s="170" t="n"/>
    </row>
    <row r="77">
      <c r="J77" s="170" t="n"/>
    </row>
    <row r="78">
      <c r="J78" s="170" t="n"/>
    </row>
    <row r="79">
      <c r="J79" s="170" t="n"/>
    </row>
    <row r="80">
      <c r="J80" s="170" t="n"/>
    </row>
    <row r="81">
      <c r="J81" s="170" t="n"/>
    </row>
    <row r="82">
      <c r="J82" s="170" t="n"/>
    </row>
    <row r="83">
      <c r="J83" s="170" t="n"/>
    </row>
    <row r="84">
      <c r="J84" s="170" t="n"/>
    </row>
    <row r="85">
      <c r="J85" s="170" t="n"/>
    </row>
    <row r="86">
      <c r="J86" s="170" t="n"/>
    </row>
    <row r="87">
      <c r="J87" s="170" t="n"/>
    </row>
    <row r="88">
      <c r="J88" s="170" t="n"/>
    </row>
    <row r="89">
      <c r="J89" s="170" t="n"/>
    </row>
    <row r="90">
      <c r="J90" s="170" t="n"/>
    </row>
    <row r="91">
      <c r="J91" s="170" t="n"/>
    </row>
    <row r="92">
      <c r="J92" s="170" t="n"/>
    </row>
    <row r="93">
      <c r="J93" s="170" t="n"/>
    </row>
    <row r="94">
      <c r="J94" s="170" t="n"/>
    </row>
    <row r="95">
      <c r="J95" s="170" t="n"/>
    </row>
    <row r="96">
      <c r="J96" s="170" t="n"/>
    </row>
    <row r="97">
      <c r="J97" s="170" t="n"/>
    </row>
    <row r="98">
      <c r="J98" s="170" t="n"/>
    </row>
    <row r="99">
      <c r="J99" s="170" t="n"/>
    </row>
    <row r="100">
      <c r="J100" s="170" t="n"/>
    </row>
    <row r="101">
      <c r="J101" s="170" t="n"/>
    </row>
    <row r="102">
      <c r="J102" s="170" t="n"/>
    </row>
    <row r="103">
      <c r="J103" s="170" t="n"/>
    </row>
    <row r="104">
      <c r="J104" s="170" t="n"/>
    </row>
    <row r="105">
      <c r="J105" s="170" t="n"/>
    </row>
    <row r="106">
      <c r="J106" s="170" t="n"/>
    </row>
    <row r="107">
      <c r="J107" s="170" t="n"/>
    </row>
    <row r="108">
      <c r="J108" s="170" t="n"/>
    </row>
    <row r="109">
      <c r="J109" s="170" t="n"/>
    </row>
    <row r="110">
      <c r="J110" s="170" t="n"/>
    </row>
    <row r="111">
      <c r="J111" s="170" t="n"/>
    </row>
    <row r="112">
      <c r="J112" s="170" t="n"/>
    </row>
    <row r="113">
      <c r="J113" s="170" t="n"/>
    </row>
    <row r="114">
      <c r="J114" s="170" t="n"/>
    </row>
    <row r="115">
      <c r="J115" s="170" t="n"/>
    </row>
    <row r="116">
      <c r="J116" s="170" t="n"/>
    </row>
    <row r="117">
      <c r="J117" s="170" t="n"/>
    </row>
    <row r="118">
      <c r="J118" s="170" t="n"/>
    </row>
    <row r="119">
      <c r="J119" s="170" t="n"/>
    </row>
    <row r="120">
      <c r="J120" s="170" t="n"/>
    </row>
    <row r="121">
      <c r="J121" s="170" t="n"/>
    </row>
    <row r="122">
      <c r="J122" s="170" t="n"/>
    </row>
    <row r="123">
      <c r="J123" s="170" t="n"/>
    </row>
    <row r="124">
      <c r="J124" s="170" t="n"/>
    </row>
    <row r="125">
      <c r="J125" s="170" t="n"/>
    </row>
    <row r="126">
      <c r="J126" s="170" t="n"/>
    </row>
    <row r="127">
      <c r="J127" s="170" t="n"/>
    </row>
    <row r="128">
      <c r="J128" s="170" t="n"/>
    </row>
    <row r="129">
      <c r="J129" s="170" t="n"/>
    </row>
    <row r="130">
      <c r="J130" s="170" t="n"/>
    </row>
    <row r="131">
      <c r="J131" s="170" t="n"/>
    </row>
    <row r="132">
      <c r="J132" s="170" t="n"/>
    </row>
    <row r="133">
      <c r="J133" s="170" t="n"/>
    </row>
    <row r="134">
      <c r="J134" s="170" t="n"/>
    </row>
    <row r="135">
      <c r="J135" s="170" t="n"/>
    </row>
    <row r="136">
      <c r="J136" s="170" t="n"/>
    </row>
    <row r="137">
      <c r="J137" s="170" t="n"/>
    </row>
    <row r="138">
      <c r="J138" s="170" t="n"/>
    </row>
    <row r="139">
      <c r="J139" s="170" t="n"/>
    </row>
    <row r="140">
      <c r="J140" s="170" t="n"/>
    </row>
    <row r="141">
      <c r="J141" s="170" t="n"/>
    </row>
    <row r="142">
      <c r="J142" s="170" t="n"/>
    </row>
    <row r="143">
      <c r="J143" s="170" t="n"/>
    </row>
    <row r="144">
      <c r="J144" s="170" t="n"/>
    </row>
    <row r="145">
      <c r="J145" s="170" t="n"/>
    </row>
    <row r="146">
      <c r="J146" s="170" t="n"/>
    </row>
    <row r="147">
      <c r="J147" s="170" t="n"/>
    </row>
    <row r="148">
      <c r="J148" s="170" t="n"/>
    </row>
    <row r="149">
      <c r="J149" s="170" t="n"/>
    </row>
    <row r="150">
      <c r="J150" s="170" t="n"/>
    </row>
    <row r="151">
      <c r="J151" s="170" t="n"/>
    </row>
    <row r="152">
      <c r="J152" s="170" t="n"/>
    </row>
    <row r="153">
      <c r="J153" s="170" t="n"/>
    </row>
    <row r="154">
      <c r="J154" s="170" t="n"/>
    </row>
    <row r="155">
      <c r="J155" s="170" t="n"/>
    </row>
    <row r="156">
      <c r="J156" s="170" t="n"/>
    </row>
    <row r="157">
      <c r="J157" s="170" t="n"/>
    </row>
    <row r="158">
      <c r="J158" s="170" t="n"/>
    </row>
    <row r="159">
      <c r="J159" s="170" t="n"/>
    </row>
    <row r="160">
      <c r="J160" s="170" t="n"/>
    </row>
    <row r="161">
      <c r="J161" s="170" t="n"/>
    </row>
    <row r="162">
      <c r="J162" s="170" t="n"/>
    </row>
    <row r="163">
      <c r="J163" s="170" t="n"/>
    </row>
    <row r="164">
      <c r="J164" s="170" t="n"/>
    </row>
    <row r="165">
      <c r="J165" s="170" t="n"/>
    </row>
    <row r="166">
      <c r="J166" s="170" t="n"/>
    </row>
    <row r="167">
      <c r="J167" s="170" t="n"/>
    </row>
    <row r="168">
      <c r="J168" s="170" t="n"/>
    </row>
    <row r="169">
      <c r="J169" s="170" t="n"/>
    </row>
    <row r="170">
      <c r="J170" s="170" t="n"/>
    </row>
    <row r="171">
      <c r="J171" s="170" t="n"/>
    </row>
    <row r="172">
      <c r="J172" s="170" t="n"/>
    </row>
    <row r="173">
      <c r="J173" s="170" t="n"/>
    </row>
    <row r="174">
      <c r="J174" s="170" t="n"/>
    </row>
    <row r="175">
      <c r="J175" s="170" t="n"/>
    </row>
    <row r="176">
      <c r="J176" s="170" t="n"/>
    </row>
    <row r="177">
      <c r="J177" s="170" t="n"/>
    </row>
    <row r="178">
      <c r="J178" s="170" t="n"/>
    </row>
    <row r="179">
      <c r="J179" s="170" t="n"/>
    </row>
    <row r="180">
      <c r="J180" s="170" t="n"/>
    </row>
    <row r="181">
      <c r="J181" s="170" t="n"/>
    </row>
    <row r="182">
      <c r="J182" s="170" t="n"/>
    </row>
    <row r="183">
      <c r="J183" s="170" t="n"/>
    </row>
    <row r="184">
      <c r="J184" s="170" t="n"/>
    </row>
    <row r="185">
      <c r="J185" s="170" t="n"/>
    </row>
    <row r="186">
      <c r="J186" s="170" t="n"/>
    </row>
    <row r="187">
      <c r="J187" s="170" t="n"/>
    </row>
    <row r="188">
      <c r="J188" s="170" t="n"/>
    </row>
    <row r="189">
      <c r="J189" s="170" t="n"/>
    </row>
    <row r="190">
      <c r="J190" s="170" t="n"/>
    </row>
    <row r="191">
      <c r="J191" s="170" t="n"/>
    </row>
    <row r="192">
      <c r="J192" s="170" t="n"/>
    </row>
    <row r="193">
      <c r="J193" s="170" t="n"/>
    </row>
    <row r="194">
      <c r="J194" s="170" t="n"/>
    </row>
    <row r="195">
      <c r="J195" s="170" t="n"/>
    </row>
    <row r="196">
      <c r="J196" s="170" t="n"/>
    </row>
    <row r="197">
      <c r="J197" s="170" t="n"/>
    </row>
    <row r="198">
      <c r="J198" s="170" t="n"/>
    </row>
    <row r="199">
      <c r="J199" s="170" t="n"/>
    </row>
    <row r="200">
      <c r="J200" s="170" t="n"/>
    </row>
  </sheetData>
  <mergeCells count="1">
    <mergeCell ref="B3:Q3"/>
  </mergeCells>
  <conditionalFormatting sqref="L7:L17 L19:L200">
    <cfRule type="cellIs" priority="10" operator="equal" dxfId="6">
      <formula>"Draft"</formula>
    </cfRule>
    <cfRule type="cellIs" priority="11" operator="equal" dxfId="5">
      <formula>"Sent"</formula>
    </cfRule>
    <cfRule type="cellIs" priority="12" operator="equal" dxfId="3">
      <formula>"Paid"</formula>
    </cfRule>
    <cfRule type="cellIs" priority="13" operator="equal" dxfId="25">
      <formula>"Partial"</formula>
    </cfRule>
    <cfRule type="cellIs" priority="14" operator="equal" dxfId="1">
      <formula>"Cancelled"</formula>
    </cfRule>
  </conditionalFormatting>
  <conditionalFormatting sqref="P7:P17 P19:P200">
    <cfRule type="cellIs" priority="15" operator="equal" dxfId="4">
      <formula>"Current"</formula>
    </cfRule>
    <cfRule type="cellIs" priority="16" operator="equal" dxfId="6">
      <formula>"1–30"</formula>
    </cfRule>
    <cfRule type="cellIs" priority="17" operator="equal" dxfId="21">
      <formula>"31–60"</formula>
    </cfRule>
    <cfRule type="cellIs" priority="18" operator="equal" dxfId="2">
      <formula>"61–90"</formula>
    </cfRule>
    <cfRule type="cellIs" priority="19" operator="equal" dxfId="19">
      <formula>"90+"</formula>
    </cfRule>
  </conditionalFormatting>
  <dataValidations count="4">
    <dataValidation sqref="L201:L507" showDropDown="0" showInputMessage="0" showErrorMessage="0" allowBlank="0" type="list">
      <formula1>"Draft,Sent,Paid,Cancelled"</formula1>
    </dataValidation>
    <dataValidation sqref="D7:D17 D19:D200" showDropDown="0" showInputMessage="0" showErrorMessage="1" allowBlank="1" errorTitle="Check entry" error="Deal No. not in Deals master." type="list" errorStyle="warning">
      <formula1>LIST_DealNo</formula1>
    </dataValidation>
    <dataValidation sqref="E7:E17 E19:E200" showDropDown="0" showInputMessage="0" showErrorMessage="1" allowBlank="1" errorTitle="Check entry" error="Consignee not in Deals master." type="list" errorStyle="warning">
      <formula1>LIST_Consignee</formula1>
    </dataValidation>
    <dataValidation sqref="L7:L17 L19:L200" showDropDown="0" showInputMessage="0" showErrorMessage="1" allowBlank="1" errorTitle="Check entry" error="Status must be one of: Draft, Sent, Paid, Partial, Cancelled." type="list" errorStyle="warning">
      <formula1>LIST_Status</formula1>
    </dataValidation>
  </dataValidation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  <pageSetup orientation="landscape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6">
    <tabColor rgb="FF1F3D8E"/>
    <outlinePr summaryBelow="1" summaryRight="1"/>
    <pageSetUpPr fitToPage="1"/>
  </sheetPr>
  <dimension ref="B2:V500"/>
  <sheetViews>
    <sheetView showGridLines="0" workbookViewId="0">
      <pane xSplit="4" ySplit="6" topLeftCell="F100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28515625" customWidth="1" style="106" min="1" max="1"/>
    <col width="10" customWidth="1" style="106" min="2" max="2"/>
    <col width="16" customWidth="1" style="106" min="3" max="3"/>
    <col width="22" customWidth="1" style="106" min="4" max="4"/>
    <col width="13" customWidth="1" style="106" min="5" max="5"/>
    <col width="12" customWidth="1" style="106" min="6" max="7"/>
    <col width="9" customWidth="1" style="106" min="8" max="8"/>
    <col width="13" customWidth="1" style="106" min="9" max="11"/>
    <col width="20" customWidth="1" style="106" min="12" max="12"/>
    <col width="13" customWidth="1" style="106" min="13" max="14"/>
    <col width="10" customWidth="1" style="106" min="15" max="17"/>
    <col width="11" customWidth="1" style="106" min="18" max="18"/>
    <col width="14" customWidth="1" style="106" min="19" max="19"/>
    <col width="13" customWidth="1" style="106" min="20" max="20"/>
    <col width="16" customWidth="1" style="106" min="21" max="21"/>
    <col width="10" customWidth="1" style="106" min="22" max="22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4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</row>
    <row r="3">
      <c r="B3" s="135" t="inlineStr">
        <is>
          <t>DRAFT CLAIM BUILDER</t>
        </is>
      </c>
    </row>
    <row r="4">
      <c r="B4" s="137" t="inlineStr">
        <is>
          <t>Deal</t>
        </is>
      </c>
      <c r="C4" s="138">
        <f t="array" ref="C4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/>
      </c>
      <c r="D4" s="137" t="inlineStr">
        <is>
          <t>Trips visible</t>
        </is>
      </c>
      <c r="E4" s="139">
        <f>SUBTOTAL(103,Trips[Deal No.])</f>
        <v/>
      </c>
      <c r="F4" s="137" t="inlineStr">
        <is>
          <t>Period From</t>
        </is>
      </c>
      <c r="G4" s="190">
        <f>IFERROR(SUBTOTAL(105,Trips[Date Loaded]),"")</f>
        <v/>
      </c>
      <c r="H4" s="137" t="inlineStr">
        <is>
          <t>Period To</t>
        </is>
      </c>
      <c r="I4" s="190">
        <f>IFERROR(SUBTOTAL(104,Trips[Offloaded]),"")</f>
        <v/>
      </c>
      <c r="J4" s="137" t="inlineStr">
        <is>
          <t>Demurrage (USD)</t>
        </is>
      </c>
      <c r="K4" s="191">
        <f>SUBTOTAL(109,Trips[Demurrage (USD)])</f>
        <v/>
      </c>
      <c r="L4" s="151" t="inlineStr">
        <is>
          <t>▶ Create Claim from filter</t>
        </is>
      </c>
      <c r="M4" s="5" t="n"/>
      <c r="N4" s="5" t="n"/>
      <c r="O4" s="5" t="n"/>
      <c r="P4" s="5" t="n"/>
      <c r="Q4" s="5" t="n"/>
      <c r="R4" s="5" t="n"/>
      <c r="S4" s="5" t="n"/>
      <c r="T4" s="5" t="n"/>
      <c r="U4" s="5" t="n"/>
      <c r="V4" s="5" t="n"/>
    </row>
    <row r="6" ht="36" customHeight="1" s="106">
      <c r="B6" s="15" t="inlineStr">
        <is>
          <t>Deal No.</t>
        </is>
      </c>
      <c r="C6" s="15" t="inlineStr">
        <is>
          <t>Claim No.</t>
        </is>
      </c>
      <c r="D6" s="15" t="inlineStr">
        <is>
          <t>Consignee</t>
        </is>
      </c>
      <c r="E6" s="15" t="inlineStr">
        <is>
          <t>Date Loaded</t>
        </is>
      </c>
      <c r="F6" s="15" t="inlineStr">
        <is>
          <t>Loading Port</t>
        </is>
      </c>
      <c r="G6" s="15" t="inlineStr">
        <is>
          <t>Destination</t>
        </is>
      </c>
      <c r="H6" s="15" t="inlineStr">
        <is>
          <t>Product</t>
        </is>
      </c>
      <c r="I6" s="15" t="inlineStr">
        <is>
          <t>Truck No.</t>
        </is>
      </c>
      <c r="J6" s="15" t="inlineStr">
        <is>
          <t>Trailer Reg.</t>
        </is>
      </c>
      <c r="K6" s="15" t="inlineStr">
        <is>
          <t>Transporter</t>
        </is>
      </c>
      <c r="L6" s="15" t="inlineStr">
        <is>
          <t>Driver</t>
        </is>
      </c>
      <c r="M6" s="15" t="inlineStr">
        <is>
          <t>Arrival</t>
        </is>
      </c>
      <c r="N6" s="15" t="inlineStr">
        <is>
          <t>Offloaded</t>
        </is>
      </c>
      <c r="O6" s="15" t="inlineStr">
        <is>
          <t>Waiting (d)</t>
        </is>
      </c>
      <c r="P6" s="15" t="inlineStr">
        <is>
          <t>Laytime (d)</t>
        </is>
      </c>
      <c r="Q6" s="15" t="inlineStr">
        <is>
          <t>Excess (d)</t>
        </is>
      </c>
      <c r="R6" s="15" t="inlineStr">
        <is>
          <t>Rate (USD)</t>
        </is>
      </c>
      <c r="S6" s="15" t="inlineStr">
        <is>
          <t>Demurrage (USD)</t>
        </is>
      </c>
      <c r="T6" s="15" t="inlineStr">
        <is>
          <t>Status</t>
        </is>
      </c>
      <c r="U6" s="15" t="inlineStr">
        <is>
          <t>Sanity</t>
        </is>
      </c>
      <c r="V6" s="15" t="inlineStr">
        <is>
          <t>Month</t>
        </is>
      </c>
    </row>
    <row r="7">
      <c r="B7" s="16" t="n">
        <v>184752</v>
      </c>
      <c r="C7" s="16" t="inlineStr">
        <is>
          <t>184752-DEM</t>
        </is>
      </c>
      <c r="D7" s="20" t="inlineStr">
        <is>
          <t>Rubis Energy Zambia</t>
        </is>
      </c>
      <c r="E7" s="186" t="n">
        <v>46006</v>
      </c>
      <c r="F7" s="20" t="inlineStr">
        <is>
          <t>Beira</t>
        </is>
      </c>
      <c r="G7" s="20" t="inlineStr">
        <is>
          <t>Lusaka</t>
        </is>
      </c>
      <c r="H7" s="20" t="inlineStr">
        <is>
          <t>PMS</t>
        </is>
      </c>
      <c r="I7" s="20" t="inlineStr">
        <is>
          <t>AHN 716 MP</t>
        </is>
      </c>
      <c r="J7" s="20" t="inlineStr">
        <is>
          <t>AJ 041 MC</t>
        </is>
      </c>
      <c r="K7" s="20" t="inlineStr">
        <is>
          <t>WHC</t>
        </is>
      </c>
      <c r="L7" s="20" t="inlineStr">
        <is>
          <t>Average Chitengwa</t>
        </is>
      </c>
      <c r="M7" s="186" t="n">
        <v>46011</v>
      </c>
      <c r="N7" s="186" t="n">
        <v>46015</v>
      </c>
      <c r="O7" s="187">
        <f>IF(OR(M7="",N7=""),"",N7-M7)</f>
        <v/>
      </c>
      <c r="P7" s="187">
        <f>IFERROR(VLOOKUP(B7,Deals[#All],7,FALSE),DEF_LAYTIME)</f>
        <v/>
      </c>
      <c r="Q7" s="187">
        <f>IF(O7="","",MAX(0,O7-P7))</f>
        <v/>
      </c>
      <c r="R7" s="188">
        <f>IFERROR(VLOOKUP(B7,Deals[#All],8,FALSE),DEF_RATE)</f>
        <v/>
      </c>
      <c r="S7" s="188">
        <f>IF(Q7="","",Q7*R7)</f>
        <v/>
      </c>
      <c r="T7" s="16">
        <f>IF(O7="","PENDING",IF(Q7&gt;0,"DEMURRAGE","ON-TIME"))</f>
        <v/>
      </c>
      <c r="U7" s="16">
        <f>IF(AND(E7&lt;&gt;"",M7&lt;&gt;"",M7&lt;E7),"⚠ Arr&lt;Loaded",IF(AND(M7&lt;&gt;"",N7&lt;&gt;"",N7&lt;M7),"⚠ Off&lt;Arr","OK"))</f>
        <v/>
      </c>
      <c r="V7" s="16">
        <f>IF(E7="","",TEXT(E7,"yyyy-mm"))</f>
        <v/>
      </c>
    </row>
    <row r="8">
      <c r="B8" s="16" t="n">
        <v>184752</v>
      </c>
      <c r="C8" s="16" t="inlineStr">
        <is>
          <t>184752-DEM</t>
        </is>
      </c>
      <c r="D8" s="20" t="inlineStr">
        <is>
          <t>Rubis Energy Zambia</t>
        </is>
      </c>
      <c r="E8" s="186" t="n">
        <v>46006</v>
      </c>
      <c r="F8" s="20" t="inlineStr">
        <is>
          <t>Beira</t>
        </is>
      </c>
      <c r="G8" s="20" t="inlineStr">
        <is>
          <t>Lusaka</t>
        </is>
      </c>
      <c r="H8" s="20" t="inlineStr">
        <is>
          <t>PMS</t>
        </is>
      </c>
      <c r="I8" s="20" t="inlineStr">
        <is>
          <t>AFW 378 MP</t>
        </is>
      </c>
      <c r="J8" s="20" t="inlineStr">
        <is>
          <t>AE 731 MC</t>
        </is>
      </c>
      <c r="K8" s="20" t="inlineStr">
        <is>
          <t>WHC</t>
        </is>
      </c>
      <c r="L8" s="20" t="inlineStr">
        <is>
          <t>Kangai Tafirenyika</t>
        </is>
      </c>
      <c r="M8" s="186" t="n">
        <v>46011</v>
      </c>
      <c r="N8" s="186" t="n">
        <v>46015</v>
      </c>
      <c r="O8" s="187">
        <f>IF(OR(M8="",N8=""),"",N8-M8)</f>
        <v/>
      </c>
      <c r="P8" s="187">
        <f>IFERROR(VLOOKUP(B8,Deals[#All],7,FALSE),DEF_LAYTIME)</f>
        <v/>
      </c>
      <c r="Q8" s="187">
        <f>IF(O8="","",MAX(0,O8-P8))</f>
        <v/>
      </c>
      <c r="R8" s="188">
        <f>IFERROR(VLOOKUP(B8,Deals[#All],8,FALSE),DEF_RATE)</f>
        <v/>
      </c>
      <c r="S8" s="188">
        <f>IF(Q8="","",Q8*R8)</f>
        <v/>
      </c>
      <c r="T8" s="16">
        <f>IF(O8="","PENDING",IF(Q8&gt;0,"DEMURRAGE","ON-TIME"))</f>
        <v/>
      </c>
      <c r="U8" s="16">
        <f>IF(AND(E8&lt;&gt;"",M8&lt;&gt;"",M8&lt;E8),"⚠ Arr&lt;Loaded",IF(AND(M8&lt;&gt;"",N8&lt;&gt;"",N8&lt;M8),"⚠ Off&lt;Arr","OK"))</f>
        <v/>
      </c>
      <c r="V8" s="16">
        <f>IF(E8="","",TEXT(E8,"yyyy-mm"))</f>
        <v/>
      </c>
    </row>
    <row r="9">
      <c r="B9" s="16" t="n">
        <v>184752</v>
      </c>
      <c r="C9" s="16" t="inlineStr">
        <is>
          <t>184752-DEM</t>
        </is>
      </c>
      <c r="D9" s="20" t="inlineStr">
        <is>
          <t>Rubis Energy Zambia</t>
        </is>
      </c>
      <c r="E9" s="186" t="n">
        <v>46006</v>
      </c>
      <c r="F9" s="20" t="inlineStr">
        <is>
          <t>Beira</t>
        </is>
      </c>
      <c r="G9" s="20" t="inlineStr">
        <is>
          <t>Lusaka</t>
        </is>
      </c>
      <c r="H9" s="20" t="inlineStr">
        <is>
          <t>PMS</t>
        </is>
      </c>
      <c r="I9" s="20" t="inlineStr">
        <is>
          <t>AIB 049 MC</t>
        </is>
      </c>
      <c r="J9" s="20" t="inlineStr">
        <is>
          <t>AF 715 MC</t>
        </is>
      </c>
      <c r="K9" s="20" t="inlineStr">
        <is>
          <t>WHC</t>
        </is>
      </c>
      <c r="L9" s="20" t="inlineStr">
        <is>
          <t>Kumirai Krispen</t>
        </is>
      </c>
      <c r="M9" s="186" t="n">
        <v>46011</v>
      </c>
      <c r="N9" s="186" t="n">
        <v>46015</v>
      </c>
      <c r="O9" s="187">
        <f>IF(OR(M9="",N9=""),"",N9-M9)</f>
        <v/>
      </c>
      <c r="P9" s="187">
        <f>IFERROR(VLOOKUP(B9,Deals[#All],7,FALSE),DEF_LAYTIME)</f>
        <v/>
      </c>
      <c r="Q9" s="187">
        <f>IF(O9="","",MAX(0,O9-P9))</f>
        <v/>
      </c>
      <c r="R9" s="188">
        <f>IFERROR(VLOOKUP(B9,Deals[#All],8,FALSE),DEF_RATE)</f>
        <v/>
      </c>
      <c r="S9" s="188">
        <f>IF(Q9="","",Q9*R9)</f>
        <v/>
      </c>
      <c r="T9" s="16">
        <f>IF(O9="","PENDING",IF(Q9&gt;0,"DEMURRAGE","ON-TIME"))</f>
        <v/>
      </c>
      <c r="U9" s="16">
        <f>IF(AND(E9&lt;&gt;"",M9&lt;&gt;"",M9&lt;E9),"⚠ Arr&lt;Loaded",IF(AND(M9&lt;&gt;"",N9&lt;&gt;"",N9&lt;M9),"⚠ Off&lt;Arr","OK"))</f>
        <v/>
      </c>
      <c r="V9" s="16">
        <f>IF(E9="","",TEXT(E9,"yyyy-mm"))</f>
        <v/>
      </c>
    </row>
    <row r="10">
      <c r="B10" s="16" t="n">
        <v>184752</v>
      </c>
      <c r="C10" s="16" t="inlineStr">
        <is>
          <t>184752-DEM</t>
        </is>
      </c>
      <c r="D10" s="20" t="inlineStr">
        <is>
          <t>Rubis Energy Zambia</t>
        </is>
      </c>
      <c r="E10" s="186" t="n">
        <v>46006</v>
      </c>
      <c r="F10" s="20" t="inlineStr">
        <is>
          <t>Beira</t>
        </is>
      </c>
      <c r="G10" s="20" t="inlineStr">
        <is>
          <t>Lusaka</t>
        </is>
      </c>
      <c r="H10" s="20" t="inlineStr">
        <is>
          <t>PMS</t>
        </is>
      </c>
      <c r="I10" s="20" t="inlineStr">
        <is>
          <t>AGU 496 MP</t>
        </is>
      </c>
      <c r="J10" s="20" t="inlineStr">
        <is>
          <t>AF 738 MC</t>
        </is>
      </c>
      <c r="K10" s="20" t="inlineStr">
        <is>
          <t>WHC</t>
        </is>
      </c>
      <c r="L10" s="20" t="inlineStr">
        <is>
          <t>Nhamo Mukwekwerere</t>
        </is>
      </c>
      <c r="M10" s="186" t="n">
        <v>46011</v>
      </c>
      <c r="N10" s="186" t="n">
        <v>46015</v>
      </c>
      <c r="O10" s="187">
        <f>IF(OR(M10="",N10=""),"",N10-M10)</f>
        <v/>
      </c>
      <c r="P10" s="187">
        <f>IFERROR(VLOOKUP(B10,Deals[#All],7,FALSE),DEF_LAYTIME)</f>
        <v/>
      </c>
      <c r="Q10" s="187">
        <f>IF(O10="","",MAX(0,O10-P10))</f>
        <v/>
      </c>
      <c r="R10" s="188">
        <f>IFERROR(VLOOKUP(B10,Deals[#All],8,FALSE),DEF_RATE)</f>
        <v/>
      </c>
      <c r="S10" s="188">
        <f>IF(Q10="","",Q10*R10)</f>
        <v/>
      </c>
      <c r="T10" s="16">
        <f>IF(O10="","PENDING",IF(Q10&gt;0,"DEMURRAGE","ON-TIME"))</f>
        <v/>
      </c>
      <c r="U10" s="16">
        <f>IF(AND(E10&lt;&gt;"",M10&lt;&gt;"",M10&lt;E10),"⚠ Arr&lt;Loaded",IF(AND(M10&lt;&gt;"",N10&lt;&gt;"",N10&lt;M10),"⚠ Off&lt;Arr","OK"))</f>
        <v/>
      </c>
      <c r="V10" s="16">
        <f>IF(E10="","",TEXT(E10,"yyyy-mm"))</f>
        <v/>
      </c>
    </row>
    <row r="11">
      <c r="B11" s="16" t="n">
        <v>184752</v>
      </c>
      <c r="C11" s="16" t="inlineStr">
        <is>
          <t>184752-DEM</t>
        </is>
      </c>
      <c r="D11" s="20" t="inlineStr">
        <is>
          <t>Rubis Energy Zambia</t>
        </is>
      </c>
      <c r="E11" s="186" t="n">
        <v>46006</v>
      </c>
      <c r="F11" s="20" t="inlineStr">
        <is>
          <t>Beira</t>
        </is>
      </c>
      <c r="G11" s="20" t="inlineStr">
        <is>
          <t>Lusaka</t>
        </is>
      </c>
      <c r="H11" s="20" t="inlineStr">
        <is>
          <t>PMS</t>
        </is>
      </c>
      <c r="I11" s="20" t="inlineStr">
        <is>
          <t>AJJ 602 MP</t>
        </is>
      </c>
      <c r="J11" s="20" t="inlineStr">
        <is>
          <t>AF 699 MC</t>
        </is>
      </c>
      <c r="K11" s="20" t="inlineStr">
        <is>
          <t>WHC</t>
        </is>
      </c>
      <c r="L11" s="20" t="inlineStr">
        <is>
          <t>Hestings Banda</t>
        </is>
      </c>
      <c r="M11" s="186" t="n">
        <v>46011</v>
      </c>
      <c r="N11" s="186" t="n">
        <v>46015</v>
      </c>
      <c r="O11" s="187">
        <f>IF(OR(M11="",N11=""),"",N11-M11)</f>
        <v/>
      </c>
      <c r="P11" s="187">
        <f>IFERROR(VLOOKUP(B11,Deals[#All],7,FALSE),DEF_LAYTIME)</f>
        <v/>
      </c>
      <c r="Q11" s="187">
        <f>IF(O11="","",MAX(0,O11-P11))</f>
        <v/>
      </c>
      <c r="R11" s="188">
        <f>IFERROR(VLOOKUP(B11,Deals[#All],8,FALSE),DEF_RATE)</f>
        <v/>
      </c>
      <c r="S11" s="188">
        <f>IF(Q11="","",Q11*R11)</f>
        <v/>
      </c>
      <c r="T11" s="16">
        <f>IF(O11="","PENDING",IF(Q11&gt;0,"DEMURRAGE","ON-TIME"))</f>
        <v/>
      </c>
      <c r="U11" s="16">
        <f>IF(AND(E11&lt;&gt;"",M11&lt;&gt;"",M11&lt;E11),"⚠ Arr&lt;Loaded",IF(AND(M11&lt;&gt;"",N11&lt;&gt;"",N11&lt;M11),"⚠ Off&lt;Arr","OK"))</f>
        <v/>
      </c>
      <c r="V11" s="16">
        <f>IF(E11="","",TEXT(E11,"yyyy-mm"))</f>
        <v/>
      </c>
    </row>
    <row r="12">
      <c r="B12" s="16" t="n">
        <v>184752</v>
      </c>
      <c r="C12" s="16" t="inlineStr">
        <is>
          <t>184752-DEM</t>
        </is>
      </c>
      <c r="D12" s="20" t="inlineStr">
        <is>
          <t>Rubis Energy Zambia</t>
        </is>
      </c>
      <c r="E12" s="186" t="n">
        <v>46006</v>
      </c>
      <c r="F12" s="20" t="inlineStr">
        <is>
          <t>Beira</t>
        </is>
      </c>
      <c r="G12" s="20" t="inlineStr">
        <is>
          <t>Lusaka</t>
        </is>
      </c>
      <c r="H12" s="20" t="inlineStr">
        <is>
          <t>PMS</t>
        </is>
      </c>
      <c r="I12" s="20" t="inlineStr">
        <is>
          <t>AFV 439 MP</t>
        </is>
      </c>
      <c r="J12" s="20" t="inlineStr">
        <is>
          <t>AE 760 MC</t>
        </is>
      </c>
      <c r="K12" s="20" t="inlineStr">
        <is>
          <t>WHC</t>
        </is>
      </c>
      <c r="L12" s="20" t="inlineStr">
        <is>
          <t>Adelino Silira</t>
        </is>
      </c>
      <c r="M12" s="186" t="n">
        <v>46011</v>
      </c>
      <c r="N12" s="186" t="n">
        <v>46015</v>
      </c>
      <c r="O12" s="187">
        <f>IF(OR(M12="",N12=""),"",N12-M12)</f>
        <v/>
      </c>
      <c r="P12" s="187">
        <f>IFERROR(VLOOKUP(B12,Deals[#All],7,FALSE),DEF_LAYTIME)</f>
        <v/>
      </c>
      <c r="Q12" s="187">
        <f>IF(O12="","",MAX(0,O12-P12))</f>
        <v/>
      </c>
      <c r="R12" s="188">
        <f>IFERROR(VLOOKUP(B12,Deals[#All],8,FALSE),DEF_RATE)</f>
        <v/>
      </c>
      <c r="S12" s="188">
        <f>IF(Q12="","",Q12*R12)</f>
        <v/>
      </c>
      <c r="T12" s="16">
        <f>IF(O12="","PENDING",IF(Q12&gt;0,"DEMURRAGE","ON-TIME"))</f>
        <v/>
      </c>
      <c r="U12" s="16">
        <f>IF(AND(E12&lt;&gt;"",M12&lt;&gt;"",M12&lt;E12),"⚠ Arr&lt;Loaded",IF(AND(M12&lt;&gt;"",N12&lt;&gt;"",N12&lt;M12),"⚠ Off&lt;Arr","OK"))</f>
        <v/>
      </c>
      <c r="V12" s="16">
        <f>IF(E12="","",TEXT(E12,"yyyy-mm"))</f>
        <v/>
      </c>
    </row>
    <row r="13">
      <c r="B13" s="16" t="n">
        <v>184752</v>
      </c>
      <c r="C13" s="16" t="inlineStr">
        <is>
          <t>184752-DEM</t>
        </is>
      </c>
      <c r="D13" s="20" t="inlineStr">
        <is>
          <t>Rubis Energy Zambia</t>
        </is>
      </c>
      <c r="E13" s="186" t="n">
        <v>46021</v>
      </c>
      <c r="F13" s="20" t="inlineStr">
        <is>
          <t>Beira</t>
        </is>
      </c>
      <c r="G13" s="20" t="inlineStr">
        <is>
          <t>Lusaka</t>
        </is>
      </c>
      <c r="H13" s="20" t="inlineStr">
        <is>
          <t>PMS</t>
        </is>
      </c>
      <c r="I13" s="20" t="inlineStr">
        <is>
          <t>AIB 049 MC</t>
        </is>
      </c>
      <c r="J13" s="20" t="inlineStr">
        <is>
          <t>AF 715 MC</t>
        </is>
      </c>
      <c r="K13" s="20" t="inlineStr">
        <is>
          <t>WHC</t>
        </is>
      </c>
      <c r="L13" s="20" t="inlineStr">
        <is>
          <t>Kumirai Krispen</t>
        </is>
      </c>
      <c r="M13" s="186" t="n">
        <v>46030</v>
      </c>
      <c r="N13" s="186" t="n">
        <v>46035</v>
      </c>
      <c r="O13" s="187">
        <f>IF(OR(M13="",N13=""),"",N13-M13)</f>
        <v/>
      </c>
      <c r="P13" s="187">
        <f>IFERROR(VLOOKUP(B13,Deals[#All],7,FALSE),DEF_LAYTIME)</f>
        <v/>
      </c>
      <c r="Q13" s="187">
        <f>IF(O13="","",MAX(0,O13-P13))</f>
        <v/>
      </c>
      <c r="R13" s="188">
        <f>IFERROR(VLOOKUP(B13,Deals[#All],8,FALSE),DEF_RATE)</f>
        <v/>
      </c>
      <c r="S13" s="188">
        <f>IF(Q13="","",Q13*R13)</f>
        <v/>
      </c>
      <c r="T13" s="16">
        <f>IF(O13="","PENDING",IF(Q13&gt;0,"DEMURRAGE","ON-TIME"))</f>
        <v/>
      </c>
      <c r="U13" s="16">
        <f>IF(AND(E13&lt;&gt;"",M13&lt;&gt;"",M13&lt;E13),"⚠ Arr&lt;Loaded",IF(AND(M13&lt;&gt;"",N13&lt;&gt;"",N13&lt;M13),"⚠ Off&lt;Arr","OK"))</f>
        <v/>
      </c>
      <c r="V13" s="16">
        <f>IF(E13="","",TEXT(E13,"yyyy-mm"))</f>
        <v/>
      </c>
    </row>
    <row r="14">
      <c r="B14" s="16" t="n">
        <v>184752</v>
      </c>
      <c r="C14" s="16" t="inlineStr">
        <is>
          <t>184752-DEM</t>
        </is>
      </c>
      <c r="D14" s="20" t="inlineStr">
        <is>
          <t>Rubis Energy Zambia</t>
        </is>
      </c>
      <c r="E14" s="186" t="n">
        <v>46021</v>
      </c>
      <c r="F14" s="20" t="inlineStr">
        <is>
          <t>Beira</t>
        </is>
      </c>
      <c r="G14" s="20" t="inlineStr">
        <is>
          <t>Lusaka</t>
        </is>
      </c>
      <c r="H14" s="20" t="inlineStr">
        <is>
          <t>PMS</t>
        </is>
      </c>
      <c r="I14" s="20" t="inlineStr">
        <is>
          <t>AFV 439 MP</t>
        </is>
      </c>
      <c r="J14" s="20" t="inlineStr">
        <is>
          <t>AE 760 MC</t>
        </is>
      </c>
      <c r="K14" s="20" t="inlineStr">
        <is>
          <t>WHC</t>
        </is>
      </c>
      <c r="L14" s="20" t="inlineStr">
        <is>
          <t>Adelino Silira</t>
        </is>
      </c>
      <c r="M14" s="186" t="n">
        <v>46030</v>
      </c>
      <c r="N14" s="186" t="n">
        <v>46034</v>
      </c>
      <c r="O14" s="187">
        <f>IF(OR(M14="",N14=""),"",N14-M14)</f>
        <v/>
      </c>
      <c r="P14" s="187">
        <f>IFERROR(VLOOKUP(B14,Deals[#All],7,FALSE),DEF_LAYTIME)</f>
        <v/>
      </c>
      <c r="Q14" s="187">
        <f>IF(O14="","",MAX(0,O14-P14))</f>
        <v/>
      </c>
      <c r="R14" s="188">
        <f>IFERROR(VLOOKUP(B14,Deals[#All],8,FALSE),DEF_RATE)</f>
        <v/>
      </c>
      <c r="S14" s="188">
        <f>IF(Q14="","",Q14*R14)</f>
        <v/>
      </c>
      <c r="T14" s="16">
        <f>IF(O14="","PENDING",IF(Q14&gt;0,"DEMURRAGE","ON-TIME"))</f>
        <v/>
      </c>
      <c r="U14" s="16">
        <f>IF(AND(E14&lt;&gt;"",M14&lt;&gt;"",M14&lt;E14),"⚠ Arr&lt;Loaded",IF(AND(M14&lt;&gt;"",N14&lt;&gt;"",N14&lt;M14),"⚠ Off&lt;Arr","OK"))</f>
        <v/>
      </c>
      <c r="V14" s="16">
        <f>IF(E14="","",TEXT(E14,"yyyy-mm"))</f>
        <v/>
      </c>
    </row>
    <row r="15">
      <c r="B15" s="16" t="n">
        <v>184752</v>
      </c>
      <c r="C15" s="16" t="inlineStr">
        <is>
          <t>184752-DEM</t>
        </is>
      </c>
      <c r="D15" s="20" t="inlineStr">
        <is>
          <t>Rubis Energy Zambia</t>
        </is>
      </c>
      <c r="E15" s="186" t="n">
        <v>46021</v>
      </c>
      <c r="F15" s="20" t="inlineStr">
        <is>
          <t>Beira</t>
        </is>
      </c>
      <c r="G15" s="20" t="inlineStr">
        <is>
          <t>Lusaka</t>
        </is>
      </c>
      <c r="H15" s="20" t="inlineStr">
        <is>
          <t>PMS</t>
        </is>
      </c>
      <c r="I15" s="20" t="inlineStr">
        <is>
          <t>AIQ 955 MP</t>
        </is>
      </c>
      <c r="J15" s="20" t="inlineStr">
        <is>
          <t>AJ 042 MC</t>
        </is>
      </c>
      <c r="K15" s="20" t="inlineStr">
        <is>
          <t>WHC</t>
        </is>
      </c>
      <c r="L15" s="20" t="inlineStr">
        <is>
          <t>Maxwell Shamu</t>
        </is>
      </c>
      <c r="M15" s="186" t="n">
        <v>46030</v>
      </c>
      <c r="N15" s="186" t="n">
        <v>46035</v>
      </c>
      <c r="O15" s="187">
        <f>IF(OR(M15="",N15=""),"",N15-M15)</f>
        <v/>
      </c>
      <c r="P15" s="187">
        <f>IFERROR(VLOOKUP(B15,Deals[#All],7,FALSE),DEF_LAYTIME)</f>
        <v/>
      </c>
      <c r="Q15" s="187">
        <f>IF(O15="","",MAX(0,O15-P15))</f>
        <v/>
      </c>
      <c r="R15" s="188">
        <f>IFERROR(VLOOKUP(B15,Deals[#All],8,FALSE),DEF_RATE)</f>
        <v/>
      </c>
      <c r="S15" s="188">
        <f>IF(Q15="","",Q15*R15)</f>
        <v/>
      </c>
      <c r="T15" s="16">
        <f>IF(O15="","PENDING",IF(Q15&gt;0,"DEMURRAGE","ON-TIME"))</f>
        <v/>
      </c>
      <c r="U15" s="16">
        <f>IF(AND(E15&lt;&gt;"",M15&lt;&gt;"",M15&lt;E15),"⚠ Arr&lt;Loaded",IF(AND(M15&lt;&gt;"",N15&lt;&gt;"",N15&lt;M15),"⚠ Off&lt;Arr","OK"))</f>
        <v/>
      </c>
      <c r="V15" s="16">
        <f>IF(E15="","",TEXT(E15,"yyyy-mm"))</f>
        <v/>
      </c>
    </row>
    <row r="16">
      <c r="B16" s="16" t="n">
        <v>184752</v>
      </c>
      <c r="C16" s="16" t="inlineStr">
        <is>
          <t>184752-DEM</t>
        </is>
      </c>
      <c r="D16" s="20" t="inlineStr">
        <is>
          <t>Rubis Energy Zambia</t>
        </is>
      </c>
      <c r="E16" s="186" t="n">
        <v>46021</v>
      </c>
      <c r="F16" s="20" t="inlineStr">
        <is>
          <t>Beira</t>
        </is>
      </c>
      <c r="G16" s="20" t="inlineStr">
        <is>
          <t>Lusaka</t>
        </is>
      </c>
      <c r="H16" s="20" t="inlineStr">
        <is>
          <t>PMS</t>
        </is>
      </c>
      <c r="I16" s="20" t="inlineStr">
        <is>
          <t>AAX 014 SF</t>
        </is>
      </c>
      <c r="J16" s="20" t="inlineStr">
        <is>
          <t>AA 475 MC</t>
        </is>
      </c>
      <c r="K16" s="20" t="inlineStr">
        <is>
          <t>WHC</t>
        </is>
      </c>
      <c r="L16" s="20" t="inlineStr">
        <is>
          <t>Clayton Kamudzeya</t>
        </is>
      </c>
      <c r="M16" s="186" t="n">
        <v>46030</v>
      </c>
      <c r="N16" s="186" t="n">
        <v>46034</v>
      </c>
      <c r="O16" s="187">
        <f>IF(OR(M16="",N16=""),"",N16-M16)</f>
        <v/>
      </c>
      <c r="P16" s="187">
        <f>IFERROR(VLOOKUP(B16,Deals[#All],7,FALSE),DEF_LAYTIME)</f>
        <v/>
      </c>
      <c r="Q16" s="187">
        <f>IF(O16="","",MAX(0,O16-P16))</f>
        <v/>
      </c>
      <c r="R16" s="188">
        <f>IFERROR(VLOOKUP(B16,Deals[#All],8,FALSE),DEF_RATE)</f>
        <v/>
      </c>
      <c r="S16" s="188">
        <f>IF(Q16="","",Q16*R16)</f>
        <v/>
      </c>
      <c r="T16" s="16">
        <f>IF(O16="","PENDING",IF(Q16&gt;0,"DEMURRAGE","ON-TIME"))</f>
        <v/>
      </c>
      <c r="U16" s="16">
        <f>IF(AND(E16&lt;&gt;"",M16&lt;&gt;"",M16&lt;E16),"⚠ Arr&lt;Loaded",IF(AND(M16&lt;&gt;"",N16&lt;&gt;"",N16&lt;M16),"⚠ Off&lt;Arr","OK"))</f>
        <v/>
      </c>
      <c r="V16" s="16">
        <f>IF(E16="","",TEXT(E16,"yyyy-mm"))</f>
        <v/>
      </c>
    </row>
    <row r="17">
      <c r="B17" s="16" t="n">
        <v>184834</v>
      </c>
      <c r="C17" s="16" t="inlineStr">
        <is>
          <t>184834-DEM</t>
        </is>
      </c>
      <c r="D17" s="20" t="inlineStr">
        <is>
          <t>Reliance Energy Zambia</t>
        </is>
      </c>
      <c r="E17" s="186" t="n">
        <v>46011</v>
      </c>
      <c r="F17" s="20" t="inlineStr">
        <is>
          <t>Beira</t>
        </is>
      </c>
      <c r="G17" s="20" t="inlineStr">
        <is>
          <t>Lusaka</t>
        </is>
      </c>
      <c r="H17" s="20" t="inlineStr">
        <is>
          <t>PMS</t>
        </is>
      </c>
      <c r="I17" s="20" t="inlineStr">
        <is>
          <t>AKO080MC</t>
        </is>
      </c>
      <c r="J17" s="20" t="inlineStr">
        <is>
          <t>AH456MC</t>
        </is>
      </c>
      <c r="K17" s="20" t="inlineStr">
        <is>
          <t>PETRODA</t>
        </is>
      </c>
      <c r="L17" s="20" t="inlineStr">
        <is>
          <t>FERNANDO ULISSONE FERNANDO MATANDIRE</t>
        </is>
      </c>
      <c r="M17" s="186" t="n">
        <v>46016</v>
      </c>
      <c r="N17" s="186" t="n">
        <v>46017</v>
      </c>
      <c r="O17" s="187">
        <f>IF(OR(M17="",N17=""),"",N17-M17)</f>
        <v/>
      </c>
      <c r="P17" s="187">
        <f>IFERROR(VLOOKUP(B17,Deals[#All],7,FALSE),DEF_LAYTIME)</f>
        <v/>
      </c>
      <c r="Q17" s="187">
        <f>IF(O17="","",MAX(0,O17-P17))</f>
        <v/>
      </c>
      <c r="R17" s="188">
        <f>IFERROR(VLOOKUP(B17,Deals[#All],8,FALSE),DEF_RATE)</f>
        <v/>
      </c>
      <c r="S17" s="188">
        <f>IF(Q17="","",Q17*R17)</f>
        <v/>
      </c>
      <c r="T17" s="16">
        <f>IF(O17="","PENDING",IF(Q17&gt;0,"DEMURRAGE","ON-TIME"))</f>
        <v/>
      </c>
      <c r="U17" s="16">
        <f>IF(AND(E17&lt;&gt;"",M17&lt;&gt;"",M17&lt;E17),"⚠ Arr&lt;Loaded",IF(AND(M17&lt;&gt;"",N17&lt;&gt;"",N17&lt;M17),"⚠ Off&lt;Arr","OK"))</f>
        <v/>
      </c>
      <c r="V17" s="16">
        <f>IF(E17="","",TEXT(E17,"yyyy-mm"))</f>
        <v/>
      </c>
    </row>
    <row r="18">
      <c r="B18" s="16" t="n">
        <v>184834</v>
      </c>
      <c r="C18" s="16" t="inlineStr">
        <is>
          <t>184834-DEM</t>
        </is>
      </c>
      <c r="D18" s="20" t="inlineStr">
        <is>
          <t>Reliance Energy Zambia</t>
        </is>
      </c>
      <c r="E18" s="186" t="n">
        <v>46011</v>
      </c>
      <c r="F18" s="20" t="inlineStr">
        <is>
          <t>Beira</t>
        </is>
      </c>
      <c r="G18" s="20" t="inlineStr">
        <is>
          <t>Lusaka</t>
        </is>
      </c>
      <c r="H18" s="20" t="inlineStr">
        <is>
          <t>PMS</t>
        </is>
      </c>
      <c r="I18" s="20" t="inlineStr">
        <is>
          <t>AKN021MC</t>
        </is>
      </c>
      <c r="J18" s="20" t="inlineStr">
        <is>
          <t>AH430MC</t>
        </is>
      </c>
      <c r="K18" s="20" t="inlineStr">
        <is>
          <t>PETRODA</t>
        </is>
      </c>
      <c r="L18" s="20" t="inlineStr">
        <is>
          <t>CHICONDI RAIMUNDO TEMBO</t>
        </is>
      </c>
      <c r="M18" s="186" t="n">
        <v>46016</v>
      </c>
      <c r="N18" s="186" t="n">
        <v>46017</v>
      </c>
      <c r="O18" s="187">
        <f>IF(OR(M18="",N18=""),"",N18-M18)</f>
        <v/>
      </c>
      <c r="P18" s="187">
        <f>IFERROR(VLOOKUP(B18,Deals[#All],7,FALSE),DEF_LAYTIME)</f>
        <v/>
      </c>
      <c r="Q18" s="187">
        <f>IF(O18="","",MAX(0,O18-P18))</f>
        <v/>
      </c>
      <c r="R18" s="188">
        <f>IFERROR(VLOOKUP(B18,Deals[#All],8,FALSE),DEF_RATE)</f>
        <v/>
      </c>
      <c r="S18" s="188">
        <f>IF(Q18="","",Q18*R18)</f>
        <v/>
      </c>
      <c r="T18" s="16">
        <f>IF(O18="","PENDING",IF(Q18&gt;0,"DEMURRAGE","ON-TIME"))</f>
        <v/>
      </c>
      <c r="U18" s="16">
        <f>IF(AND(E18&lt;&gt;"",M18&lt;&gt;"",M18&lt;E18),"⚠ Arr&lt;Loaded",IF(AND(M18&lt;&gt;"",N18&lt;&gt;"",N18&lt;M18),"⚠ Off&lt;Arr","OK"))</f>
        <v/>
      </c>
      <c r="V18" s="16">
        <f>IF(E18="","",TEXT(E18,"yyyy-mm"))</f>
        <v/>
      </c>
    </row>
    <row r="19">
      <c r="B19" s="16" t="n">
        <v>184834</v>
      </c>
      <c r="C19" s="16" t="inlineStr">
        <is>
          <t>184834-DEM</t>
        </is>
      </c>
      <c r="D19" s="20" t="inlineStr">
        <is>
          <t>Reliance Energy Zambia</t>
        </is>
      </c>
      <c r="E19" s="186" t="n">
        <v>46011</v>
      </c>
      <c r="F19" s="20" t="inlineStr">
        <is>
          <t>Beira</t>
        </is>
      </c>
      <c r="G19" s="20" t="inlineStr">
        <is>
          <t>Lusaka</t>
        </is>
      </c>
      <c r="H19" s="20" t="inlineStr">
        <is>
          <t>PMS</t>
        </is>
      </c>
      <c r="I19" s="20" t="inlineStr">
        <is>
          <t>AK0101MC</t>
        </is>
      </c>
      <c r="J19" s="20" t="inlineStr">
        <is>
          <t>AH451MC</t>
        </is>
      </c>
      <c r="K19" s="20" t="inlineStr">
        <is>
          <t>PETRODA</t>
        </is>
      </c>
      <c r="L19" s="20" t="inlineStr">
        <is>
          <t>PEREIRA FERNANDO ARGOLA</t>
        </is>
      </c>
      <c r="M19" s="186" t="n">
        <v>46015</v>
      </c>
      <c r="N19" s="186" t="n">
        <v>46015</v>
      </c>
      <c r="O19" s="187">
        <f>IF(OR(M19="",N19=""),"",N19-M19)</f>
        <v/>
      </c>
      <c r="P19" s="187">
        <f>IFERROR(VLOOKUP(B19,Deals[#All],7,FALSE),DEF_LAYTIME)</f>
        <v/>
      </c>
      <c r="Q19" s="187">
        <f>IF(O19="","",MAX(0,O19-P19))</f>
        <v/>
      </c>
      <c r="R19" s="188">
        <f>IFERROR(VLOOKUP(B19,Deals[#All],8,FALSE),DEF_RATE)</f>
        <v/>
      </c>
      <c r="S19" s="188">
        <f>IF(Q19="","",Q19*R19)</f>
        <v/>
      </c>
      <c r="T19" s="16">
        <f>IF(O19="","PENDING",IF(Q19&gt;0,"DEMURRAGE","ON-TIME"))</f>
        <v/>
      </c>
      <c r="U19" s="16">
        <f>IF(AND(E19&lt;&gt;"",M19&lt;&gt;"",M19&lt;E19),"⚠ Arr&lt;Loaded",IF(AND(M19&lt;&gt;"",N19&lt;&gt;"",N19&lt;M19),"⚠ Off&lt;Arr","OK"))</f>
        <v/>
      </c>
      <c r="V19" s="16">
        <f>IF(E19="","",TEXT(E19,"yyyy-mm"))</f>
        <v/>
      </c>
    </row>
    <row r="20">
      <c r="B20" s="16" t="n">
        <v>184834</v>
      </c>
      <c r="C20" s="16" t="inlineStr">
        <is>
          <t>184834-DEM</t>
        </is>
      </c>
      <c r="D20" s="20" t="inlineStr">
        <is>
          <t>Reliance Energy Zambia</t>
        </is>
      </c>
      <c r="E20" s="186" t="n">
        <v>46011</v>
      </c>
      <c r="F20" s="20" t="inlineStr">
        <is>
          <t>Beira</t>
        </is>
      </c>
      <c r="G20" s="20" t="inlineStr">
        <is>
          <t>Lusaka</t>
        </is>
      </c>
      <c r="H20" s="20" t="inlineStr">
        <is>
          <t>PMS</t>
        </is>
      </c>
      <c r="I20" s="20" t="inlineStr">
        <is>
          <t>AKN812MC</t>
        </is>
      </c>
      <c r="J20" s="20" t="inlineStr">
        <is>
          <t>AH439MC</t>
        </is>
      </c>
      <c r="K20" s="20" t="inlineStr">
        <is>
          <t>PETRODA</t>
        </is>
      </c>
      <c r="L20" s="20" t="inlineStr">
        <is>
          <t>MOISES BACALEUANE ARROZ</t>
        </is>
      </c>
      <c r="M20" s="186" t="n">
        <v>46015</v>
      </c>
      <c r="N20" s="186" t="n">
        <v>46015</v>
      </c>
      <c r="O20" s="187">
        <f>IF(OR(M20="",N20=""),"",N20-M20)</f>
        <v/>
      </c>
      <c r="P20" s="187">
        <f>IFERROR(VLOOKUP(B20,Deals[#All],7,FALSE),DEF_LAYTIME)</f>
        <v/>
      </c>
      <c r="Q20" s="187">
        <f>IF(O20="","",MAX(0,O20-P20))</f>
        <v/>
      </c>
      <c r="R20" s="188">
        <f>IFERROR(VLOOKUP(B20,Deals[#All],8,FALSE),DEF_RATE)</f>
        <v/>
      </c>
      <c r="S20" s="188">
        <f>IF(Q20="","",Q20*R20)</f>
        <v/>
      </c>
      <c r="T20" s="16">
        <f>IF(O20="","PENDING",IF(Q20&gt;0,"DEMURRAGE","ON-TIME"))</f>
        <v/>
      </c>
      <c r="U20" s="16">
        <f>IF(AND(E20&lt;&gt;"",M20&lt;&gt;"",M20&lt;E20),"⚠ Arr&lt;Loaded",IF(AND(M20&lt;&gt;"",N20&lt;&gt;"",N20&lt;M20),"⚠ Off&lt;Arr","OK"))</f>
        <v/>
      </c>
      <c r="V20" s="16">
        <f>IF(E20="","",TEXT(E20,"yyyy-mm"))</f>
        <v/>
      </c>
    </row>
    <row r="21">
      <c r="B21" s="16" t="n">
        <v>187293</v>
      </c>
      <c r="C21" s="16" t="inlineStr">
        <is>
          <t>187293-DEM</t>
        </is>
      </c>
      <c r="D21" s="20" t="inlineStr">
        <is>
          <t>Lake Petroleum Zambia</t>
        </is>
      </c>
      <c r="E21" s="186" t="n">
        <v>46095</v>
      </c>
      <c r="F21" s="20" t="inlineStr">
        <is>
          <t>Beira</t>
        </is>
      </c>
      <c r="G21" s="20" t="inlineStr">
        <is>
          <t>Lusaka</t>
        </is>
      </c>
      <c r="H21" s="20" t="inlineStr">
        <is>
          <t>PMS</t>
        </is>
      </c>
      <c r="I21" s="20" t="inlineStr">
        <is>
          <t>AKN 001 MC</t>
        </is>
      </c>
      <c r="J21" s="20" t="inlineStr">
        <is>
          <t>AH 453 MC</t>
        </is>
      </c>
      <c r="K21" s="20" t="inlineStr">
        <is>
          <t>PETRODA</t>
        </is>
      </c>
      <c r="L21" s="20" t="inlineStr">
        <is>
          <t>MOMADE MOEDA MOMADE</t>
        </is>
      </c>
      <c r="M21" s="186" t="n">
        <v>46102</v>
      </c>
      <c r="N21" s="186" t="n">
        <v>46113</v>
      </c>
      <c r="O21" s="187">
        <f>IF(OR(M21="",N21=""),"",N21-M21)</f>
        <v/>
      </c>
      <c r="P21" s="187">
        <f>IFERROR(VLOOKUP(B21,Deals[#All],7,FALSE),DEF_LAYTIME)</f>
        <v/>
      </c>
      <c r="Q21" s="187">
        <f>IF(O21="","",MAX(0,O21-P21))</f>
        <v/>
      </c>
      <c r="R21" s="188">
        <f>IFERROR(VLOOKUP(B21,Deals[#All],8,FALSE),DEF_RATE)</f>
        <v/>
      </c>
      <c r="S21" s="188">
        <f>IF(Q21="","",Q21*R21)</f>
        <v/>
      </c>
      <c r="T21" s="16">
        <f>IF(O21="","PENDING",IF(Q21&gt;0,"DEMURRAGE","ON-TIME"))</f>
        <v/>
      </c>
      <c r="U21" s="16">
        <f>IF(AND(E21&lt;&gt;"",M21&lt;&gt;"",M21&lt;E21),"⚠ Arr&lt;Loaded",IF(AND(M21&lt;&gt;"",N21&lt;&gt;"",N21&lt;M21),"⚠ Off&lt;Arr","OK"))</f>
        <v/>
      </c>
      <c r="V21" s="16">
        <f>IF(E21="","",TEXT(E21,"yyyy-mm"))</f>
        <v/>
      </c>
    </row>
    <row r="22">
      <c r="B22" s="16" t="n">
        <v>187293</v>
      </c>
      <c r="C22" s="16" t="inlineStr">
        <is>
          <t>187293-DEM</t>
        </is>
      </c>
      <c r="D22" s="20" t="inlineStr">
        <is>
          <t>Lake Petroleum Zambia</t>
        </is>
      </c>
      <c r="E22" s="186" t="n">
        <v>46095</v>
      </c>
      <c r="F22" s="20" t="inlineStr">
        <is>
          <t>Beira</t>
        </is>
      </c>
      <c r="G22" s="20" t="inlineStr">
        <is>
          <t>Lusaka</t>
        </is>
      </c>
      <c r="H22" s="20" t="inlineStr">
        <is>
          <t>PMS</t>
        </is>
      </c>
      <c r="I22" s="20" t="inlineStr">
        <is>
          <t>AKN 014 MC</t>
        </is>
      </c>
      <c r="J22" s="20" t="inlineStr">
        <is>
          <t>AH 447 MC</t>
        </is>
      </c>
      <c r="K22" s="20" t="inlineStr">
        <is>
          <t>PETRODA</t>
        </is>
      </c>
      <c r="L22" s="20" t="inlineStr">
        <is>
          <t>KEITH TCHUMA</t>
        </is>
      </c>
      <c r="M22" s="186" t="n">
        <v>46099</v>
      </c>
      <c r="N22" s="186" t="n">
        <v>46111</v>
      </c>
      <c r="O22" s="187">
        <f>IF(OR(M22="",N22=""),"",N22-M22)</f>
        <v/>
      </c>
      <c r="P22" s="187">
        <f>IFERROR(VLOOKUP(B22,Deals[#All],7,FALSE),DEF_LAYTIME)</f>
        <v/>
      </c>
      <c r="Q22" s="187">
        <f>IF(O22="","",MAX(0,O22-P22))</f>
        <v/>
      </c>
      <c r="R22" s="188">
        <f>IFERROR(VLOOKUP(B22,Deals[#All],8,FALSE),DEF_RATE)</f>
        <v/>
      </c>
      <c r="S22" s="188">
        <f>IF(Q22="","",Q22*R22)</f>
        <v/>
      </c>
      <c r="T22" s="16">
        <f>IF(O22="","PENDING",IF(Q22&gt;0,"DEMURRAGE","ON-TIME"))</f>
        <v/>
      </c>
      <c r="U22" s="16">
        <f>IF(AND(E22&lt;&gt;"",M22&lt;&gt;"",M22&lt;E22),"⚠ Arr&lt;Loaded",IF(AND(M22&lt;&gt;"",N22&lt;&gt;"",N22&lt;M22),"⚠ Off&lt;Arr","OK"))</f>
        <v/>
      </c>
      <c r="V22" s="16">
        <f>IF(E22="","",TEXT(E22,"yyyy-mm"))</f>
        <v/>
      </c>
    </row>
    <row r="23">
      <c r="B23" s="16" t="n">
        <v>187293</v>
      </c>
      <c r="C23" s="16" t="inlineStr">
        <is>
          <t>187293-DEM</t>
        </is>
      </c>
      <c r="D23" s="20" t="inlineStr">
        <is>
          <t>Lake Petroleum Zambia</t>
        </is>
      </c>
      <c r="E23" s="186" t="n">
        <v>46095</v>
      </c>
      <c r="F23" s="20" t="inlineStr">
        <is>
          <t>Beira</t>
        </is>
      </c>
      <c r="G23" s="20" t="inlineStr">
        <is>
          <t>Lusaka</t>
        </is>
      </c>
      <c r="H23" s="20" t="inlineStr">
        <is>
          <t>PMS</t>
        </is>
      </c>
      <c r="I23" s="20" t="inlineStr">
        <is>
          <t>AKN 767 MC</t>
        </is>
      </c>
      <c r="J23" s="20" t="inlineStr">
        <is>
          <t>AH 437 MC</t>
        </is>
      </c>
      <c r="K23" s="20" t="inlineStr">
        <is>
          <t>PETRODA</t>
        </is>
      </c>
      <c r="L23" s="20" t="inlineStr">
        <is>
          <t>CARLOS JOSE JOAO</t>
        </is>
      </c>
      <c r="M23" s="186" t="n">
        <v>46102</v>
      </c>
      <c r="N23" s="186" t="n">
        <v>46113</v>
      </c>
      <c r="O23" s="187">
        <f>IF(OR(M23="",N23=""),"",N23-M23)</f>
        <v/>
      </c>
      <c r="P23" s="187">
        <f>IFERROR(VLOOKUP(B23,Deals[#All],7,FALSE),DEF_LAYTIME)</f>
        <v/>
      </c>
      <c r="Q23" s="187">
        <f>IF(O23="","",MAX(0,O23-P23))</f>
        <v/>
      </c>
      <c r="R23" s="188">
        <f>IFERROR(VLOOKUP(B23,Deals[#All],8,FALSE),DEF_RATE)</f>
        <v/>
      </c>
      <c r="S23" s="188">
        <f>IF(Q23="","",Q23*R23)</f>
        <v/>
      </c>
      <c r="T23" s="16">
        <f>IF(O23="","PENDING",IF(Q23&gt;0,"DEMURRAGE","ON-TIME"))</f>
        <v/>
      </c>
      <c r="U23" s="16">
        <f>IF(AND(E23&lt;&gt;"",M23&lt;&gt;"",M23&lt;E23),"⚠ Arr&lt;Loaded",IF(AND(M23&lt;&gt;"",N23&lt;&gt;"",N23&lt;M23),"⚠ Off&lt;Arr","OK"))</f>
        <v/>
      </c>
      <c r="V23" s="16">
        <f>IF(E23="","",TEXT(E23,"yyyy-mm"))</f>
        <v/>
      </c>
    </row>
    <row r="24">
      <c r="B24" s="16" t="n">
        <v>187293</v>
      </c>
      <c r="C24" s="16" t="inlineStr">
        <is>
          <t>187293-DEM</t>
        </is>
      </c>
      <c r="D24" s="20" t="inlineStr">
        <is>
          <t>Lake Petroleum Zambia</t>
        </is>
      </c>
      <c r="E24" s="186" t="n">
        <v>46095</v>
      </c>
      <c r="F24" s="20" t="inlineStr">
        <is>
          <t>Beira</t>
        </is>
      </c>
      <c r="G24" s="20" t="inlineStr">
        <is>
          <t>Lusaka</t>
        </is>
      </c>
      <c r="H24" s="20" t="inlineStr">
        <is>
          <t>PMS</t>
        </is>
      </c>
      <c r="I24" s="20" t="inlineStr">
        <is>
          <t>AKN 010 MC</t>
        </is>
      </c>
      <c r="J24" s="20" t="inlineStr">
        <is>
          <t>AH 438 MC</t>
        </is>
      </c>
      <c r="K24" s="20" t="inlineStr">
        <is>
          <t>PETRODA</t>
        </is>
      </c>
      <c r="L24" s="20" t="inlineStr">
        <is>
          <t>NELSON GOTINE</t>
        </is>
      </c>
      <c r="M24" s="186" t="n">
        <v>46102</v>
      </c>
      <c r="N24" s="186" t="n">
        <v>46113</v>
      </c>
      <c r="O24" s="187">
        <f>IF(OR(M24="",N24=""),"",N24-M24)</f>
        <v/>
      </c>
      <c r="P24" s="187">
        <f>IFERROR(VLOOKUP(B24,Deals[#All],7,FALSE),DEF_LAYTIME)</f>
        <v/>
      </c>
      <c r="Q24" s="187">
        <f>IF(O24="","",MAX(0,O24-P24))</f>
        <v/>
      </c>
      <c r="R24" s="188">
        <f>IFERROR(VLOOKUP(B24,Deals[#All],8,FALSE),DEF_RATE)</f>
        <v/>
      </c>
      <c r="S24" s="188">
        <f>IF(Q24="","",Q24*R24)</f>
        <v/>
      </c>
      <c r="T24" s="16">
        <f>IF(O24="","PENDING",IF(Q24&gt;0,"DEMURRAGE","ON-TIME"))</f>
        <v/>
      </c>
      <c r="U24" s="16">
        <f>IF(AND(E24&lt;&gt;"",M24&lt;&gt;"",M24&lt;E24),"⚠ Arr&lt;Loaded",IF(AND(M24&lt;&gt;"",N24&lt;&gt;"",N24&lt;M24),"⚠ Off&lt;Arr","OK"))</f>
        <v/>
      </c>
      <c r="V24" s="16">
        <f>IF(E24="","",TEXT(E24,"yyyy-mm"))</f>
        <v/>
      </c>
    </row>
    <row r="25">
      <c r="B25" s="16" t="n">
        <v>187293</v>
      </c>
      <c r="C25" s="16" t="inlineStr">
        <is>
          <t>187293-DEM</t>
        </is>
      </c>
      <c r="D25" s="20" t="inlineStr">
        <is>
          <t>Lake Petroleum Zambia</t>
        </is>
      </c>
      <c r="E25" s="186" t="n">
        <v>46095</v>
      </c>
      <c r="F25" s="20" t="inlineStr">
        <is>
          <t>Beira</t>
        </is>
      </c>
      <c r="G25" s="20" t="inlineStr">
        <is>
          <t>Lusaka</t>
        </is>
      </c>
      <c r="H25" s="20" t="inlineStr">
        <is>
          <t>PMS</t>
        </is>
      </c>
      <c r="I25" s="20" t="inlineStr">
        <is>
          <t>AKN 820 MC</t>
        </is>
      </c>
      <c r="J25" s="20" t="inlineStr">
        <is>
          <t>AH 468 MC</t>
        </is>
      </c>
      <c r="K25" s="20" t="inlineStr">
        <is>
          <t>PETRODA</t>
        </is>
      </c>
      <c r="L25" s="20" t="inlineStr">
        <is>
          <t>CHIFUNDO SITOLO</t>
        </is>
      </c>
      <c r="M25" s="186" t="n">
        <v>46099</v>
      </c>
      <c r="N25" s="186" t="n">
        <v>46113</v>
      </c>
      <c r="O25" s="187">
        <f>IF(OR(M25="",N25=""),"",N25-M25)</f>
        <v/>
      </c>
      <c r="P25" s="187">
        <f>IFERROR(VLOOKUP(B25,Deals[#All],7,FALSE),DEF_LAYTIME)</f>
        <v/>
      </c>
      <c r="Q25" s="187">
        <f>IF(O25="","",MAX(0,O25-P25))</f>
        <v/>
      </c>
      <c r="R25" s="188">
        <f>IFERROR(VLOOKUP(B25,Deals[#All],8,FALSE),DEF_RATE)</f>
        <v/>
      </c>
      <c r="S25" s="188">
        <f>IF(Q25="","",Q25*R25)</f>
        <v/>
      </c>
      <c r="T25" s="16">
        <f>IF(O25="","PENDING",IF(Q25&gt;0,"DEMURRAGE","ON-TIME"))</f>
        <v/>
      </c>
      <c r="U25" s="16">
        <f>IF(AND(E25&lt;&gt;"",M25&lt;&gt;"",M25&lt;E25),"⚠ Arr&lt;Loaded",IF(AND(M25&lt;&gt;"",N25&lt;&gt;"",N25&lt;M25),"⚠ Off&lt;Arr","OK"))</f>
        <v/>
      </c>
      <c r="V25" s="16">
        <f>IF(E25="","",TEXT(E25,"yyyy-mm"))</f>
        <v/>
      </c>
    </row>
    <row r="26">
      <c r="B26" s="16" t="n">
        <v>187293</v>
      </c>
      <c r="C26" s="16" t="inlineStr">
        <is>
          <t>187293-DEM</t>
        </is>
      </c>
      <c r="D26" s="20" t="inlineStr">
        <is>
          <t>Lake Petroleum Zambia</t>
        </is>
      </c>
      <c r="E26" s="186" t="n">
        <v>46102</v>
      </c>
      <c r="F26" s="20" t="inlineStr">
        <is>
          <t>Beira</t>
        </is>
      </c>
      <c r="G26" s="20" t="inlineStr">
        <is>
          <t>Lusaka</t>
        </is>
      </c>
      <c r="H26" s="20" t="inlineStr">
        <is>
          <t>PMS</t>
        </is>
      </c>
      <c r="I26" s="20" t="inlineStr">
        <is>
          <t>ABC 253 SF</t>
        </is>
      </c>
      <c r="J26" s="20" t="inlineStr">
        <is>
          <t>AH 386 SF</t>
        </is>
      </c>
      <c r="K26" s="20" t="inlineStr">
        <is>
          <t>PETRODA</t>
        </is>
      </c>
      <c r="L26" s="20" t="inlineStr">
        <is>
          <t>Zacarias Huo</t>
        </is>
      </c>
      <c r="M26" s="186" t="n">
        <v>46106</v>
      </c>
      <c r="N26" s="186" t="n">
        <v>46111</v>
      </c>
      <c r="O26" s="187">
        <f>IF(OR(M26="",N26=""),"",N26-M26)</f>
        <v/>
      </c>
      <c r="P26" s="187">
        <f>IFERROR(VLOOKUP(B26,Deals[#All],7,FALSE),DEF_LAYTIME)</f>
        <v/>
      </c>
      <c r="Q26" s="187">
        <f>IF(O26="","",MAX(0,O26-P26))</f>
        <v/>
      </c>
      <c r="R26" s="188">
        <f>IFERROR(VLOOKUP(B26,Deals[#All],8,FALSE),DEF_RATE)</f>
        <v/>
      </c>
      <c r="S26" s="188">
        <f>IF(Q26="","",Q26*R26)</f>
        <v/>
      </c>
      <c r="T26" s="16">
        <f>IF(O26="","PENDING",IF(Q26&gt;0,"DEMURRAGE","ON-TIME"))</f>
        <v/>
      </c>
      <c r="U26" s="16">
        <f>IF(AND(E26&lt;&gt;"",M26&lt;&gt;"",M26&lt;E26),"⚠ Arr&lt;Loaded",IF(AND(M26&lt;&gt;"",N26&lt;&gt;"",N26&lt;M26),"⚠ Off&lt;Arr","OK"))</f>
        <v/>
      </c>
      <c r="V26" s="16">
        <f>IF(E26="","",TEXT(E26,"yyyy-mm"))</f>
        <v/>
      </c>
    </row>
    <row r="27">
      <c r="B27" s="16" t="n">
        <v>187293</v>
      </c>
      <c r="C27" s="16" t="inlineStr">
        <is>
          <t>187293-DEM</t>
        </is>
      </c>
      <c r="D27" s="20" t="inlineStr">
        <is>
          <t>Lake Petroleum Zambia</t>
        </is>
      </c>
      <c r="E27" s="186" t="n">
        <v>46101</v>
      </c>
      <c r="F27" s="20" t="inlineStr">
        <is>
          <t>Beira</t>
        </is>
      </c>
      <c r="G27" s="20" t="inlineStr">
        <is>
          <t>Lusaka</t>
        </is>
      </c>
      <c r="H27" s="20" t="inlineStr">
        <is>
          <t>PMS</t>
        </is>
      </c>
      <c r="I27" s="20" t="inlineStr">
        <is>
          <t>AKO 101 MC</t>
        </is>
      </c>
      <c r="J27" s="20" t="inlineStr">
        <is>
          <t>AH 451 MC</t>
        </is>
      </c>
      <c r="K27" s="20" t="inlineStr">
        <is>
          <t>PETRODA</t>
        </is>
      </c>
      <c r="L27" s="20" t="inlineStr">
        <is>
          <t>Casse Moguene</t>
        </is>
      </c>
      <c r="M27" s="186" t="n">
        <v>46111</v>
      </c>
      <c r="N27" s="186" t="n">
        <v>46114</v>
      </c>
      <c r="O27" s="187">
        <f>IF(OR(M27="",N27=""),"",N27-M27)</f>
        <v/>
      </c>
      <c r="P27" s="187">
        <f>IFERROR(VLOOKUP(B27,Deals[#All],7,FALSE),DEF_LAYTIME)</f>
        <v/>
      </c>
      <c r="Q27" s="187">
        <f>IF(O27="","",MAX(0,O27-P27))</f>
        <v/>
      </c>
      <c r="R27" s="188">
        <f>IFERROR(VLOOKUP(B27,Deals[#All],8,FALSE),DEF_RATE)</f>
        <v/>
      </c>
      <c r="S27" s="188">
        <f>IF(Q27="","",Q27*R27)</f>
        <v/>
      </c>
      <c r="T27" s="16">
        <f>IF(O27="","PENDING",IF(Q27&gt;0,"DEMURRAGE","ON-TIME"))</f>
        <v/>
      </c>
      <c r="U27" s="16">
        <f>IF(AND(E27&lt;&gt;"",M27&lt;&gt;"",M27&lt;E27),"⚠ Arr&lt;Loaded",IF(AND(M27&lt;&gt;"",N27&lt;&gt;"",N27&lt;M27),"⚠ Off&lt;Arr","OK"))</f>
        <v/>
      </c>
      <c r="V27" s="16">
        <f>IF(E27="","",TEXT(E27,"yyyy-mm"))</f>
        <v/>
      </c>
    </row>
    <row r="28">
      <c r="B28" s="16" t="n">
        <v>187293</v>
      </c>
      <c r="C28" s="16" t="inlineStr">
        <is>
          <t>187293-DEM</t>
        </is>
      </c>
      <c r="D28" s="20" t="inlineStr">
        <is>
          <t>Lake Petroleum Zambia</t>
        </is>
      </c>
      <c r="E28" s="186" t="n">
        <v>46079</v>
      </c>
      <c r="F28" s="20" t="inlineStr">
        <is>
          <t>Beira</t>
        </is>
      </c>
      <c r="G28" s="20" t="inlineStr">
        <is>
          <t>Lusaka</t>
        </is>
      </c>
      <c r="H28" s="20" t="inlineStr">
        <is>
          <t>PMS</t>
        </is>
      </c>
      <c r="I28" s="20" t="inlineStr">
        <is>
          <t>CAA-8073ZM</t>
        </is>
      </c>
      <c r="J28" s="20" t="inlineStr">
        <is>
          <t>CAA-8067ZM</t>
        </is>
      </c>
      <c r="K28" s="20" t="inlineStr">
        <is>
          <t>OASIS</t>
        </is>
      </c>
      <c r="L28" s="20" t="inlineStr">
        <is>
          <t>FRANCIS</t>
        </is>
      </c>
      <c r="M28" s="186" t="n">
        <v>46088</v>
      </c>
      <c r="N28" s="186" t="n">
        <v>46099</v>
      </c>
      <c r="O28" s="187">
        <f>IF(OR(M28="",N28=""),"",N28-M28)</f>
        <v/>
      </c>
      <c r="P28" s="187">
        <f>IFERROR(VLOOKUP(B28,Deals[#All],7,FALSE),DEF_LAYTIME)</f>
        <v/>
      </c>
      <c r="Q28" s="187">
        <f>IF(O28="","",MAX(0,O28-P28))</f>
        <v/>
      </c>
      <c r="R28" s="188">
        <f>IFERROR(VLOOKUP(B28,Deals[#All],8,FALSE),DEF_RATE)</f>
        <v/>
      </c>
      <c r="S28" s="188">
        <f>IF(Q28="","",Q28*R28)</f>
        <v/>
      </c>
      <c r="T28" s="16">
        <f>IF(O28="","PENDING",IF(Q28&gt;0,"DEMURRAGE","ON-TIME"))</f>
        <v/>
      </c>
      <c r="U28" s="16">
        <f>IF(AND(E28&lt;&gt;"",M28&lt;&gt;"",M28&lt;E28),"⚠ Arr&lt;Loaded",IF(AND(M28&lt;&gt;"",N28&lt;&gt;"",N28&lt;M28),"⚠ Off&lt;Arr","OK"))</f>
        <v/>
      </c>
      <c r="V28" s="16">
        <f>IF(E28="","",TEXT(E28,"yyyy-mm"))</f>
        <v/>
      </c>
    </row>
    <row r="29">
      <c r="B29" s="16" t="n">
        <v>187293</v>
      </c>
      <c r="C29" s="16" t="inlineStr">
        <is>
          <t>187293-DEM</t>
        </is>
      </c>
      <c r="D29" s="20" t="inlineStr">
        <is>
          <t>Lake Petroleum Zambia</t>
        </is>
      </c>
      <c r="E29" s="186" t="n">
        <v>46079</v>
      </c>
      <c r="F29" s="20" t="inlineStr">
        <is>
          <t>Beira</t>
        </is>
      </c>
      <c r="G29" s="20" t="inlineStr">
        <is>
          <t>Lusaka</t>
        </is>
      </c>
      <c r="H29" s="20" t="inlineStr">
        <is>
          <t>PMS</t>
        </is>
      </c>
      <c r="I29" s="20" t="inlineStr">
        <is>
          <t>BAZ-3920ZM</t>
        </is>
      </c>
      <c r="J29" s="20" t="inlineStr">
        <is>
          <t>BAZ-4329ZM</t>
        </is>
      </c>
      <c r="K29" s="20" t="inlineStr">
        <is>
          <t>OASIS</t>
        </is>
      </c>
      <c r="L29" s="20" t="inlineStr">
        <is>
          <t xml:space="preserve">AARON </t>
        </is>
      </c>
      <c r="M29" s="186" t="n">
        <v>46082</v>
      </c>
      <c r="N29" s="186" t="n">
        <v>46086</v>
      </c>
      <c r="O29" s="187">
        <f>IF(OR(M29="",N29=""),"",N29-M29)</f>
        <v/>
      </c>
      <c r="P29" s="187">
        <f>IFERROR(VLOOKUP(B29,Deals[#All],7,FALSE),DEF_LAYTIME)</f>
        <v/>
      </c>
      <c r="Q29" s="187">
        <f>IF(O29="","",MAX(0,O29-P29))</f>
        <v/>
      </c>
      <c r="R29" s="188">
        <f>IFERROR(VLOOKUP(B29,Deals[#All],8,FALSE),DEF_RATE)</f>
        <v/>
      </c>
      <c r="S29" s="188">
        <f>IF(Q29="","",Q29*R29)</f>
        <v/>
      </c>
      <c r="T29" s="16">
        <f>IF(O29="","PENDING",IF(Q29&gt;0,"DEMURRAGE","ON-TIME"))</f>
        <v/>
      </c>
      <c r="U29" s="16">
        <f>IF(AND(E29&lt;&gt;"",M29&lt;&gt;"",M29&lt;E29),"⚠ Arr&lt;Loaded",IF(AND(M29&lt;&gt;"",N29&lt;&gt;"",N29&lt;M29),"⚠ Off&lt;Arr","OK"))</f>
        <v/>
      </c>
      <c r="V29" s="16">
        <f>IF(E29="","",TEXT(E29,"yyyy-mm"))</f>
        <v/>
      </c>
    </row>
    <row r="30">
      <c r="B30" s="16" t="n">
        <v>187293</v>
      </c>
      <c r="C30" s="16" t="inlineStr">
        <is>
          <t>187293-DEM</t>
        </is>
      </c>
      <c r="D30" s="20" t="inlineStr">
        <is>
          <t>Lake Petroleum Zambia</t>
        </is>
      </c>
      <c r="E30" s="186" t="n">
        <v>46079</v>
      </c>
      <c r="F30" s="20" t="inlineStr">
        <is>
          <t>Beira</t>
        </is>
      </c>
      <c r="G30" s="20" t="inlineStr">
        <is>
          <t>Lusaka</t>
        </is>
      </c>
      <c r="H30" s="20" t="inlineStr">
        <is>
          <t>PMS</t>
        </is>
      </c>
      <c r="I30" s="20" t="inlineStr">
        <is>
          <t>BAV-7007ZM</t>
        </is>
      </c>
      <c r="J30" s="20" t="inlineStr">
        <is>
          <t>BAV-7070ZM</t>
        </is>
      </c>
      <c r="K30" s="20" t="inlineStr">
        <is>
          <t>OASIS</t>
        </is>
      </c>
      <c r="L30" s="20" t="inlineStr">
        <is>
          <t>ANDRE</t>
        </is>
      </c>
      <c r="M30" s="186" t="n">
        <v>46088</v>
      </c>
      <c r="N30" s="186" t="n">
        <v>46100</v>
      </c>
      <c r="O30" s="187">
        <f>IF(OR(M30="",N30=""),"",N30-M30)</f>
        <v/>
      </c>
      <c r="P30" s="187">
        <f>IFERROR(VLOOKUP(B30,Deals[#All],7,FALSE),DEF_LAYTIME)</f>
        <v/>
      </c>
      <c r="Q30" s="187">
        <f>IF(O30="","",MAX(0,O30-P30))</f>
        <v/>
      </c>
      <c r="R30" s="188">
        <f>IFERROR(VLOOKUP(B30,Deals[#All],8,FALSE),DEF_RATE)</f>
        <v/>
      </c>
      <c r="S30" s="188">
        <f>IF(Q30="","",Q30*R30)</f>
        <v/>
      </c>
      <c r="T30" s="16">
        <f>IF(O30="","PENDING",IF(Q30&gt;0,"DEMURRAGE","ON-TIME"))</f>
        <v/>
      </c>
      <c r="U30" s="16">
        <f>IF(AND(E30&lt;&gt;"",M30&lt;&gt;"",M30&lt;E30),"⚠ Arr&lt;Loaded",IF(AND(M30&lt;&gt;"",N30&lt;&gt;"",N30&lt;M30),"⚠ Off&lt;Arr","OK"))</f>
        <v/>
      </c>
      <c r="V30" s="16">
        <f>IF(E30="","",TEXT(E30,"yyyy-mm"))</f>
        <v/>
      </c>
    </row>
    <row r="31">
      <c r="B31" s="16" t="n">
        <v>187293</v>
      </c>
      <c r="C31" s="16" t="inlineStr">
        <is>
          <t>187293-DEM</t>
        </is>
      </c>
      <c r="D31" s="20" t="inlineStr">
        <is>
          <t>Lake Petroleum Zambia</t>
        </is>
      </c>
      <c r="E31" s="186" t="n">
        <v>46079</v>
      </c>
      <c r="F31" s="20" t="inlineStr">
        <is>
          <t>Beira</t>
        </is>
      </c>
      <c r="G31" s="20" t="inlineStr">
        <is>
          <t>Lusaka</t>
        </is>
      </c>
      <c r="H31" s="20" t="inlineStr">
        <is>
          <t>PMS</t>
        </is>
      </c>
      <c r="I31" s="20" t="inlineStr">
        <is>
          <t>BAV-7006ZM</t>
        </is>
      </c>
      <c r="J31" s="20" t="inlineStr">
        <is>
          <t>BAV-7074ZM</t>
        </is>
      </c>
      <c r="K31" s="20" t="inlineStr">
        <is>
          <t>OASIS</t>
        </is>
      </c>
      <c r="L31" s="20" t="inlineStr">
        <is>
          <t>CECIL</t>
        </is>
      </c>
      <c r="M31" s="186" t="n">
        <v>46084</v>
      </c>
      <c r="N31" s="186" t="n">
        <v>46088</v>
      </c>
      <c r="O31" s="187">
        <f>IF(OR(M31="",N31=""),"",N31-M31)</f>
        <v/>
      </c>
      <c r="P31" s="187">
        <f>IFERROR(VLOOKUP(B31,Deals[#All],7,FALSE),DEF_LAYTIME)</f>
        <v/>
      </c>
      <c r="Q31" s="187">
        <f>IF(O31="","",MAX(0,O31-P31))</f>
        <v/>
      </c>
      <c r="R31" s="188">
        <f>IFERROR(VLOOKUP(B31,Deals[#All],8,FALSE),DEF_RATE)</f>
        <v/>
      </c>
      <c r="S31" s="188">
        <f>IF(Q31="","",Q31*R31)</f>
        <v/>
      </c>
      <c r="T31" s="16">
        <f>IF(O31="","PENDING",IF(Q31&gt;0,"DEMURRAGE","ON-TIME"))</f>
        <v/>
      </c>
      <c r="U31" s="16">
        <f>IF(AND(E31&lt;&gt;"",M31&lt;&gt;"",M31&lt;E31),"⚠ Arr&lt;Loaded",IF(AND(M31&lt;&gt;"",N31&lt;&gt;"",N31&lt;M31),"⚠ Off&lt;Arr","OK"))</f>
        <v/>
      </c>
      <c r="V31" s="16">
        <f>IF(E31="","",TEXT(E31,"yyyy-mm"))</f>
        <v/>
      </c>
    </row>
    <row r="32">
      <c r="B32" s="16" t="n">
        <v>187293</v>
      </c>
      <c r="C32" s="16" t="inlineStr">
        <is>
          <t>187293-DEM</t>
        </is>
      </c>
      <c r="D32" s="20" t="inlineStr">
        <is>
          <t>Lake Petroleum Zambia</t>
        </is>
      </c>
      <c r="E32" s="186" t="n">
        <v>46079</v>
      </c>
      <c r="F32" s="20" t="inlineStr">
        <is>
          <t>Beira</t>
        </is>
      </c>
      <c r="G32" s="20" t="inlineStr">
        <is>
          <t>Lusaka</t>
        </is>
      </c>
      <c r="H32" s="20" t="inlineStr">
        <is>
          <t>PMS</t>
        </is>
      </c>
      <c r="I32" s="20" t="inlineStr">
        <is>
          <t>BAZ-4162ZM</t>
        </is>
      </c>
      <c r="J32" s="20" t="inlineStr">
        <is>
          <t>BAZ-4663ZM</t>
        </is>
      </c>
      <c r="K32" s="20" t="inlineStr">
        <is>
          <t>OASIS</t>
        </is>
      </c>
      <c r="L32" s="20" t="inlineStr">
        <is>
          <t>EMMANUEL</t>
        </is>
      </c>
      <c r="M32" s="186" t="n">
        <v>46082</v>
      </c>
      <c r="N32" s="186" t="n">
        <v>46086</v>
      </c>
      <c r="O32" s="187">
        <f>IF(OR(M32="",N32=""),"",N32-M32)</f>
        <v/>
      </c>
      <c r="P32" s="187">
        <f>IFERROR(VLOOKUP(B32,Deals[#All],7,FALSE),DEF_LAYTIME)</f>
        <v/>
      </c>
      <c r="Q32" s="187">
        <f>IF(O32="","",MAX(0,O32-P32))</f>
        <v/>
      </c>
      <c r="R32" s="188">
        <f>IFERROR(VLOOKUP(B32,Deals[#All],8,FALSE),DEF_RATE)</f>
        <v/>
      </c>
      <c r="S32" s="188">
        <f>IF(Q32="","",Q32*R32)</f>
        <v/>
      </c>
      <c r="T32" s="16">
        <f>IF(O32="","PENDING",IF(Q32&gt;0,"DEMURRAGE","ON-TIME"))</f>
        <v/>
      </c>
      <c r="U32" s="16">
        <f>IF(AND(E32&lt;&gt;"",M32&lt;&gt;"",M32&lt;E32),"⚠ Arr&lt;Loaded",IF(AND(M32&lt;&gt;"",N32&lt;&gt;"",N32&lt;M32),"⚠ Off&lt;Arr","OK"))</f>
        <v/>
      </c>
      <c r="V32" s="16">
        <f>IF(E32="","",TEXT(E32,"yyyy-mm"))</f>
        <v/>
      </c>
    </row>
    <row r="33">
      <c r="B33" s="16" t="n">
        <v>187293</v>
      </c>
      <c r="C33" s="16" t="inlineStr">
        <is>
          <t>187293-DEM</t>
        </is>
      </c>
      <c r="D33" s="20" t="inlineStr">
        <is>
          <t>Lake Petroleum Zambia</t>
        </is>
      </c>
      <c r="E33" s="186" t="n">
        <v>46079</v>
      </c>
      <c r="F33" s="20" t="inlineStr">
        <is>
          <t>Beira</t>
        </is>
      </c>
      <c r="G33" s="20" t="inlineStr">
        <is>
          <t>Lusaka</t>
        </is>
      </c>
      <c r="H33" s="20" t="inlineStr">
        <is>
          <t>PMS</t>
        </is>
      </c>
      <c r="I33" s="20" t="inlineStr">
        <is>
          <t>BAV-7223ZM</t>
        </is>
      </c>
      <c r="J33" s="20" t="inlineStr">
        <is>
          <t>BAV-7081ZM</t>
        </is>
      </c>
      <c r="K33" s="20" t="inlineStr">
        <is>
          <t>OASIS</t>
        </is>
      </c>
      <c r="L33" s="20" t="inlineStr">
        <is>
          <t>JAMES</t>
        </is>
      </c>
      <c r="M33" s="186" t="n">
        <v>46083</v>
      </c>
      <c r="N33" s="186" t="n">
        <v>46088</v>
      </c>
      <c r="O33" s="187">
        <f>IF(OR(M33="",N33=""),"",N33-M33)</f>
        <v/>
      </c>
      <c r="P33" s="187">
        <f>IFERROR(VLOOKUP(B33,Deals[#All],7,FALSE),DEF_LAYTIME)</f>
        <v/>
      </c>
      <c r="Q33" s="187">
        <f>IF(O33="","",MAX(0,O33-P33))</f>
        <v/>
      </c>
      <c r="R33" s="188">
        <f>IFERROR(VLOOKUP(B33,Deals[#All],8,FALSE),DEF_RATE)</f>
        <v/>
      </c>
      <c r="S33" s="188">
        <f>IF(Q33="","",Q33*R33)</f>
        <v/>
      </c>
      <c r="T33" s="16">
        <f>IF(O33="","PENDING",IF(Q33&gt;0,"DEMURRAGE","ON-TIME"))</f>
        <v/>
      </c>
      <c r="U33" s="16">
        <f>IF(AND(E33&lt;&gt;"",M33&lt;&gt;"",M33&lt;E33),"⚠ Arr&lt;Loaded",IF(AND(M33&lt;&gt;"",N33&lt;&gt;"",N33&lt;M33),"⚠ Off&lt;Arr","OK"))</f>
        <v/>
      </c>
      <c r="V33" s="16">
        <f>IF(E33="","",TEXT(E33,"yyyy-mm"))</f>
        <v/>
      </c>
    </row>
    <row r="34">
      <c r="B34" s="16" t="n">
        <v>187293</v>
      </c>
      <c r="C34" s="16" t="inlineStr">
        <is>
          <t>187293-DEM</t>
        </is>
      </c>
      <c r="D34" s="20" t="inlineStr">
        <is>
          <t>Lake Petroleum Zambia</t>
        </is>
      </c>
      <c r="E34" s="186" t="n">
        <v>46079</v>
      </c>
      <c r="F34" s="20" t="inlineStr">
        <is>
          <t>Beira</t>
        </is>
      </c>
      <c r="G34" s="20" t="inlineStr">
        <is>
          <t>Lusaka</t>
        </is>
      </c>
      <c r="H34" s="20" t="inlineStr">
        <is>
          <t>PMS</t>
        </is>
      </c>
      <c r="I34" s="20" t="inlineStr">
        <is>
          <t>CAJ-4203 ZM</t>
        </is>
      </c>
      <c r="J34" s="20" t="inlineStr">
        <is>
          <t>CAJ-4205 ZM</t>
        </is>
      </c>
      <c r="K34" s="20" t="inlineStr">
        <is>
          <t>OASIS</t>
        </is>
      </c>
      <c r="L34" s="20" t="inlineStr">
        <is>
          <t>ATIN</t>
        </is>
      </c>
      <c r="M34" s="186" t="n">
        <v>46082</v>
      </c>
      <c r="N34" s="186" t="n">
        <v>46086</v>
      </c>
      <c r="O34" s="187">
        <f>IF(OR(M34="",N34=""),"",N34-M34)</f>
        <v/>
      </c>
      <c r="P34" s="187">
        <f>IFERROR(VLOOKUP(B34,Deals[#All],7,FALSE),DEF_LAYTIME)</f>
        <v/>
      </c>
      <c r="Q34" s="187">
        <f>IF(O34="","",MAX(0,O34-P34))</f>
        <v/>
      </c>
      <c r="R34" s="188">
        <f>IFERROR(VLOOKUP(B34,Deals[#All],8,FALSE),DEF_RATE)</f>
        <v/>
      </c>
      <c r="S34" s="188">
        <f>IF(Q34="","",Q34*R34)</f>
        <v/>
      </c>
      <c r="T34" s="16">
        <f>IF(O34="","PENDING",IF(Q34&gt;0,"DEMURRAGE","ON-TIME"))</f>
        <v/>
      </c>
      <c r="U34" s="16">
        <f>IF(AND(E34&lt;&gt;"",M34&lt;&gt;"",M34&lt;E34),"⚠ Arr&lt;Loaded",IF(AND(M34&lt;&gt;"",N34&lt;&gt;"",N34&lt;M34),"⚠ Off&lt;Arr","OK"))</f>
        <v/>
      </c>
      <c r="V34" s="16">
        <f>IF(E34="","",TEXT(E34,"yyyy-mm"))</f>
        <v/>
      </c>
    </row>
    <row r="35">
      <c r="B35" s="16" t="n">
        <v>187293</v>
      </c>
      <c r="C35" s="16" t="inlineStr">
        <is>
          <t>187293-DEM</t>
        </is>
      </c>
      <c r="D35" s="20" t="inlineStr">
        <is>
          <t>Lake Petroleum Zambia</t>
        </is>
      </c>
      <c r="E35" s="186" t="n">
        <v>46079</v>
      </c>
      <c r="F35" s="20" t="inlineStr">
        <is>
          <t>Beira</t>
        </is>
      </c>
      <c r="G35" s="20" t="inlineStr">
        <is>
          <t>Lusaka</t>
        </is>
      </c>
      <c r="H35" s="20" t="inlineStr">
        <is>
          <t>PMS</t>
        </is>
      </c>
      <c r="I35" s="20" t="inlineStr">
        <is>
          <t>CAJ-7188 ZM</t>
        </is>
      </c>
      <c r="J35" s="20" t="inlineStr">
        <is>
          <t>CAJ-7178 ZM</t>
        </is>
      </c>
      <c r="K35" s="20" t="inlineStr">
        <is>
          <t>OASIS</t>
        </is>
      </c>
      <c r="L35" s="20" t="inlineStr">
        <is>
          <t>JOSEPH</t>
        </is>
      </c>
      <c r="M35" s="186" t="n">
        <v>46082</v>
      </c>
      <c r="N35" s="186" t="n">
        <v>46086</v>
      </c>
      <c r="O35" s="187">
        <f>IF(OR(M35="",N35=""),"",N35-M35)</f>
        <v/>
      </c>
      <c r="P35" s="187">
        <f>IFERROR(VLOOKUP(B35,Deals[#All],7,FALSE),DEF_LAYTIME)</f>
        <v/>
      </c>
      <c r="Q35" s="187">
        <f>IF(O35="","",MAX(0,O35-P35))</f>
        <v/>
      </c>
      <c r="R35" s="188">
        <f>IFERROR(VLOOKUP(B35,Deals[#All],8,FALSE),DEF_RATE)</f>
        <v/>
      </c>
      <c r="S35" s="188">
        <f>IF(Q35="","",Q35*R35)</f>
        <v/>
      </c>
      <c r="T35" s="16">
        <f>IF(O35="","PENDING",IF(Q35&gt;0,"DEMURRAGE","ON-TIME"))</f>
        <v/>
      </c>
      <c r="U35" s="16">
        <f>IF(AND(E35&lt;&gt;"",M35&lt;&gt;"",M35&lt;E35),"⚠ Arr&lt;Loaded",IF(AND(M35&lt;&gt;"",N35&lt;&gt;"",N35&lt;M35),"⚠ Off&lt;Arr","OK"))</f>
        <v/>
      </c>
      <c r="V35" s="16">
        <f>IF(E35="","",TEXT(E35,"yyyy-mm"))</f>
        <v/>
      </c>
    </row>
    <row r="36">
      <c r="B36" s="16" t="n">
        <v>187293</v>
      </c>
      <c r="C36" s="16" t="inlineStr">
        <is>
          <t>187293-DEM</t>
        </is>
      </c>
      <c r="D36" s="20" t="inlineStr">
        <is>
          <t>Lake Petroleum Zambia</t>
        </is>
      </c>
      <c r="E36" s="186" t="n">
        <v>46079</v>
      </c>
      <c r="F36" s="20" t="inlineStr">
        <is>
          <t>Beira</t>
        </is>
      </c>
      <c r="G36" s="20" t="inlineStr">
        <is>
          <t>Lusaka</t>
        </is>
      </c>
      <c r="H36" s="20" t="inlineStr">
        <is>
          <t>PMS</t>
        </is>
      </c>
      <c r="I36" s="20" t="inlineStr">
        <is>
          <t>CAJ-7193 ZM</t>
        </is>
      </c>
      <c r="J36" s="20" t="inlineStr">
        <is>
          <t xml:space="preserve">CAJ-7197 ZM </t>
        </is>
      </c>
      <c r="K36" s="20" t="inlineStr">
        <is>
          <t>OASIS</t>
        </is>
      </c>
      <c r="L36" s="20" t="inlineStr">
        <is>
          <t>JASON</t>
        </is>
      </c>
      <c r="M36" s="186" t="n">
        <v>46083</v>
      </c>
      <c r="N36" s="186" t="n">
        <v>46087</v>
      </c>
      <c r="O36" s="187">
        <f>IF(OR(M36="",N36=""),"",N36-M36)</f>
        <v/>
      </c>
      <c r="P36" s="187">
        <f>IFERROR(VLOOKUP(B36,Deals[#All],7,FALSE),DEF_LAYTIME)</f>
        <v/>
      </c>
      <c r="Q36" s="187">
        <f>IF(O36="","",MAX(0,O36-P36))</f>
        <v/>
      </c>
      <c r="R36" s="188">
        <f>IFERROR(VLOOKUP(B36,Deals[#All],8,FALSE),DEF_RATE)</f>
        <v/>
      </c>
      <c r="S36" s="188">
        <f>IF(Q36="","",Q36*R36)</f>
        <v/>
      </c>
      <c r="T36" s="16">
        <f>IF(O36="","PENDING",IF(Q36&gt;0,"DEMURRAGE","ON-TIME"))</f>
        <v/>
      </c>
      <c r="U36" s="16">
        <f>IF(AND(E36&lt;&gt;"",M36&lt;&gt;"",M36&lt;E36),"⚠ Arr&lt;Loaded",IF(AND(M36&lt;&gt;"",N36&lt;&gt;"",N36&lt;M36),"⚠ Off&lt;Arr","OK"))</f>
        <v/>
      </c>
      <c r="V36" s="16">
        <f>IF(E36="","",TEXT(E36,"yyyy-mm"))</f>
        <v/>
      </c>
    </row>
    <row r="37">
      <c r="B37" s="16" t="n">
        <v>187293</v>
      </c>
      <c r="C37" s="16" t="inlineStr">
        <is>
          <t>187293-DEM</t>
        </is>
      </c>
      <c r="D37" s="20" t="inlineStr">
        <is>
          <t>Lake Petroleum Zambia</t>
        </is>
      </c>
      <c r="E37" s="186" t="n">
        <v>46079</v>
      </c>
      <c r="F37" s="20" t="inlineStr">
        <is>
          <t>Beira</t>
        </is>
      </c>
      <c r="G37" s="20" t="inlineStr">
        <is>
          <t>Lusaka</t>
        </is>
      </c>
      <c r="H37" s="20" t="inlineStr">
        <is>
          <t>PMS</t>
        </is>
      </c>
      <c r="I37" s="20" t="inlineStr">
        <is>
          <t>CAJ-7192 ZM</t>
        </is>
      </c>
      <c r="J37" s="20" t="inlineStr">
        <is>
          <t>CAJ-7175 ZM</t>
        </is>
      </c>
      <c r="K37" s="20" t="inlineStr">
        <is>
          <t>OASIS</t>
        </is>
      </c>
      <c r="L37" s="20" t="inlineStr">
        <is>
          <t>ALEX</t>
        </is>
      </c>
      <c r="M37" s="186" t="n">
        <v>46088</v>
      </c>
      <c r="N37" s="186" t="n">
        <v>46099</v>
      </c>
      <c r="O37" s="187">
        <f>IF(OR(M37="",N37=""),"",N37-M37)</f>
        <v/>
      </c>
      <c r="P37" s="187">
        <f>IFERROR(VLOOKUP(B37,Deals[#All],7,FALSE),DEF_LAYTIME)</f>
        <v/>
      </c>
      <c r="Q37" s="187">
        <f>IF(O37="","",MAX(0,O37-P37))</f>
        <v/>
      </c>
      <c r="R37" s="188">
        <f>IFERROR(VLOOKUP(B37,Deals[#All],8,FALSE),DEF_RATE)</f>
        <v/>
      </c>
      <c r="S37" s="188">
        <f>IF(Q37="","",Q37*R37)</f>
        <v/>
      </c>
      <c r="T37" s="16">
        <f>IF(O37="","PENDING",IF(Q37&gt;0,"DEMURRAGE","ON-TIME"))</f>
        <v/>
      </c>
      <c r="U37" s="16">
        <f>IF(AND(E37&lt;&gt;"",M37&lt;&gt;"",M37&lt;E37),"⚠ Arr&lt;Loaded",IF(AND(M37&lt;&gt;"",N37&lt;&gt;"",N37&lt;M37),"⚠ Off&lt;Arr","OK"))</f>
        <v/>
      </c>
      <c r="V37" s="16">
        <f>IF(E37="","",TEXT(E37,"yyyy-mm"))</f>
        <v/>
      </c>
    </row>
    <row r="38">
      <c r="B38" s="16" t="n">
        <v>187293</v>
      </c>
      <c r="C38" s="16" t="inlineStr">
        <is>
          <t>187293-DEM</t>
        </is>
      </c>
      <c r="D38" s="20" t="inlineStr">
        <is>
          <t>Lake Petroleum Zambia</t>
        </is>
      </c>
      <c r="E38" s="186" t="n">
        <v>46079</v>
      </c>
      <c r="F38" s="20" t="inlineStr">
        <is>
          <t>Beira</t>
        </is>
      </c>
      <c r="G38" s="20" t="inlineStr">
        <is>
          <t>Lusaka</t>
        </is>
      </c>
      <c r="H38" s="20" t="inlineStr">
        <is>
          <t>PMS</t>
        </is>
      </c>
      <c r="I38" s="20" t="inlineStr">
        <is>
          <t>CAJ-4325 ZM</t>
        </is>
      </c>
      <c r="J38" s="20" t="inlineStr">
        <is>
          <t>CAJ-4321 ZM</t>
        </is>
      </c>
      <c r="K38" s="20" t="inlineStr">
        <is>
          <t>OASIS</t>
        </is>
      </c>
      <c r="L38" s="20" t="inlineStr">
        <is>
          <t>RAJ HILLARY</t>
        </is>
      </c>
      <c r="M38" s="186" t="n">
        <v>46088</v>
      </c>
      <c r="N38" s="186" t="n">
        <v>46097</v>
      </c>
      <c r="O38" s="187">
        <f>IF(OR(M38="",N38=""),"",N38-M38)</f>
        <v/>
      </c>
      <c r="P38" s="187">
        <f>IFERROR(VLOOKUP(B38,Deals[#All],7,FALSE),DEF_LAYTIME)</f>
        <v/>
      </c>
      <c r="Q38" s="187">
        <f>IF(O38="","",MAX(0,O38-P38))</f>
        <v/>
      </c>
      <c r="R38" s="188">
        <f>IFERROR(VLOOKUP(B38,Deals[#All],8,FALSE),DEF_RATE)</f>
        <v/>
      </c>
      <c r="S38" s="188">
        <f>IF(Q38="","",Q38*R38)</f>
        <v/>
      </c>
      <c r="T38" s="16">
        <f>IF(O38="","PENDING",IF(Q38&gt;0,"DEMURRAGE","ON-TIME"))</f>
        <v/>
      </c>
      <c r="U38" s="16">
        <f>IF(AND(E38&lt;&gt;"",M38&lt;&gt;"",M38&lt;E38),"⚠ Arr&lt;Loaded",IF(AND(M38&lt;&gt;"",N38&lt;&gt;"",N38&lt;M38),"⚠ Off&lt;Arr","OK"))</f>
        <v/>
      </c>
      <c r="V38" s="16">
        <f>IF(E38="","",TEXT(E38,"yyyy-mm"))</f>
        <v/>
      </c>
    </row>
    <row r="39">
      <c r="B39" s="16" t="n">
        <v>187293</v>
      </c>
      <c r="C39" s="16" t="inlineStr">
        <is>
          <t>187293-DEM</t>
        </is>
      </c>
      <c r="D39" s="20" t="inlineStr">
        <is>
          <t>Lake Petroleum Zambia</t>
        </is>
      </c>
      <c r="E39" s="186" t="n">
        <v>46079</v>
      </c>
      <c r="F39" s="20" t="inlineStr">
        <is>
          <t>Beira</t>
        </is>
      </c>
      <c r="G39" s="20" t="inlineStr">
        <is>
          <t>Lusaka</t>
        </is>
      </c>
      <c r="H39" s="20" t="inlineStr">
        <is>
          <t>PMS</t>
        </is>
      </c>
      <c r="I39" s="20" t="inlineStr">
        <is>
          <t>CAF-8526ZM</t>
        </is>
      </c>
      <c r="J39" s="20" t="inlineStr">
        <is>
          <t>CAF-8515ZM</t>
        </is>
      </c>
      <c r="K39" s="20" t="inlineStr">
        <is>
          <t>OASIS</t>
        </is>
      </c>
      <c r="L39" s="20" t="inlineStr">
        <is>
          <t>DUNCAN</t>
        </is>
      </c>
      <c r="M39" s="186" t="n">
        <v>46082</v>
      </c>
      <c r="N39" s="186" t="n">
        <v>46086</v>
      </c>
      <c r="O39" s="187">
        <f>IF(OR(M39="",N39=""),"",N39-M39)</f>
        <v/>
      </c>
      <c r="P39" s="187">
        <f>IFERROR(VLOOKUP(B39,Deals[#All],7,FALSE),DEF_LAYTIME)</f>
        <v/>
      </c>
      <c r="Q39" s="187">
        <f>IF(O39="","",MAX(0,O39-P39))</f>
        <v/>
      </c>
      <c r="R39" s="188">
        <f>IFERROR(VLOOKUP(B39,Deals[#All],8,FALSE),DEF_RATE)</f>
        <v/>
      </c>
      <c r="S39" s="188">
        <f>IF(Q39="","",Q39*R39)</f>
        <v/>
      </c>
      <c r="T39" s="16">
        <f>IF(O39="","PENDING",IF(Q39&gt;0,"DEMURRAGE","ON-TIME"))</f>
        <v/>
      </c>
      <c r="U39" s="16">
        <f>IF(AND(E39&lt;&gt;"",M39&lt;&gt;"",M39&lt;E39),"⚠ Arr&lt;Loaded",IF(AND(M39&lt;&gt;"",N39&lt;&gt;"",N39&lt;M39),"⚠ Off&lt;Arr","OK"))</f>
        <v/>
      </c>
      <c r="V39" s="16">
        <f>IF(E39="","",TEXT(E39,"yyyy-mm"))</f>
        <v/>
      </c>
    </row>
    <row r="40">
      <c r="B40" s="16" t="n">
        <v>187293</v>
      </c>
      <c r="C40" s="16" t="inlineStr">
        <is>
          <t>187293-DEM</t>
        </is>
      </c>
      <c r="D40" s="20" t="inlineStr">
        <is>
          <t>Lake Petroleum Zambia</t>
        </is>
      </c>
      <c r="E40" s="186" t="n">
        <v>46087</v>
      </c>
      <c r="F40" s="20" t="inlineStr">
        <is>
          <t>Beira</t>
        </is>
      </c>
      <c r="G40" s="20" t="inlineStr">
        <is>
          <t>Lusaka</t>
        </is>
      </c>
      <c r="H40" s="20" t="inlineStr">
        <is>
          <t>PMS</t>
        </is>
      </c>
      <c r="I40" s="20" t="inlineStr">
        <is>
          <t>AHN 716 MP</t>
        </is>
      </c>
      <c r="J40" s="20" t="inlineStr">
        <is>
          <t>AJ 041 MC</t>
        </is>
      </c>
      <c r="K40" s="20" t="inlineStr">
        <is>
          <t>TRANSIR</t>
        </is>
      </c>
      <c r="L40" s="20" t="inlineStr">
        <is>
          <t>AVERAGE CHITENGWA</t>
        </is>
      </c>
      <c r="M40" s="186" t="n">
        <v>46092</v>
      </c>
      <c r="N40" s="186" t="n">
        <v>46106</v>
      </c>
      <c r="O40" s="187">
        <f>IF(OR(M40="",N40=""),"",N40-M40)</f>
        <v/>
      </c>
      <c r="P40" s="187">
        <f>IFERROR(VLOOKUP(B40,Deals[#All],7,FALSE),DEF_LAYTIME)</f>
        <v/>
      </c>
      <c r="Q40" s="187">
        <f>IF(O40="","",MAX(0,O40-P40))</f>
        <v/>
      </c>
      <c r="R40" s="188">
        <f>IFERROR(VLOOKUP(B40,Deals[#All],8,FALSE),DEF_RATE)</f>
        <v/>
      </c>
      <c r="S40" s="188">
        <f>IF(Q40="","",Q40*R40)</f>
        <v/>
      </c>
      <c r="T40" s="16">
        <f>IF(O40="","PENDING",IF(Q40&gt;0,"DEMURRAGE","ON-TIME"))</f>
        <v/>
      </c>
      <c r="U40" s="16">
        <f>IF(AND(E40&lt;&gt;"",M40&lt;&gt;"",M40&lt;E40),"⚠ Arr&lt;Loaded",IF(AND(M40&lt;&gt;"",N40&lt;&gt;"",N40&lt;M40),"⚠ Off&lt;Arr","OK"))</f>
        <v/>
      </c>
      <c r="V40" s="16">
        <f>IF(E40="","",TEXT(E40,"yyyy-mm"))</f>
        <v/>
      </c>
    </row>
    <row r="41">
      <c r="B41" s="16" t="n">
        <v>187293</v>
      </c>
      <c r="C41" s="16" t="inlineStr">
        <is>
          <t>187293-DEM</t>
        </is>
      </c>
      <c r="D41" s="20" t="inlineStr">
        <is>
          <t>Lake Petroleum Zambia</t>
        </is>
      </c>
      <c r="E41" s="186" t="n">
        <v>46086</v>
      </c>
      <c r="F41" s="20" t="inlineStr">
        <is>
          <t>Beira</t>
        </is>
      </c>
      <c r="G41" s="20" t="inlineStr">
        <is>
          <t>Lusaka</t>
        </is>
      </c>
      <c r="H41" s="20" t="inlineStr">
        <is>
          <t>PMS</t>
        </is>
      </c>
      <c r="I41" s="20" t="inlineStr">
        <is>
          <t>AJJ 602 MP</t>
        </is>
      </c>
      <c r="J41" s="20" t="inlineStr">
        <is>
          <t>AF 699 MC</t>
        </is>
      </c>
      <c r="K41" s="20" t="inlineStr">
        <is>
          <t>TRANSIR</t>
        </is>
      </c>
      <c r="L41" s="20" t="inlineStr">
        <is>
          <t>HESTINGS JAMU BANDA</t>
        </is>
      </c>
      <c r="M41" s="186" t="n">
        <v>46093</v>
      </c>
      <c r="N41" s="186" t="n">
        <v>46107</v>
      </c>
      <c r="O41" s="187">
        <f>IF(OR(M41="",N41=""),"",N41-M41)</f>
        <v/>
      </c>
      <c r="P41" s="187">
        <f>IFERROR(VLOOKUP(B41,Deals[#All],7,FALSE),DEF_LAYTIME)</f>
        <v/>
      </c>
      <c r="Q41" s="187">
        <f>IF(O41="","",MAX(0,O41-P41))</f>
        <v/>
      </c>
      <c r="R41" s="188">
        <f>IFERROR(VLOOKUP(B41,Deals[#All],8,FALSE),DEF_RATE)</f>
        <v/>
      </c>
      <c r="S41" s="188">
        <f>IF(Q41="","",Q41*R41)</f>
        <v/>
      </c>
      <c r="T41" s="16">
        <f>IF(O41="","PENDING",IF(Q41&gt;0,"DEMURRAGE","ON-TIME"))</f>
        <v/>
      </c>
      <c r="U41" s="16">
        <f>IF(AND(E41&lt;&gt;"",M41&lt;&gt;"",M41&lt;E41),"⚠ Arr&lt;Loaded",IF(AND(M41&lt;&gt;"",N41&lt;&gt;"",N41&lt;M41),"⚠ Off&lt;Arr","OK"))</f>
        <v/>
      </c>
      <c r="V41" s="16">
        <f>IF(E41="","",TEXT(E41,"yyyy-mm"))</f>
        <v/>
      </c>
    </row>
    <row r="42">
      <c r="B42" s="16" t="n">
        <v>187293</v>
      </c>
      <c r="C42" s="16" t="inlineStr">
        <is>
          <t>187293-DEM</t>
        </is>
      </c>
      <c r="D42" s="20" t="inlineStr">
        <is>
          <t>Lake Petroleum Zambia</t>
        </is>
      </c>
      <c r="E42" s="186" t="n">
        <v>46086</v>
      </c>
      <c r="F42" s="20" t="inlineStr">
        <is>
          <t>Beira</t>
        </is>
      </c>
      <c r="G42" s="20" t="inlineStr">
        <is>
          <t>Lusaka</t>
        </is>
      </c>
      <c r="H42" s="20" t="inlineStr">
        <is>
          <t>PMS</t>
        </is>
      </c>
      <c r="I42" s="20" t="inlineStr">
        <is>
          <t>AGU 496 MP</t>
        </is>
      </c>
      <c r="J42" s="20" t="inlineStr">
        <is>
          <t>AF 738 MC</t>
        </is>
      </c>
      <c r="K42" s="20" t="inlineStr">
        <is>
          <t>TRANSIR</t>
        </is>
      </c>
      <c r="L42" s="20" t="inlineStr">
        <is>
          <t>NHAMO MUKWEKWERERE</t>
        </is>
      </c>
      <c r="M42" s="186" t="n">
        <v>46092</v>
      </c>
      <c r="N42" s="186" t="n">
        <v>46105</v>
      </c>
      <c r="O42" s="187">
        <f>IF(OR(M42="",N42=""),"",N42-M42)</f>
        <v/>
      </c>
      <c r="P42" s="187">
        <f>IFERROR(VLOOKUP(B42,Deals[#All],7,FALSE),DEF_LAYTIME)</f>
        <v/>
      </c>
      <c r="Q42" s="187">
        <f>IF(O42="","",MAX(0,O42-P42))</f>
        <v/>
      </c>
      <c r="R42" s="188">
        <f>IFERROR(VLOOKUP(B42,Deals[#All],8,FALSE),DEF_RATE)</f>
        <v/>
      </c>
      <c r="S42" s="188">
        <f>IF(Q42="","",Q42*R42)</f>
        <v/>
      </c>
      <c r="T42" s="16">
        <f>IF(O42="","PENDING",IF(Q42&gt;0,"DEMURRAGE","ON-TIME"))</f>
        <v/>
      </c>
      <c r="U42" s="16">
        <f>IF(AND(E42&lt;&gt;"",M42&lt;&gt;"",M42&lt;E42),"⚠ Arr&lt;Loaded",IF(AND(M42&lt;&gt;"",N42&lt;&gt;"",N42&lt;M42),"⚠ Off&lt;Arr","OK"))</f>
        <v/>
      </c>
      <c r="V42" s="16">
        <f>IF(E42="","",TEXT(E42,"yyyy-mm"))</f>
        <v/>
      </c>
    </row>
    <row r="43">
      <c r="B43" s="16" t="n">
        <v>187293</v>
      </c>
      <c r="C43" s="16" t="inlineStr">
        <is>
          <t>187293-DEM</t>
        </is>
      </c>
      <c r="D43" s="20" t="inlineStr">
        <is>
          <t>Lake Petroleum Zambia</t>
        </is>
      </c>
      <c r="E43" s="186" t="n">
        <v>46086</v>
      </c>
      <c r="F43" s="20" t="inlineStr">
        <is>
          <t>Beira</t>
        </is>
      </c>
      <c r="G43" s="20" t="inlineStr">
        <is>
          <t>Lusaka</t>
        </is>
      </c>
      <c r="H43" s="20" t="inlineStr">
        <is>
          <t>PMS</t>
        </is>
      </c>
      <c r="I43" s="20" t="inlineStr">
        <is>
          <t>AFW 378 MP</t>
        </is>
      </c>
      <c r="J43" s="20" t="inlineStr">
        <is>
          <t>AE 731 MC</t>
        </is>
      </c>
      <c r="K43" s="20" t="inlineStr">
        <is>
          <t>TRANSIR</t>
        </is>
      </c>
      <c r="L43" s="20" t="inlineStr">
        <is>
          <t>KANGAI TAFIRENYIKA</t>
        </is>
      </c>
      <c r="M43" s="186" t="n">
        <v>46093</v>
      </c>
      <c r="N43" s="186" t="n">
        <v>46107</v>
      </c>
      <c r="O43" s="187">
        <f>IF(OR(M43="",N43=""),"",N43-M43)</f>
        <v/>
      </c>
      <c r="P43" s="187">
        <f>IFERROR(VLOOKUP(B43,Deals[#All],7,FALSE),DEF_LAYTIME)</f>
        <v/>
      </c>
      <c r="Q43" s="187">
        <f>IF(O43="","",MAX(0,O43-P43))</f>
        <v/>
      </c>
      <c r="R43" s="188">
        <f>IFERROR(VLOOKUP(B43,Deals[#All],8,FALSE),DEF_RATE)</f>
        <v/>
      </c>
      <c r="S43" s="188">
        <f>IF(Q43="","",Q43*R43)</f>
        <v/>
      </c>
      <c r="T43" s="16">
        <f>IF(O43="","PENDING",IF(Q43&gt;0,"DEMURRAGE","ON-TIME"))</f>
        <v/>
      </c>
      <c r="U43" s="16">
        <f>IF(AND(E43&lt;&gt;"",M43&lt;&gt;"",M43&lt;E43),"⚠ Arr&lt;Loaded",IF(AND(M43&lt;&gt;"",N43&lt;&gt;"",N43&lt;M43),"⚠ Off&lt;Arr","OK"))</f>
        <v/>
      </c>
      <c r="V43" s="16">
        <f>IF(E43="","",TEXT(E43,"yyyy-mm"))</f>
        <v/>
      </c>
    </row>
    <row r="44">
      <c r="B44" s="16" t="n">
        <v>187293</v>
      </c>
      <c r="C44" s="16" t="inlineStr">
        <is>
          <t>187293-DEM</t>
        </is>
      </c>
      <c r="D44" s="20" t="inlineStr">
        <is>
          <t>Lake Petroleum Zambia</t>
        </is>
      </c>
      <c r="E44" s="186" t="n">
        <v>46085</v>
      </c>
      <c r="F44" s="20" t="inlineStr">
        <is>
          <t>Beira</t>
        </is>
      </c>
      <c r="G44" s="20" t="inlineStr">
        <is>
          <t>Lusaka</t>
        </is>
      </c>
      <c r="H44" s="20" t="inlineStr">
        <is>
          <t>PMS</t>
        </is>
      </c>
      <c r="I44" s="20" t="inlineStr">
        <is>
          <t>AHG 527 MP</t>
        </is>
      </c>
      <c r="J44" s="20" t="inlineStr">
        <is>
          <t>AE 730 MC</t>
        </is>
      </c>
      <c r="K44" s="20" t="inlineStr">
        <is>
          <t>TRANSIR</t>
        </is>
      </c>
      <c r="L44" s="20" t="inlineStr">
        <is>
          <t>KELVIN JAKARASI</t>
        </is>
      </c>
      <c r="M44" s="186" t="n">
        <v>46092</v>
      </c>
      <c r="N44" s="186" t="n">
        <v>46105</v>
      </c>
      <c r="O44" s="187">
        <f>IF(OR(M44="",N44=""),"",N44-M44)</f>
        <v/>
      </c>
      <c r="P44" s="187">
        <f>IFERROR(VLOOKUP(B44,Deals[#All],7,FALSE),DEF_LAYTIME)</f>
        <v/>
      </c>
      <c r="Q44" s="187">
        <f>IF(O44="","",MAX(0,O44-P44))</f>
        <v/>
      </c>
      <c r="R44" s="188">
        <f>IFERROR(VLOOKUP(B44,Deals[#All],8,FALSE),DEF_RATE)</f>
        <v/>
      </c>
      <c r="S44" s="188">
        <f>IF(Q44="","",Q44*R44)</f>
        <v/>
      </c>
      <c r="T44" s="16">
        <f>IF(O44="","PENDING",IF(Q44&gt;0,"DEMURRAGE","ON-TIME"))</f>
        <v/>
      </c>
      <c r="U44" s="16">
        <f>IF(AND(E44&lt;&gt;"",M44&lt;&gt;"",M44&lt;E44),"⚠ Arr&lt;Loaded",IF(AND(M44&lt;&gt;"",N44&lt;&gt;"",N44&lt;M44),"⚠ Off&lt;Arr","OK"))</f>
        <v/>
      </c>
      <c r="V44" s="16">
        <f>IF(E44="","",TEXT(E44,"yyyy-mm"))</f>
        <v/>
      </c>
    </row>
    <row r="45">
      <c r="B45" s="16" t="n">
        <v>187293</v>
      </c>
      <c r="C45" s="16" t="inlineStr">
        <is>
          <t>187293-DEM</t>
        </is>
      </c>
      <c r="D45" s="20" t="inlineStr">
        <is>
          <t>Lake Petroleum Zambia</t>
        </is>
      </c>
      <c r="E45" s="186" t="n">
        <v>46085</v>
      </c>
      <c r="F45" s="20" t="inlineStr">
        <is>
          <t>Beira</t>
        </is>
      </c>
      <c r="G45" s="20" t="inlineStr">
        <is>
          <t>Lusaka</t>
        </is>
      </c>
      <c r="H45" s="20" t="inlineStr">
        <is>
          <t>PMS</t>
        </is>
      </c>
      <c r="I45" s="20" t="inlineStr">
        <is>
          <t>AIB 236 MC</t>
        </is>
      </c>
      <c r="J45" s="20" t="inlineStr">
        <is>
          <t>AA 486 MC</t>
        </is>
      </c>
      <c r="K45" s="20" t="inlineStr">
        <is>
          <t>TRANSIR</t>
        </is>
      </c>
      <c r="L45" s="20" t="inlineStr">
        <is>
          <t>INNOCENT MPOSHI</t>
        </is>
      </c>
      <c r="M45" s="186" t="n">
        <v>46092</v>
      </c>
      <c r="N45" s="186" t="n">
        <v>46105</v>
      </c>
      <c r="O45" s="187">
        <f>IF(OR(M45="",N45=""),"",N45-M45)</f>
        <v/>
      </c>
      <c r="P45" s="187">
        <f>IFERROR(VLOOKUP(B45,Deals[#All],7,FALSE),DEF_LAYTIME)</f>
        <v/>
      </c>
      <c r="Q45" s="187">
        <f>IF(O45="","",MAX(0,O45-P45))</f>
        <v/>
      </c>
      <c r="R45" s="188">
        <f>IFERROR(VLOOKUP(B45,Deals[#All],8,FALSE),DEF_RATE)</f>
        <v/>
      </c>
      <c r="S45" s="188">
        <f>IF(Q45="","",Q45*R45)</f>
        <v/>
      </c>
      <c r="T45" s="16">
        <f>IF(O45="","PENDING",IF(Q45&gt;0,"DEMURRAGE","ON-TIME"))</f>
        <v/>
      </c>
      <c r="U45" s="16">
        <f>IF(AND(E45&lt;&gt;"",M45&lt;&gt;"",M45&lt;E45),"⚠ Arr&lt;Loaded",IF(AND(M45&lt;&gt;"",N45&lt;&gt;"",N45&lt;M45),"⚠ Off&lt;Arr","OK"))</f>
        <v/>
      </c>
      <c r="V45" s="16">
        <f>IF(E45="","",TEXT(E45,"yyyy-mm"))</f>
        <v/>
      </c>
    </row>
    <row r="46">
      <c r="B46" s="16" t="n">
        <v>187293</v>
      </c>
      <c r="C46" s="16" t="inlineStr">
        <is>
          <t>187293-DEM</t>
        </is>
      </c>
      <c r="D46" s="20" t="inlineStr">
        <is>
          <t>Lake Petroleum Zambia</t>
        </is>
      </c>
      <c r="E46" s="186" t="n">
        <v>46085</v>
      </c>
      <c r="F46" s="20" t="inlineStr">
        <is>
          <t>Beira</t>
        </is>
      </c>
      <c r="G46" s="20" t="inlineStr">
        <is>
          <t>Lusaka</t>
        </is>
      </c>
      <c r="H46" s="20" t="inlineStr">
        <is>
          <t>PMS</t>
        </is>
      </c>
      <c r="I46" s="20" t="inlineStr">
        <is>
          <t>AAX 014 SF</t>
        </is>
      </c>
      <c r="J46" s="20" t="inlineStr">
        <is>
          <t>AA 475 MC</t>
        </is>
      </c>
      <c r="K46" s="20" t="inlineStr">
        <is>
          <t>TRANSIR</t>
        </is>
      </c>
      <c r="L46" s="20" t="inlineStr">
        <is>
          <t>CLAYTON KAMUDZEYA</t>
        </is>
      </c>
      <c r="M46" s="186" t="n">
        <v>46092</v>
      </c>
      <c r="N46" s="186" t="n">
        <v>46097</v>
      </c>
      <c r="O46" s="187">
        <f>IF(OR(M46="",N46=""),"",N46-M46)</f>
        <v/>
      </c>
      <c r="P46" s="187">
        <f>IFERROR(VLOOKUP(B46,Deals[#All],7,FALSE),DEF_LAYTIME)</f>
        <v/>
      </c>
      <c r="Q46" s="187">
        <f>IF(O46="","",MAX(0,O46-P46))</f>
        <v/>
      </c>
      <c r="R46" s="188">
        <f>IFERROR(VLOOKUP(B46,Deals[#All],8,FALSE),DEF_RATE)</f>
        <v/>
      </c>
      <c r="S46" s="188">
        <f>IF(Q46="","",Q46*R46)</f>
        <v/>
      </c>
      <c r="T46" s="16">
        <f>IF(O46="","PENDING",IF(Q46&gt;0,"DEMURRAGE","ON-TIME"))</f>
        <v/>
      </c>
      <c r="U46" s="16">
        <f>IF(AND(E46&lt;&gt;"",M46&lt;&gt;"",M46&lt;E46),"⚠ Arr&lt;Loaded",IF(AND(M46&lt;&gt;"",N46&lt;&gt;"",N46&lt;M46),"⚠ Off&lt;Arr","OK"))</f>
        <v/>
      </c>
      <c r="V46" s="16">
        <f>IF(E46="","",TEXT(E46,"yyyy-mm"))</f>
        <v/>
      </c>
    </row>
    <row r="47">
      <c r="B47" s="16" t="n">
        <v>187293</v>
      </c>
      <c r="C47" s="16" t="inlineStr">
        <is>
          <t>187293-DEM</t>
        </is>
      </c>
      <c r="D47" s="20" t="inlineStr">
        <is>
          <t>Lake Petroleum Zambia</t>
        </is>
      </c>
      <c r="E47" s="186" t="n">
        <v>46085</v>
      </c>
      <c r="F47" s="20" t="inlineStr">
        <is>
          <t>Beira</t>
        </is>
      </c>
      <c r="G47" s="20" t="inlineStr">
        <is>
          <t>Lusaka</t>
        </is>
      </c>
      <c r="H47" s="20" t="inlineStr">
        <is>
          <t>PMS</t>
        </is>
      </c>
      <c r="I47" s="20" t="inlineStr">
        <is>
          <t>AFV 439 MP</t>
        </is>
      </c>
      <c r="J47" s="20" t="inlineStr">
        <is>
          <t>AE 760 MC</t>
        </is>
      </c>
      <c r="K47" s="20" t="inlineStr">
        <is>
          <t>TRANSIR</t>
        </is>
      </c>
      <c r="L47" s="20" t="inlineStr">
        <is>
          <t>ALBERT ADELINO SILIRA</t>
        </is>
      </c>
      <c r="M47" s="186" t="n">
        <v>46092</v>
      </c>
      <c r="N47" s="186" t="n">
        <v>46102</v>
      </c>
      <c r="O47" s="187">
        <f>IF(OR(M47="",N47=""),"",N47-M47)</f>
        <v/>
      </c>
      <c r="P47" s="187">
        <f>IFERROR(VLOOKUP(B47,Deals[#All],7,FALSE),DEF_LAYTIME)</f>
        <v/>
      </c>
      <c r="Q47" s="187">
        <f>IF(O47="","",MAX(0,O47-P47))</f>
        <v/>
      </c>
      <c r="R47" s="188">
        <f>IFERROR(VLOOKUP(B47,Deals[#All],8,FALSE),DEF_RATE)</f>
        <v/>
      </c>
      <c r="S47" s="188">
        <f>IF(Q47="","",Q47*R47)</f>
        <v/>
      </c>
      <c r="T47" s="16">
        <f>IF(O47="","PENDING",IF(Q47&gt;0,"DEMURRAGE","ON-TIME"))</f>
        <v/>
      </c>
      <c r="U47" s="16">
        <f>IF(AND(E47&lt;&gt;"",M47&lt;&gt;"",M47&lt;E47),"⚠ Arr&lt;Loaded",IF(AND(M47&lt;&gt;"",N47&lt;&gt;"",N47&lt;M47),"⚠ Off&lt;Arr","OK"))</f>
        <v/>
      </c>
      <c r="V47" s="16">
        <f>IF(E47="","",TEXT(E47,"yyyy-mm"))</f>
        <v/>
      </c>
    </row>
    <row r="48">
      <c r="B48" s="16" t="n">
        <v>187293</v>
      </c>
      <c r="C48" s="16" t="inlineStr">
        <is>
          <t>187293-DEM</t>
        </is>
      </c>
      <c r="D48" s="20" t="inlineStr">
        <is>
          <t>Lake Petroleum Zambia</t>
        </is>
      </c>
      <c r="E48" s="186" t="n">
        <v>46085</v>
      </c>
      <c r="F48" s="20" t="inlineStr">
        <is>
          <t>Beira</t>
        </is>
      </c>
      <c r="G48" s="20" t="inlineStr">
        <is>
          <t>Lusaka</t>
        </is>
      </c>
      <c r="H48" s="20" t="inlineStr">
        <is>
          <t>PMS</t>
        </is>
      </c>
      <c r="I48" s="20" t="inlineStr">
        <is>
          <t>AIQ 955 MP</t>
        </is>
      </c>
      <c r="J48" s="20" t="inlineStr">
        <is>
          <t>AJ 042 MC</t>
        </is>
      </c>
      <c r="K48" s="20" t="inlineStr">
        <is>
          <t>TRANSIR</t>
        </is>
      </c>
      <c r="L48" s="20" t="inlineStr">
        <is>
          <t>MAXWELL SHAMU</t>
        </is>
      </c>
      <c r="M48" s="186" t="n">
        <v>46092</v>
      </c>
      <c r="N48" s="186" t="n">
        <v>46104</v>
      </c>
      <c r="O48" s="187">
        <f>IF(OR(M48="",N48=""),"",N48-M48)</f>
        <v/>
      </c>
      <c r="P48" s="187">
        <f>IFERROR(VLOOKUP(B48,Deals[#All],7,FALSE),DEF_LAYTIME)</f>
        <v/>
      </c>
      <c r="Q48" s="187">
        <f>IF(O48="","",MAX(0,O48-P48))</f>
        <v/>
      </c>
      <c r="R48" s="188">
        <f>IFERROR(VLOOKUP(B48,Deals[#All],8,FALSE),DEF_RATE)</f>
        <v/>
      </c>
      <c r="S48" s="188">
        <f>IF(Q48="","",Q48*R48)</f>
        <v/>
      </c>
      <c r="T48" s="16">
        <f>IF(O48="","PENDING",IF(Q48&gt;0,"DEMURRAGE","ON-TIME"))</f>
        <v/>
      </c>
      <c r="U48" s="16">
        <f>IF(AND(E48&lt;&gt;"",M48&lt;&gt;"",M48&lt;E48),"⚠ Arr&lt;Loaded",IF(AND(M48&lt;&gt;"",N48&lt;&gt;"",N48&lt;M48),"⚠ Off&lt;Arr","OK"))</f>
        <v/>
      </c>
      <c r="V48" s="16">
        <f>IF(E48="","",TEXT(E48,"yyyy-mm"))</f>
        <v/>
      </c>
    </row>
    <row r="49">
      <c r="B49" s="16" t="n">
        <v>187293</v>
      </c>
      <c r="C49" s="16" t="inlineStr">
        <is>
          <t>187293-DEM</t>
        </is>
      </c>
      <c r="D49" s="20" t="inlineStr">
        <is>
          <t>Lake Petroleum Zambia</t>
        </is>
      </c>
      <c r="E49" s="186" t="n">
        <v>46093</v>
      </c>
      <c r="F49" s="20" t="inlineStr">
        <is>
          <t>Beira</t>
        </is>
      </c>
      <c r="G49" s="20" t="inlineStr">
        <is>
          <t>Lusaka</t>
        </is>
      </c>
      <c r="H49" s="20" t="inlineStr">
        <is>
          <t>PMS</t>
        </is>
      </c>
      <c r="I49" s="20" t="inlineStr">
        <is>
          <t>AIB 049 MC</t>
        </is>
      </c>
      <c r="J49" s="20" t="inlineStr">
        <is>
          <t>AF 715 MC</t>
        </is>
      </c>
      <c r="K49" s="20" t="inlineStr">
        <is>
          <t>TRANSIR</t>
        </is>
      </c>
      <c r="L49" s="20" t="inlineStr">
        <is>
          <t>KUMIRAI KRISPEN</t>
        </is>
      </c>
      <c r="M49" s="186" t="n">
        <v>46098</v>
      </c>
      <c r="N49" s="186" t="n">
        <v>46108</v>
      </c>
      <c r="O49" s="187">
        <f>IF(OR(M49="",N49=""),"",N49-M49)</f>
        <v/>
      </c>
      <c r="P49" s="187">
        <f>IFERROR(VLOOKUP(B49,Deals[#All],7,FALSE),DEF_LAYTIME)</f>
        <v/>
      </c>
      <c r="Q49" s="187">
        <f>IF(O49="","",MAX(0,O49-P49))</f>
        <v/>
      </c>
      <c r="R49" s="188">
        <f>IFERROR(VLOOKUP(B49,Deals[#All],8,FALSE),DEF_RATE)</f>
        <v/>
      </c>
      <c r="S49" s="188">
        <f>IF(Q49="","",Q49*R49)</f>
        <v/>
      </c>
      <c r="T49" s="16">
        <f>IF(O49="","PENDING",IF(Q49&gt;0,"DEMURRAGE","ON-TIME"))</f>
        <v/>
      </c>
      <c r="U49" s="16">
        <f>IF(AND(E49&lt;&gt;"",M49&lt;&gt;"",M49&lt;E49),"⚠ Arr&lt;Loaded",IF(AND(M49&lt;&gt;"",N49&lt;&gt;"",N49&lt;M49),"⚠ Off&lt;Arr","OK"))</f>
        <v/>
      </c>
      <c r="V49" s="16">
        <f>IF(E49="","",TEXT(E49,"yyyy-mm"))</f>
        <v/>
      </c>
    </row>
    <row r="50">
      <c r="B50" s="16" t="n">
        <v>187296</v>
      </c>
      <c r="C50" s="16" t="inlineStr">
        <is>
          <t>187296-DEM</t>
        </is>
      </c>
      <c r="D50" s="20" t="inlineStr">
        <is>
          <t>Rubis Energy Zambia</t>
        </is>
      </c>
      <c r="E50" s="186" t="n">
        <v>46072</v>
      </c>
      <c r="F50" s="20" t="inlineStr">
        <is>
          <t>Beira</t>
        </is>
      </c>
      <c r="G50" s="20" t="inlineStr">
        <is>
          <t>Lusaka</t>
        </is>
      </c>
      <c r="H50" s="20" t="inlineStr">
        <is>
          <t>PMS</t>
        </is>
      </c>
      <c r="I50" s="20" t="inlineStr">
        <is>
          <t>AKN 021 MC</t>
        </is>
      </c>
      <c r="J50" s="20" t="inlineStr">
        <is>
          <t>AH430MC</t>
        </is>
      </c>
      <c r="K50" s="20" t="inlineStr">
        <is>
          <t>PETRODA</t>
        </is>
      </c>
      <c r="L50" s="20" t="inlineStr">
        <is>
          <t>JOSE MORAIS AUGUSTO</t>
        </is>
      </c>
      <c r="M50" s="186" t="n">
        <v>46076</v>
      </c>
      <c r="N50" s="186" t="n">
        <v>46084</v>
      </c>
      <c r="O50" s="187">
        <f>IF(OR(M50="",N50=""),"",N50-M50)</f>
        <v/>
      </c>
      <c r="P50" s="187">
        <f>IFERROR(VLOOKUP(B50,Deals[#All],7,FALSE),DEF_LAYTIME)</f>
        <v/>
      </c>
      <c r="Q50" s="187">
        <f>IF(O50="","",MAX(0,O50-P50))</f>
        <v/>
      </c>
      <c r="R50" s="188">
        <f>IFERROR(VLOOKUP(B50,Deals[#All],8,FALSE),DEF_RATE)</f>
        <v/>
      </c>
      <c r="S50" s="188">
        <f>IF(Q50="","",Q50*R50)</f>
        <v/>
      </c>
      <c r="T50" s="16">
        <f>IF(O50="","PENDING",IF(Q50&gt;0,"DEMURRAGE","ON-TIME"))</f>
        <v/>
      </c>
      <c r="U50" s="16">
        <f>IF(AND(E50&lt;&gt;"",M50&lt;&gt;"",M50&lt;E50),"⚠ Arr&lt;Loaded",IF(AND(M50&lt;&gt;"",N50&lt;&gt;"",N50&lt;M50),"⚠ Off&lt;Arr","OK"))</f>
        <v/>
      </c>
      <c r="V50" s="16">
        <f>IF(E50="","",TEXT(E50,"yyyy-mm"))</f>
        <v/>
      </c>
    </row>
    <row r="51">
      <c r="B51" s="16" t="n">
        <v>187296</v>
      </c>
      <c r="C51" s="16" t="inlineStr">
        <is>
          <t>187296-DEM</t>
        </is>
      </c>
      <c r="D51" s="20" t="inlineStr">
        <is>
          <t>Rubis Energy Zambia</t>
        </is>
      </c>
      <c r="E51" s="186" t="n">
        <v>46072</v>
      </c>
      <c r="F51" s="20" t="inlineStr">
        <is>
          <t>Beira</t>
        </is>
      </c>
      <c r="G51" s="20" t="inlineStr">
        <is>
          <t>Lusaka</t>
        </is>
      </c>
      <c r="H51" s="20" t="inlineStr">
        <is>
          <t>PMS</t>
        </is>
      </c>
      <c r="I51" s="20" t="inlineStr">
        <is>
          <t>ABC 281 SF</t>
        </is>
      </c>
      <c r="J51" s="20" t="inlineStr">
        <is>
          <t>AH 405 SF</t>
        </is>
      </c>
      <c r="K51" s="20" t="inlineStr">
        <is>
          <t>PETRODA</t>
        </is>
      </c>
      <c r="L51" s="20" t="inlineStr">
        <is>
          <t xml:space="preserve">DAUTI GUBE </t>
        </is>
      </c>
      <c r="M51" s="186" t="n">
        <v>46076</v>
      </c>
      <c r="N51" s="186" t="n">
        <v>46080</v>
      </c>
      <c r="O51" s="187">
        <f>IF(OR(M51="",N51=""),"",N51-M51)</f>
        <v/>
      </c>
      <c r="P51" s="187">
        <f>IFERROR(VLOOKUP(B51,Deals[#All],7,FALSE),DEF_LAYTIME)</f>
        <v/>
      </c>
      <c r="Q51" s="187">
        <f>IF(O51="","",MAX(0,O51-P51))</f>
        <v/>
      </c>
      <c r="R51" s="188">
        <f>IFERROR(VLOOKUP(B51,Deals[#All],8,FALSE),DEF_RATE)</f>
        <v/>
      </c>
      <c r="S51" s="188">
        <f>IF(Q51="","",Q51*R51)</f>
        <v/>
      </c>
      <c r="T51" s="16">
        <f>IF(O51="","PENDING",IF(Q51&gt;0,"DEMURRAGE","ON-TIME"))</f>
        <v/>
      </c>
      <c r="U51" s="16">
        <f>IF(AND(E51&lt;&gt;"",M51&lt;&gt;"",M51&lt;E51),"⚠ Arr&lt;Loaded",IF(AND(M51&lt;&gt;"",N51&lt;&gt;"",N51&lt;M51),"⚠ Off&lt;Arr","OK"))</f>
        <v/>
      </c>
      <c r="V51" s="16">
        <f>IF(E51="","",TEXT(E51,"yyyy-mm"))</f>
        <v/>
      </c>
    </row>
    <row r="52">
      <c r="B52" s="16" t="n">
        <v>187296</v>
      </c>
      <c r="C52" s="16" t="inlineStr">
        <is>
          <t>187296-DEM</t>
        </is>
      </c>
      <c r="D52" s="20" t="inlineStr">
        <is>
          <t>Rubis Energy Zambia</t>
        </is>
      </c>
      <c r="E52" s="186" t="n">
        <v>46072</v>
      </c>
      <c r="F52" s="20" t="inlineStr">
        <is>
          <t>Beira</t>
        </is>
      </c>
      <c r="G52" s="20" t="inlineStr">
        <is>
          <t>Lusaka</t>
        </is>
      </c>
      <c r="H52" s="20" t="inlineStr">
        <is>
          <t>PMS</t>
        </is>
      </c>
      <c r="I52" s="20" t="inlineStr">
        <is>
          <t>ABC 296 SF</t>
        </is>
      </c>
      <c r="J52" s="20" t="inlineStr">
        <is>
          <t>AH 396 SF</t>
        </is>
      </c>
      <c r="K52" s="20" t="inlineStr">
        <is>
          <t>PETRODA</t>
        </is>
      </c>
      <c r="L52" s="20" t="inlineStr">
        <is>
          <t>CHICONDI RAIMUNDO TEMBO</t>
        </is>
      </c>
      <c r="M52" s="186" t="n">
        <v>46076</v>
      </c>
      <c r="N52" s="186" t="n">
        <v>46080</v>
      </c>
      <c r="O52" s="187">
        <f>IF(OR(M52="",N52=""),"",N52-M52)</f>
        <v/>
      </c>
      <c r="P52" s="187">
        <f>IFERROR(VLOOKUP(B52,Deals[#All],7,FALSE),DEF_LAYTIME)</f>
        <v/>
      </c>
      <c r="Q52" s="187">
        <f>IF(O52="","",MAX(0,O52-P52))</f>
        <v/>
      </c>
      <c r="R52" s="188">
        <f>IFERROR(VLOOKUP(B52,Deals[#All],8,FALSE),DEF_RATE)</f>
        <v/>
      </c>
      <c r="S52" s="188">
        <f>IF(Q52="","",Q52*R52)</f>
        <v/>
      </c>
      <c r="T52" s="16">
        <f>IF(O52="","PENDING",IF(Q52&gt;0,"DEMURRAGE","ON-TIME"))</f>
        <v/>
      </c>
      <c r="U52" s="16">
        <f>IF(AND(E52&lt;&gt;"",M52&lt;&gt;"",M52&lt;E52),"⚠ Arr&lt;Loaded",IF(AND(M52&lt;&gt;"",N52&lt;&gt;"",N52&lt;M52),"⚠ Off&lt;Arr","OK"))</f>
        <v/>
      </c>
      <c r="V52" s="16">
        <f>IF(E52="","",TEXT(E52,"yyyy-mm"))</f>
        <v/>
      </c>
    </row>
    <row r="53">
      <c r="B53" s="16" t="n">
        <v>187296</v>
      </c>
      <c r="C53" s="16" t="inlineStr">
        <is>
          <t>187296-DEM</t>
        </is>
      </c>
      <c r="D53" s="20" t="inlineStr">
        <is>
          <t>Rubis Energy Zambia</t>
        </is>
      </c>
      <c r="E53" s="186" t="n">
        <v>46072</v>
      </c>
      <c r="F53" s="20" t="inlineStr">
        <is>
          <t>Beira</t>
        </is>
      </c>
      <c r="G53" s="20" t="inlineStr">
        <is>
          <t>Lusaka</t>
        </is>
      </c>
      <c r="H53" s="20" t="inlineStr">
        <is>
          <t>PMS</t>
        </is>
      </c>
      <c r="I53" s="20" t="inlineStr">
        <is>
          <t>ABC 288 SF</t>
        </is>
      </c>
      <c r="J53" s="20" t="inlineStr">
        <is>
          <t>AH 388 SF</t>
        </is>
      </c>
      <c r="K53" s="20" t="inlineStr">
        <is>
          <t>PETRODA</t>
        </is>
      </c>
      <c r="L53" s="20" t="inlineStr">
        <is>
          <t>ANTONIO  ZECA  NDATCHERENGA</t>
        </is>
      </c>
      <c r="M53" s="186" t="n">
        <v>46076</v>
      </c>
      <c r="N53" s="186" t="n">
        <v>46084</v>
      </c>
      <c r="O53" s="187">
        <f>IF(OR(M53="",N53=""),"",N53-M53)</f>
        <v/>
      </c>
      <c r="P53" s="187">
        <f>IFERROR(VLOOKUP(B53,Deals[#All],7,FALSE),DEF_LAYTIME)</f>
        <v/>
      </c>
      <c r="Q53" s="187">
        <f>IF(O53="","",MAX(0,O53-P53))</f>
        <v/>
      </c>
      <c r="R53" s="188">
        <f>IFERROR(VLOOKUP(B53,Deals[#All],8,FALSE),DEF_RATE)</f>
        <v/>
      </c>
      <c r="S53" s="188">
        <f>IF(Q53="","",Q53*R53)</f>
        <v/>
      </c>
      <c r="T53" s="16">
        <f>IF(O53="","PENDING",IF(Q53&gt;0,"DEMURRAGE","ON-TIME"))</f>
        <v/>
      </c>
      <c r="U53" s="16">
        <f>IF(AND(E53&lt;&gt;"",M53&lt;&gt;"",M53&lt;E53),"⚠ Arr&lt;Loaded",IF(AND(M53&lt;&gt;"",N53&lt;&gt;"",N53&lt;M53),"⚠ Off&lt;Arr","OK"))</f>
        <v/>
      </c>
      <c r="V53" s="16">
        <f>IF(E53="","",TEXT(E53,"yyyy-mm"))</f>
        <v/>
      </c>
    </row>
    <row r="54">
      <c r="B54" s="16" t="n">
        <v>187296</v>
      </c>
      <c r="C54" s="16" t="inlineStr">
        <is>
          <t>187296-DEM</t>
        </is>
      </c>
      <c r="D54" s="20" t="inlineStr">
        <is>
          <t>Rubis Energy Zambia</t>
        </is>
      </c>
      <c r="E54" s="186" t="n">
        <v>46072</v>
      </c>
      <c r="F54" s="20" t="inlineStr">
        <is>
          <t>Beira</t>
        </is>
      </c>
      <c r="G54" s="20" t="inlineStr">
        <is>
          <t>Lusaka</t>
        </is>
      </c>
      <c r="H54" s="20" t="inlineStr">
        <is>
          <t>PMS</t>
        </is>
      </c>
      <c r="I54" s="20" t="inlineStr">
        <is>
          <t>AKO 096 MC</t>
        </is>
      </c>
      <c r="J54" s="20" t="inlineStr">
        <is>
          <t>AH 452 MC</t>
        </is>
      </c>
      <c r="K54" s="20" t="inlineStr">
        <is>
          <t>PETRODA</t>
        </is>
      </c>
      <c r="L54" s="20" t="inlineStr">
        <is>
          <t>EMIDIO SEBASTIAO JOAO MUSSAFE</t>
        </is>
      </c>
      <c r="M54" s="186" t="n">
        <v>46076</v>
      </c>
      <c r="N54" s="186" t="n">
        <v>46087</v>
      </c>
      <c r="O54" s="187">
        <f>IF(OR(M54="",N54=""),"",N54-M54)</f>
        <v/>
      </c>
      <c r="P54" s="187">
        <f>IFERROR(VLOOKUP(B54,Deals[#All],7,FALSE),DEF_LAYTIME)</f>
        <v/>
      </c>
      <c r="Q54" s="187">
        <f>IF(O54="","",MAX(0,O54-P54))</f>
        <v/>
      </c>
      <c r="R54" s="188">
        <f>IFERROR(VLOOKUP(B54,Deals[#All],8,FALSE),DEF_RATE)</f>
        <v/>
      </c>
      <c r="S54" s="188">
        <f>IF(Q54="","",Q54*R54)</f>
        <v/>
      </c>
      <c r="T54" s="16">
        <f>IF(O54="","PENDING",IF(Q54&gt;0,"DEMURRAGE","ON-TIME"))</f>
        <v/>
      </c>
      <c r="U54" s="16">
        <f>IF(AND(E54&lt;&gt;"",M54&lt;&gt;"",M54&lt;E54),"⚠ Arr&lt;Loaded",IF(AND(M54&lt;&gt;"",N54&lt;&gt;"",N54&lt;M54),"⚠ Off&lt;Arr","OK"))</f>
        <v/>
      </c>
      <c r="V54" s="16">
        <f>IF(E54="","",TEXT(E54,"yyyy-mm"))</f>
        <v/>
      </c>
    </row>
    <row r="55">
      <c r="B55" s="16" t="n">
        <v>187296</v>
      </c>
      <c r="C55" s="16" t="inlineStr">
        <is>
          <t>187296-DEM</t>
        </is>
      </c>
      <c r="D55" s="20" t="inlineStr">
        <is>
          <t>Rubis Energy Zambia</t>
        </is>
      </c>
      <c r="E55" s="186" t="n">
        <v>46072</v>
      </c>
      <c r="F55" s="20" t="inlineStr">
        <is>
          <t>Beira</t>
        </is>
      </c>
      <c r="G55" s="20" t="inlineStr">
        <is>
          <t>Lusaka</t>
        </is>
      </c>
      <c r="H55" s="20" t="inlineStr">
        <is>
          <t>PMS</t>
        </is>
      </c>
      <c r="I55" s="20" t="inlineStr">
        <is>
          <t>AKN 003 MC</t>
        </is>
      </c>
      <c r="J55" s="20" t="inlineStr">
        <is>
          <t>AH426MC</t>
        </is>
      </c>
      <c r="K55" s="20" t="inlineStr">
        <is>
          <t>PETRODA</t>
        </is>
      </c>
      <c r="L55" s="20" t="inlineStr">
        <is>
          <t>PAULO INACIO</t>
        </is>
      </c>
      <c r="M55" s="186" t="n">
        <v>46077</v>
      </c>
      <c r="N55" s="186" t="n">
        <v>46087</v>
      </c>
      <c r="O55" s="187">
        <f>IF(OR(M55="",N55=""),"",N55-M55)</f>
        <v/>
      </c>
      <c r="P55" s="187">
        <f>IFERROR(VLOOKUP(B55,Deals[#All],7,FALSE),DEF_LAYTIME)</f>
        <v/>
      </c>
      <c r="Q55" s="187">
        <f>IF(O55="","",MAX(0,O55-P55))</f>
        <v/>
      </c>
      <c r="R55" s="188">
        <f>IFERROR(VLOOKUP(B55,Deals[#All],8,FALSE),DEF_RATE)</f>
        <v/>
      </c>
      <c r="S55" s="188">
        <f>IF(Q55="","",Q55*R55)</f>
        <v/>
      </c>
      <c r="T55" s="16">
        <f>IF(O55="","PENDING",IF(Q55&gt;0,"DEMURRAGE","ON-TIME"))</f>
        <v/>
      </c>
      <c r="U55" s="16">
        <f>IF(AND(E55&lt;&gt;"",M55&lt;&gt;"",M55&lt;E55),"⚠ Arr&lt;Loaded",IF(AND(M55&lt;&gt;"",N55&lt;&gt;"",N55&lt;M55),"⚠ Off&lt;Arr","OK"))</f>
        <v/>
      </c>
      <c r="V55" s="16">
        <f>IF(E55="","",TEXT(E55,"yyyy-mm"))</f>
        <v/>
      </c>
    </row>
    <row r="56">
      <c r="B56" s="16" t="n">
        <v>187296</v>
      </c>
      <c r="C56" s="16" t="inlineStr">
        <is>
          <t>187296-DEM</t>
        </is>
      </c>
      <c r="D56" s="20" t="inlineStr">
        <is>
          <t>Rubis Energy Zambia</t>
        </is>
      </c>
      <c r="E56" s="186" t="n">
        <v>46072</v>
      </c>
      <c r="F56" s="20" t="inlineStr">
        <is>
          <t>Beira</t>
        </is>
      </c>
      <c r="G56" s="20" t="inlineStr">
        <is>
          <t>Lusaka</t>
        </is>
      </c>
      <c r="H56" s="20" t="inlineStr">
        <is>
          <t>PMS</t>
        </is>
      </c>
      <c r="I56" s="20" t="inlineStr">
        <is>
          <t>AKN 017 MC</t>
        </is>
      </c>
      <c r="J56" s="20" t="inlineStr">
        <is>
          <t>AH 424 MC</t>
        </is>
      </c>
      <c r="K56" s="20" t="inlineStr">
        <is>
          <t>PETRODA</t>
        </is>
      </c>
      <c r="L56" s="20" t="inlineStr">
        <is>
          <t>RAUL UARROTA JORGE</t>
        </is>
      </c>
      <c r="M56" s="186" t="n">
        <v>46076</v>
      </c>
      <c r="N56" s="186" t="n">
        <v>46087</v>
      </c>
      <c r="O56" s="187">
        <f>IF(OR(M56="",N56=""),"",N56-M56)</f>
        <v/>
      </c>
      <c r="P56" s="187">
        <f>IFERROR(VLOOKUP(B56,Deals[#All],7,FALSE),DEF_LAYTIME)</f>
        <v/>
      </c>
      <c r="Q56" s="187">
        <f>IF(O56="","",MAX(0,O56-P56))</f>
        <v/>
      </c>
      <c r="R56" s="188">
        <f>IFERROR(VLOOKUP(B56,Deals[#All],8,FALSE),DEF_RATE)</f>
        <v/>
      </c>
      <c r="S56" s="188">
        <f>IF(Q56="","",Q56*R56)</f>
        <v/>
      </c>
      <c r="T56" s="16">
        <f>IF(O56="","PENDING",IF(Q56&gt;0,"DEMURRAGE","ON-TIME"))</f>
        <v/>
      </c>
      <c r="U56" s="16">
        <f>IF(AND(E56&lt;&gt;"",M56&lt;&gt;"",M56&lt;E56),"⚠ Arr&lt;Loaded",IF(AND(M56&lt;&gt;"",N56&lt;&gt;"",N56&lt;M56),"⚠ Off&lt;Arr","OK"))</f>
        <v/>
      </c>
      <c r="V56" s="16">
        <f>IF(E56="","",TEXT(E56,"yyyy-mm"))</f>
        <v/>
      </c>
    </row>
    <row r="57">
      <c r="B57" s="16" t="n">
        <v>187296</v>
      </c>
      <c r="C57" s="16" t="inlineStr">
        <is>
          <t>187296-DEM</t>
        </is>
      </c>
      <c r="D57" s="20" t="inlineStr">
        <is>
          <t>Rubis Energy Zambia</t>
        </is>
      </c>
      <c r="E57" s="186" t="n">
        <v>46072</v>
      </c>
      <c r="F57" s="20" t="inlineStr">
        <is>
          <t>Beira</t>
        </is>
      </c>
      <c r="G57" s="20" t="inlineStr">
        <is>
          <t>Lusaka</t>
        </is>
      </c>
      <c r="H57" s="20" t="inlineStr">
        <is>
          <t>PMS</t>
        </is>
      </c>
      <c r="I57" s="20" t="inlineStr">
        <is>
          <t>AKO 141 MC</t>
        </is>
      </c>
      <c r="J57" s="20" t="inlineStr">
        <is>
          <t>AH449MC</t>
        </is>
      </c>
      <c r="K57" s="20" t="inlineStr">
        <is>
          <t>PETRODA</t>
        </is>
      </c>
      <c r="L57" s="20" t="inlineStr">
        <is>
          <t>SILVIO MARIANO</t>
        </is>
      </c>
      <c r="M57" s="186" t="n">
        <v>46076</v>
      </c>
      <c r="N57" s="186" t="n">
        <v>46086</v>
      </c>
      <c r="O57" s="187">
        <f>IF(OR(M57="",N57=""),"",N57-M57)</f>
        <v/>
      </c>
      <c r="P57" s="187">
        <f>IFERROR(VLOOKUP(B57,Deals[#All],7,FALSE),DEF_LAYTIME)</f>
        <v/>
      </c>
      <c r="Q57" s="187">
        <f>IF(O57="","",MAX(0,O57-P57))</f>
        <v/>
      </c>
      <c r="R57" s="188">
        <f>IFERROR(VLOOKUP(B57,Deals[#All],8,FALSE),DEF_RATE)</f>
        <v/>
      </c>
      <c r="S57" s="188">
        <f>IF(Q57="","",Q57*R57)</f>
        <v/>
      </c>
      <c r="T57" s="16">
        <f>IF(O57="","PENDING",IF(Q57&gt;0,"DEMURRAGE","ON-TIME"))</f>
        <v/>
      </c>
      <c r="U57" s="16">
        <f>IF(AND(E57&lt;&gt;"",M57&lt;&gt;"",M57&lt;E57),"⚠ Arr&lt;Loaded",IF(AND(M57&lt;&gt;"",N57&lt;&gt;"",N57&lt;M57),"⚠ Off&lt;Arr","OK"))</f>
        <v/>
      </c>
      <c r="V57" s="16">
        <f>IF(E57="","",TEXT(E57,"yyyy-mm"))</f>
        <v/>
      </c>
    </row>
    <row r="58">
      <c r="B58" s="16" t="n">
        <v>187296</v>
      </c>
      <c r="C58" s="16" t="inlineStr">
        <is>
          <t>187296-DEM</t>
        </is>
      </c>
      <c r="D58" s="20" t="inlineStr">
        <is>
          <t>Rubis Energy Zambia</t>
        </is>
      </c>
      <c r="E58" s="186" t="n">
        <v>46072</v>
      </c>
      <c r="F58" s="20" t="inlineStr">
        <is>
          <t>Beira</t>
        </is>
      </c>
      <c r="G58" s="20" t="inlineStr">
        <is>
          <t>Lusaka</t>
        </is>
      </c>
      <c r="H58" s="20" t="inlineStr">
        <is>
          <t>PMS</t>
        </is>
      </c>
      <c r="I58" s="20" t="inlineStr">
        <is>
          <t>ABC 257 SF</t>
        </is>
      </c>
      <c r="J58" s="20" t="inlineStr">
        <is>
          <t>AH 420 SF</t>
        </is>
      </c>
      <c r="K58" s="20" t="inlineStr">
        <is>
          <t>PETRODA</t>
        </is>
      </c>
      <c r="L58" s="20" t="inlineStr">
        <is>
          <t>INACIO NUNES LANGA</t>
        </is>
      </c>
      <c r="M58" s="186" t="n">
        <v>46076</v>
      </c>
      <c r="N58" s="186" t="n">
        <v>46087</v>
      </c>
      <c r="O58" s="187">
        <f>IF(OR(M58="",N58=""),"",N58-M58)</f>
        <v/>
      </c>
      <c r="P58" s="187">
        <f>IFERROR(VLOOKUP(B58,Deals[#All],7,FALSE),DEF_LAYTIME)</f>
        <v/>
      </c>
      <c r="Q58" s="187">
        <f>IF(O58="","",MAX(0,O58-P58))</f>
        <v/>
      </c>
      <c r="R58" s="188">
        <f>IFERROR(VLOOKUP(B58,Deals[#All],8,FALSE),DEF_RATE)</f>
        <v/>
      </c>
      <c r="S58" s="188">
        <f>IF(Q58="","",Q58*R58)</f>
        <v/>
      </c>
      <c r="T58" s="16">
        <f>IF(O58="","PENDING",IF(Q58&gt;0,"DEMURRAGE","ON-TIME"))</f>
        <v/>
      </c>
      <c r="U58" s="16">
        <f>IF(AND(E58&lt;&gt;"",M58&lt;&gt;"",M58&lt;E58),"⚠ Arr&lt;Loaded",IF(AND(M58&lt;&gt;"",N58&lt;&gt;"",N58&lt;M58),"⚠ Off&lt;Arr","OK"))</f>
        <v/>
      </c>
      <c r="V58" s="16">
        <f>IF(E58="","",TEXT(E58,"yyyy-mm"))</f>
        <v/>
      </c>
    </row>
    <row r="59">
      <c r="B59" s="16" t="n">
        <v>187296</v>
      </c>
      <c r="C59" s="16" t="inlineStr">
        <is>
          <t>187296-DEM</t>
        </is>
      </c>
      <c r="D59" s="20" t="inlineStr">
        <is>
          <t>Rubis Energy Zambia</t>
        </is>
      </c>
      <c r="E59" s="186" t="n">
        <v>46073</v>
      </c>
      <c r="F59" s="20" t="inlineStr">
        <is>
          <t>Beira</t>
        </is>
      </c>
      <c r="G59" s="20" t="inlineStr">
        <is>
          <t>Lusaka</t>
        </is>
      </c>
      <c r="H59" s="20" t="inlineStr">
        <is>
          <t>PMS</t>
        </is>
      </c>
      <c r="I59" s="20" t="inlineStr">
        <is>
          <t>AKN 777 MC</t>
        </is>
      </c>
      <c r="J59" s="20" t="inlineStr">
        <is>
          <t>AH415MC</t>
        </is>
      </c>
      <c r="K59" s="20" t="inlineStr">
        <is>
          <t>PETRODA</t>
        </is>
      </c>
      <c r="L59" s="20" t="inlineStr">
        <is>
          <t>PAULINO CHICO GUILHERME</t>
        </is>
      </c>
      <c r="M59" s="186" t="n">
        <v>46077</v>
      </c>
      <c r="N59" s="186" t="n">
        <v>46087</v>
      </c>
      <c r="O59" s="187">
        <f>IF(OR(M59="",N59=""),"",N59-M59)</f>
        <v/>
      </c>
      <c r="P59" s="187">
        <f>IFERROR(VLOOKUP(B59,Deals[#All],7,FALSE),DEF_LAYTIME)</f>
        <v/>
      </c>
      <c r="Q59" s="187">
        <f>IF(O59="","",MAX(0,O59-P59))</f>
        <v/>
      </c>
      <c r="R59" s="188">
        <f>IFERROR(VLOOKUP(B59,Deals[#All],8,FALSE),DEF_RATE)</f>
        <v/>
      </c>
      <c r="S59" s="188">
        <f>IF(Q59="","",Q59*R59)</f>
        <v/>
      </c>
      <c r="T59" s="16">
        <f>IF(O59="","PENDING",IF(Q59&gt;0,"DEMURRAGE","ON-TIME"))</f>
        <v/>
      </c>
      <c r="U59" s="16">
        <f>IF(AND(E59&lt;&gt;"",M59&lt;&gt;"",M59&lt;E59),"⚠ Arr&lt;Loaded",IF(AND(M59&lt;&gt;"",N59&lt;&gt;"",N59&lt;M59),"⚠ Off&lt;Arr","OK"))</f>
        <v/>
      </c>
      <c r="V59" s="16">
        <f>IF(E59="","",TEXT(E59,"yyyy-mm"))</f>
        <v/>
      </c>
    </row>
    <row r="60">
      <c r="B60" s="16" t="n">
        <v>187296</v>
      </c>
      <c r="C60" s="16" t="inlineStr">
        <is>
          <t>187296-DEM</t>
        </is>
      </c>
      <c r="D60" s="20" t="inlineStr">
        <is>
          <t>Rubis Energy Zambia</t>
        </is>
      </c>
      <c r="E60" s="186" t="n">
        <v>46073</v>
      </c>
      <c r="F60" s="20" t="inlineStr">
        <is>
          <t>Beira</t>
        </is>
      </c>
      <c r="G60" s="20" t="inlineStr">
        <is>
          <t>Lusaka</t>
        </is>
      </c>
      <c r="H60" s="20" t="inlineStr">
        <is>
          <t>PMS</t>
        </is>
      </c>
      <c r="I60" s="20" t="inlineStr">
        <is>
          <t>ABC 241 SF</t>
        </is>
      </c>
      <c r="J60" s="20" t="inlineStr">
        <is>
          <t>AH 421 SF</t>
        </is>
      </c>
      <c r="K60" s="20" t="inlineStr">
        <is>
          <t>PETRODA</t>
        </is>
      </c>
      <c r="L60" s="20" t="inlineStr">
        <is>
          <t>FELIX VIEGAS</t>
        </is>
      </c>
      <c r="M60" s="186" t="n">
        <v>46077</v>
      </c>
      <c r="N60" s="186" t="n">
        <v>46090</v>
      </c>
      <c r="O60" s="187">
        <f>IF(OR(M60="",N60=""),"",N60-M60)</f>
        <v/>
      </c>
      <c r="P60" s="187">
        <f>IFERROR(VLOOKUP(B60,Deals[#All],7,FALSE),DEF_LAYTIME)</f>
        <v/>
      </c>
      <c r="Q60" s="187">
        <f>IF(O60="","",MAX(0,O60-P60))</f>
        <v/>
      </c>
      <c r="R60" s="188">
        <f>IFERROR(VLOOKUP(B60,Deals[#All],8,FALSE),DEF_RATE)</f>
        <v/>
      </c>
      <c r="S60" s="188">
        <f>IF(Q60="","",Q60*R60)</f>
        <v/>
      </c>
      <c r="T60" s="16">
        <f>IF(O60="","PENDING",IF(Q60&gt;0,"DEMURRAGE","ON-TIME"))</f>
        <v/>
      </c>
      <c r="U60" s="16">
        <f>IF(AND(E60&lt;&gt;"",M60&lt;&gt;"",M60&lt;E60),"⚠ Arr&lt;Loaded",IF(AND(M60&lt;&gt;"",N60&lt;&gt;"",N60&lt;M60),"⚠ Off&lt;Arr","OK"))</f>
        <v/>
      </c>
      <c r="V60" s="16">
        <f>IF(E60="","",TEXT(E60,"yyyy-mm"))</f>
        <v/>
      </c>
    </row>
    <row r="61">
      <c r="B61" s="16" t="n">
        <v>187296</v>
      </c>
      <c r="C61" s="16" t="inlineStr">
        <is>
          <t>187296-DEM</t>
        </is>
      </c>
      <c r="D61" s="20" t="inlineStr">
        <is>
          <t>Rubis Energy Zambia</t>
        </is>
      </c>
      <c r="E61" s="186" t="n">
        <v>46073</v>
      </c>
      <c r="F61" s="20" t="inlineStr">
        <is>
          <t>Beira</t>
        </is>
      </c>
      <c r="G61" s="20" t="inlineStr">
        <is>
          <t>Lusaka</t>
        </is>
      </c>
      <c r="H61" s="20" t="inlineStr">
        <is>
          <t>PMS</t>
        </is>
      </c>
      <c r="I61" s="20" t="inlineStr">
        <is>
          <t>ABC 248 SF</t>
        </is>
      </c>
      <c r="J61" s="20" t="inlineStr">
        <is>
          <t>AH 418 SF</t>
        </is>
      </c>
      <c r="K61" s="20" t="inlineStr">
        <is>
          <t>PETRODA</t>
        </is>
      </c>
      <c r="L61" s="20" t="inlineStr">
        <is>
          <t>ARAUJO MARCELINO RAFAEL NOTICE</t>
        </is>
      </c>
      <c r="M61" s="186" t="n">
        <v>46077</v>
      </c>
      <c r="N61" s="186" t="n">
        <v>46087</v>
      </c>
      <c r="O61" s="187">
        <f>IF(OR(M61="",N61=""),"",N61-M61)</f>
        <v/>
      </c>
      <c r="P61" s="187">
        <f>IFERROR(VLOOKUP(B61,Deals[#All],7,FALSE),DEF_LAYTIME)</f>
        <v/>
      </c>
      <c r="Q61" s="187">
        <f>IF(O61="","",MAX(0,O61-P61))</f>
        <v/>
      </c>
      <c r="R61" s="188">
        <f>IFERROR(VLOOKUP(B61,Deals[#All],8,FALSE),DEF_RATE)</f>
        <v/>
      </c>
      <c r="S61" s="188">
        <f>IF(Q61="","",Q61*R61)</f>
        <v/>
      </c>
      <c r="T61" s="16">
        <f>IF(O61="","PENDING",IF(Q61&gt;0,"DEMURRAGE","ON-TIME"))</f>
        <v/>
      </c>
      <c r="U61" s="16">
        <f>IF(AND(E61&lt;&gt;"",M61&lt;&gt;"",M61&lt;E61),"⚠ Arr&lt;Loaded",IF(AND(M61&lt;&gt;"",N61&lt;&gt;"",N61&lt;M61),"⚠ Off&lt;Arr","OK"))</f>
        <v/>
      </c>
      <c r="V61" s="16">
        <f>IF(E61="","",TEXT(E61,"yyyy-mm"))</f>
        <v/>
      </c>
    </row>
    <row r="62">
      <c r="B62" s="16" t="n">
        <v>189084</v>
      </c>
      <c r="C62" s="16" t="inlineStr">
        <is>
          <t>189084-DEM</t>
        </is>
      </c>
      <c r="D62" s="20" t="inlineStr">
        <is>
          <t>Rubis Energy Zambia</t>
        </is>
      </c>
      <c r="E62" s="186" t="n">
        <v>46105</v>
      </c>
      <c r="F62" s="20" t="inlineStr">
        <is>
          <t>Beira</t>
        </is>
      </c>
      <c r="G62" s="20" t="inlineStr">
        <is>
          <t>Lusaka</t>
        </is>
      </c>
      <c r="H62" s="20" t="inlineStr">
        <is>
          <t>PMS</t>
        </is>
      </c>
      <c r="I62" s="20" t="inlineStr">
        <is>
          <t>ABC 251 SF</t>
        </is>
      </c>
      <c r="J62" s="20" t="inlineStr">
        <is>
          <t>AH 395 SF</t>
        </is>
      </c>
      <c r="K62" s="20" t="inlineStr">
        <is>
          <t>PETRODA</t>
        </is>
      </c>
      <c r="L62" s="20" t="inlineStr">
        <is>
          <t>GERITO AVELINO JOAQUIM</t>
        </is>
      </c>
      <c r="M62" s="186" t="n">
        <v>46110</v>
      </c>
      <c r="N62" s="186" t="n">
        <v>46112</v>
      </c>
      <c r="O62" s="187">
        <f>IF(OR(M62="",N62=""),"",N62-M62)</f>
        <v/>
      </c>
      <c r="P62" s="187">
        <f>IFERROR(VLOOKUP(B62,Deals[#All],7,FALSE),DEF_LAYTIME)</f>
        <v/>
      </c>
      <c r="Q62" s="187">
        <f>IF(O62="","",MAX(0,O62-P62))</f>
        <v/>
      </c>
      <c r="R62" s="188">
        <f>IFERROR(VLOOKUP(B62,Deals[#All],8,FALSE),DEF_RATE)</f>
        <v/>
      </c>
      <c r="S62" s="188">
        <f>IF(Q62="","",Q62*R62)</f>
        <v/>
      </c>
      <c r="T62" s="16">
        <f>IF(O62="","PENDING",IF(Q62&gt;0,"DEMURRAGE","ON-TIME"))</f>
        <v/>
      </c>
      <c r="U62" s="16">
        <f>IF(AND(E62&lt;&gt;"",M62&lt;&gt;"",M62&lt;E62),"⚠ Arr&lt;Loaded",IF(AND(M62&lt;&gt;"",N62&lt;&gt;"",N62&lt;M62),"⚠ Off&lt;Arr","OK"))</f>
        <v/>
      </c>
      <c r="V62" s="16">
        <f>IF(E62="","",TEXT(E62,"yyyy-mm"))</f>
        <v/>
      </c>
    </row>
    <row r="63">
      <c r="B63" s="16" t="n">
        <v>189084</v>
      </c>
      <c r="C63" s="16" t="inlineStr">
        <is>
          <t>189084-DEM</t>
        </is>
      </c>
      <c r="D63" s="20" t="inlineStr">
        <is>
          <t>Rubis Energy Zambia</t>
        </is>
      </c>
      <c r="E63" s="186" t="n">
        <v>46105</v>
      </c>
      <c r="F63" s="20" t="inlineStr">
        <is>
          <t>Beira</t>
        </is>
      </c>
      <c r="G63" s="20" t="inlineStr">
        <is>
          <t>Lusaka</t>
        </is>
      </c>
      <c r="H63" s="20" t="inlineStr">
        <is>
          <t>PMS</t>
        </is>
      </c>
      <c r="I63" s="20" t="inlineStr">
        <is>
          <t>ABC 255 SF</t>
        </is>
      </c>
      <c r="J63" s="20" t="inlineStr">
        <is>
          <t>AH 397 SF</t>
        </is>
      </c>
      <c r="K63" s="20" t="inlineStr">
        <is>
          <t>PETRODA</t>
        </is>
      </c>
      <c r="L63" s="20" t="inlineStr">
        <is>
          <t>EDIMO M.S AINOSSE BOBO</t>
        </is>
      </c>
      <c r="M63" s="186" t="n">
        <v>46110</v>
      </c>
      <c r="N63" s="186" t="n">
        <v>46113</v>
      </c>
      <c r="O63" s="187">
        <f>IF(OR(M63="",N63=""),"",N63-M63)</f>
        <v/>
      </c>
      <c r="P63" s="187">
        <f>IFERROR(VLOOKUP(B63,Deals[#All],7,FALSE),DEF_LAYTIME)</f>
        <v/>
      </c>
      <c r="Q63" s="187">
        <f>IF(O63="","",MAX(0,O63-P63))</f>
        <v/>
      </c>
      <c r="R63" s="188">
        <f>IFERROR(VLOOKUP(B63,Deals[#All],8,FALSE),DEF_RATE)</f>
        <v/>
      </c>
      <c r="S63" s="188">
        <f>IF(Q63="","",Q63*R63)</f>
        <v/>
      </c>
      <c r="T63" s="16">
        <f>IF(O63="","PENDING",IF(Q63&gt;0,"DEMURRAGE","ON-TIME"))</f>
        <v/>
      </c>
      <c r="U63" s="16">
        <f>IF(AND(E63&lt;&gt;"",M63&lt;&gt;"",M63&lt;E63),"⚠ Arr&lt;Loaded",IF(AND(M63&lt;&gt;"",N63&lt;&gt;"",N63&lt;M63),"⚠ Off&lt;Arr","OK"))</f>
        <v/>
      </c>
      <c r="V63" s="16">
        <f>IF(E63="","",TEXT(E63,"yyyy-mm"))</f>
        <v/>
      </c>
    </row>
    <row r="64">
      <c r="B64" s="16" t="n">
        <v>189084</v>
      </c>
      <c r="C64" s="16" t="inlineStr">
        <is>
          <t>189084-DEM</t>
        </is>
      </c>
      <c r="D64" s="20" t="inlineStr">
        <is>
          <t>Rubis Energy Zambia</t>
        </is>
      </c>
      <c r="E64" s="186" t="n">
        <v>46105</v>
      </c>
      <c r="F64" s="20" t="inlineStr">
        <is>
          <t>Beira</t>
        </is>
      </c>
      <c r="G64" s="20" t="inlineStr">
        <is>
          <t>Lusaka</t>
        </is>
      </c>
      <c r="H64" s="20" t="inlineStr">
        <is>
          <t>PMS</t>
        </is>
      </c>
      <c r="I64" s="20" t="inlineStr">
        <is>
          <t>ABC 282 SF</t>
        </is>
      </c>
      <c r="J64" s="20" t="inlineStr">
        <is>
          <t>AH 382 SF</t>
        </is>
      </c>
      <c r="K64" s="20" t="inlineStr">
        <is>
          <t>PETRODA</t>
        </is>
      </c>
      <c r="L64" s="20" t="inlineStr">
        <is>
          <t>BAPTISTA SAENE RUPIA</t>
        </is>
      </c>
      <c r="M64" s="186" t="n">
        <v>46110</v>
      </c>
      <c r="N64" s="186" t="n">
        <v>46113</v>
      </c>
      <c r="O64" s="187">
        <f>IF(OR(M64="",N64=""),"",N64-M64)</f>
        <v/>
      </c>
      <c r="P64" s="187">
        <f>IFERROR(VLOOKUP(B64,Deals[#All],7,FALSE),DEF_LAYTIME)</f>
        <v/>
      </c>
      <c r="Q64" s="187">
        <f>IF(O64="","",MAX(0,O64-P64))</f>
        <v/>
      </c>
      <c r="R64" s="188">
        <f>IFERROR(VLOOKUP(B64,Deals[#All],8,FALSE),DEF_RATE)</f>
        <v/>
      </c>
      <c r="S64" s="188">
        <f>IF(Q64="","",Q64*R64)</f>
        <v/>
      </c>
      <c r="T64" s="16">
        <f>IF(O64="","PENDING",IF(Q64&gt;0,"DEMURRAGE","ON-TIME"))</f>
        <v/>
      </c>
      <c r="U64" s="16">
        <f>IF(AND(E64&lt;&gt;"",M64&lt;&gt;"",M64&lt;E64),"⚠ Arr&lt;Loaded",IF(AND(M64&lt;&gt;"",N64&lt;&gt;"",N64&lt;M64),"⚠ Off&lt;Arr","OK"))</f>
        <v/>
      </c>
      <c r="V64" s="16">
        <f>IF(E64="","",TEXT(E64,"yyyy-mm"))</f>
        <v/>
      </c>
    </row>
    <row r="65">
      <c r="B65" s="16" t="n">
        <v>189084</v>
      </c>
      <c r="C65" s="16" t="inlineStr">
        <is>
          <t>189084-DEM</t>
        </is>
      </c>
      <c r="D65" s="20" t="inlineStr">
        <is>
          <t>Rubis Energy Zambia</t>
        </is>
      </c>
      <c r="E65" s="186" t="n">
        <v>46105</v>
      </c>
      <c r="F65" s="20" t="inlineStr">
        <is>
          <t>Beira</t>
        </is>
      </c>
      <c r="G65" s="20" t="inlineStr">
        <is>
          <t>Lusaka</t>
        </is>
      </c>
      <c r="H65" s="20" t="inlineStr">
        <is>
          <t>PMS</t>
        </is>
      </c>
      <c r="I65" s="20" t="inlineStr">
        <is>
          <t>ABC 276 SF</t>
        </is>
      </c>
      <c r="J65" s="20" t="inlineStr">
        <is>
          <t>AH 416 SF</t>
        </is>
      </c>
      <c r="K65" s="20" t="inlineStr">
        <is>
          <t>PETRODA</t>
        </is>
      </c>
      <c r="L65" s="20" t="inlineStr">
        <is>
          <t>ISSUFO ASSANE AMADE</t>
        </is>
      </c>
      <c r="M65" s="186" t="n">
        <v>46111</v>
      </c>
      <c r="N65" s="186" t="n">
        <v>46112</v>
      </c>
      <c r="O65" s="187">
        <f>IF(OR(M65="",N65=""),"",N65-M65)</f>
        <v/>
      </c>
      <c r="P65" s="187">
        <f>IFERROR(VLOOKUP(B65,Deals[#All],7,FALSE),DEF_LAYTIME)</f>
        <v/>
      </c>
      <c r="Q65" s="187">
        <f>IF(O65="","",MAX(0,O65-P65))</f>
        <v/>
      </c>
      <c r="R65" s="188">
        <f>IFERROR(VLOOKUP(B65,Deals[#All],8,FALSE),DEF_RATE)</f>
        <v/>
      </c>
      <c r="S65" s="188">
        <f>IF(Q65="","",Q65*R65)</f>
        <v/>
      </c>
      <c r="T65" s="16">
        <f>IF(O65="","PENDING",IF(Q65&gt;0,"DEMURRAGE","ON-TIME"))</f>
        <v/>
      </c>
      <c r="U65" s="16">
        <f>IF(AND(E65&lt;&gt;"",M65&lt;&gt;"",M65&lt;E65),"⚠ Arr&lt;Loaded",IF(AND(M65&lt;&gt;"",N65&lt;&gt;"",N65&lt;M65),"⚠ Off&lt;Arr","OK"))</f>
        <v/>
      </c>
      <c r="V65" s="16">
        <f>IF(E65="","",TEXT(E65,"yyyy-mm"))</f>
        <v/>
      </c>
    </row>
    <row r="66">
      <c r="B66" s="16" t="n">
        <v>189084</v>
      </c>
      <c r="C66" s="16" t="inlineStr">
        <is>
          <t>189084-DEM</t>
        </is>
      </c>
      <c r="D66" s="20" t="inlineStr">
        <is>
          <t>Rubis Energy Zambia</t>
        </is>
      </c>
      <c r="E66" s="186" t="n">
        <v>46107</v>
      </c>
      <c r="F66" s="20" t="inlineStr">
        <is>
          <t>Beira</t>
        </is>
      </c>
      <c r="G66" s="20" t="inlineStr">
        <is>
          <t>Lusaka</t>
        </is>
      </c>
      <c r="H66" s="20" t="inlineStr">
        <is>
          <t>PMS</t>
        </is>
      </c>
      <c r="I66" s="20" t="inlineStr">
        <is>
          <t>ABC 285 SF</t>
        </is>
      </c>
      <c r="J66" s="20" t="inlineStr">
        <is>
          <t>AH 461 MC</t>
        </is>
      </c>
      <c r="K66" s="20" t="inlineStr">
        <is>
          <t>PETRODA</t>
        </is>
      </c>
      <c r="L66" s="20" t="inlineStr">
        <is>
          <t>XADREQUE JORGE MAIBEQUE</t>
        </is>
      </c>
      <c r="M66" s="186" t="n">
        <v>46111</v>
      </c>
      <c r="N66" s="186" t="n">
        <v>46113</v>
      </c>
      <c r="O66" s="187">
        <f>IF(OR(M66="",N66=""),"",N66-M66)</f>
        <v/>
      </c>
      <c r="P66" s="187">
        <f>IFERROR(VLOOKUP(B66,Deals[#All],7,FALSE),DEF_LAYTIME)</f>
        <v/>
      </c>
      <c r="Q66" s="187">
        <f>IF(O66="","",MAX(0,O66-P66))</f>
        <v/>
      </c>
      <c r="R66" s="188">
        <f>IFERROR(VLOOKUP(B66,Deals[#All],8,FALSE),DEF_RATE)</f>
        <v/>
      </c>
      <c r="S66" s="188">
        <f>IF(Q66="","",Q66*R66)</f>
        <v/>
      </c>
      <c r="T66" s="16">
        <f>IF(O66="","PENDING",IF(Q66&gt;0,"DEMURRAGE","ON-TIME"))</f>
        <v/>
      </c>
      <c r="U66" s="16">
        <f>IF(AND(E66&lt;&gt;"",M66&lt;&gt;"",M66&lt;E66),"⚠ Arr&lt;Loaded",IF(AND(M66&lt;&gt;"",N66&lt;&gt;"",N66&lt;M66),"⚠ Off&lt;Arr","OK"))</f>
        <v/>
      </c>
      <c r="V66" s="16">
        <f>IF(E66="","",TEXT(E66,"yyyy-mm"))</f>
        <v/>
      </c>
    </row>
    <row r="67">
      <c r="B67" s="16" t="n">
        <v>189084</v>
      </c>
      <c r="C67" s="16" t="inlineStr">
        <is>
          <t>189084-DEM</t>
        </is>
      </c>
      <c r="D67" s="20" t="inlineStr">
        <is>
          <t>Rubis Energy Zambia</t>
        </is>
      </c>
      <c r="E67" s="186" t="n">
        <v>46106</v>
      </c>
      <c r="F67" s="20" t="inlineStr">
        <is>
          <t>Beira</t>
        </is>
      </c>
      <c r="G67" s="20" t="inlineStr">
        <is>
          <t>Lusaka</t>
        </is>
      </c>
      <c r="H67" s="20" t="inlineStr">
        <is>
          <t>PMS</t>
        </is>
      </c>
      <c r="I67" s="20" t="inlineStr">
        <is>
          <t>ABC 286 SF</t>
        </is>
      </c>
      <c r="J67" s="20" t="inlineStr">
        <is>
          <t>AH 406 SF</t>
        </is>
      </c>
      <c r="K67" s="20" t="inlineStr">
        <is>
          <t>PETRODA</t>
        </is>
      </c>
      <c r="L67" s="20" t="inlineStr">
        <is>
          <t>FERRAO AGOSTINHO SALICUCHEPA</t>
        </is>
      </c>
      <c r="M67" s="186" t="n">
        <v>46112</v>
      </c>
      <c r="N67" s="186" t="n">
        <v>46113</v>
      </c>
      <c r="O67" s="187">
        <f>IF(OR(M67="",N67=""),"",N67-M67)</f>
        <v/>
      </c>
      <c r="P67" s="187">
        <f>IFERROR(VLOOKUP(B67,Deals[#All],7,FALSE),DEF_LAYTIME)</f>
        <v/>
      </c>
      <c r="Q67" s="187">
        <f>IF(O67="","",MAX(0,O67-P67))</f>
        <v/>
      </c>
      <c r="R67" s="188">
        <f>IFERROR(VLOOKUP(B67,Deals[#All],8,FALSE),DEF_RATE)</f>
        <v/>
      </c>
      <c r="S67" s="188">
        <f>IF(Q67="","",Q67*R67)</f>
        <v/>
      </c>
      <c r="T67" s="16">
        <f>IF(O67="","PENDING",IF(Q67&gt;0,"DEMURRAGE","ON-TIME"))</f>
        <v/>
      </c>
      <c r="U67" s="16">
        <f>IF(AND(E67&lt;&gt;"",M67&lt;&gt;"",M67&lt;E67),"⚠ Arr&lt;Loaded",IF(AND(M67&lt;&gt;"",N67&lt;&gt;"",N67&lt;M67),"⚠ Off&lt;Arr","OK"))</f>
        <v/>
      </c>
      <c r="V67" s="16">
        <f>IF(E67="","",TEXT(E67,"yyyy-mm"))</f>
        <v/>
      </c>
    </row>
    <row r="68">
      <c r="B68" s="16" t="n">
        <v>189084</v>
      </c>
      <c r="C68" s="16" t="inlineStr">
        <is>
          <t>189084-DEM</t>
        </is>
      </c>
      <c r="D68" s="20" t="inlineStr">
        <is>
          <t>Rubis Energy Zambia</t>
        </is>
      </c>
      <c r="E68" s="186" t="n">
        <v>46108</v>
      </c>
      <c r="F68" s="20" t="inlineStr">
        <is>
          <t>Beira</t>
        </is>
      </c>
      <c r="G68" s="20" t="inlineStr">
        <is>
          <t>Lusaka</t>
        </is>
      </c>
      <c r="H68" s="20" t="inlineStr">
        <is>
          <t>PMS</t>
        </is>
      </c>
      <c r="I68" s="20" t="inlineStr">
        <is>
          <t>ABC 237 SF</t>
        </is>
      </c>
      <c r="J68" s="20" t="inlineStr">
        <is>
          <t>AH 393 SF</t>
        </is>
      </c>
      <c r="K68" s="20" t="inlineStr">
        <is>
          <t>PETRODA</t>
        </is>
      </c>
      <c r="L68" s="20" t="inlineStr">
        <is>
          <t>Issufo Paulino</t>
        </is>
      </c>
      <c r="M68" s="186" t="n">
        <v>46114</v>
      </c>
      <c r="N68" s="186" t="n">
        <v>46114</v>
      </c>
      <c r="O68" s="187">
        <f>IF(OR(M68="",N68=""),"",N68-M68)</f>
        <v/>
      </c>
      <c r="P68" s="187">
        <f>IFERROR(VLOOKUP(B68,Deals[#All],7,FALSE),DEF_LAYTIME)</f>
        <v/>
      </c>
      <c r="Q68" s="187">
        <f>IF(O68="","",MAX(0,O68-P68))</f>
        <v/>
      </c>
      <c r="R68" s="188">
        <f>IFERROR(VLOOKUP(B68,Deals[#All],8,FALSE),DEF_RATE)</f>
        <v/>
      </c>
      <c r="S68" s="188">
        <f>IF(Q68="","",Q68*R68)</f>
        <v/>
      </c>
      <c r="T68" s="16">
        <f>IF(O68="","PENDING",IF(Q68&gt;0,"DEMURRAGE","ON-TIME"))</f>
        <v/>
      </c>
      <c r="U68" s="16">
        <f>IF(AND(E68&lt;&gt;"",M68&lt;&gt;"",M68&lt;E68),"⚠ Arr&lt;Loaded",IF(AND(M68&lt;&gt;"",N68&lt;&gt;"",N68&lt;M68),"⚠ Off&lt;Arr","OK"))</f>
        <v/>
      </c>
      <c r="V68" s="16">
        <f>IF(E68="","",TEXT(E68,"yyyy-mm"))</f>
        <v/>
      </c>
    </row>
    <row r="69">
      <c r="B69" s="16" t="n">
        <v>189084</v>
      </c>
      <c r="C69" s="16" t="inlineStr">
        <is>
          <t>189084-DEM</t>
        </is>
      </c>
      <c r="D69" s="20" t="inlineStr">
        <is>
          <t>Rubis Energy Zambia</t>
        </is>
      </c>
      <c r="E69" s="186" t="n">
        <v>46109</v>
      </c>
      <c r="F69" s="20" t="inlineStr">
        <is>
          <t>Beira</t>
        </is>
      </c>
      <c r="G69" s="20" t="inlineStr">
        <is>
          <t>Lusaka</t>
        </is>
      </c>
      <c r="H69" s="20" t="inlineStr">
        <is>
          <t>PMS</t>
        </is>
      </c>
      <c r="I69" s="20" t="inlineStr">
        <is>
          <t>AKN 811 MC</t>
        </is>
      </c>
      <c r="J69" s="20" t="inlineStr">
        <is>
          <t>AH 419 MC</t>
        </is>
      </c>
      <c r="K69" s="20" t="inlineStr">
        <is>
          <t>PETRODA</t>
        </is>
      </c>
      <c r="L69" s="20" t="inlineStr">
        <is>
          <t>SAMUEL LOTI MATABWA</t>
        </is>
      </c>
      <c r="M69" s="186" t="n">
        <v>46114</v>
      </c>
      <c r="N69" s="186" t="n">
        <v>46114</v>
      </c>
      <c r="O69" s="187">
        <f>IF(OR(M69="",N69=""),"",N69-M69)</f>
        <v/>
      </c>
      <c r="P69" s="187">
        <f>IFERROR(VLOOKUP(B69,Deals[#All],7,FALSE),DEF_LAYTIME)</f>
        <v/>
      </c>
      <c r="Q69" s="187">
        <f>IF(O69="","",MAX(0,O69-P69))</f>
        <v/>
      </c>
      <c r="R69" s="188">
        <f>IFERROR(VLOOKUP(B69,Deals[#All],8,FALSE),DEF_RATE)</f>
        <v/>
      </c>
      <c r="S69" s="188">
        <f>IF(Q69="","",Q69*R69)</f>
        <v/>
      </c>
      <c r="T69" s="16">
        <f>IF(O69="","PENDING",IF(Q69&gt;0,"DEMURRAGE","ON-TIME"))</f>
        <v/>
      </c>
      <c r="U69" s="16">
        <f>IF(AND(E69&lt;&gt;"",M69&lt;&gt;"",M69&lt;E69),"⚠ Arr&lt;Loaded",IF(AND(M69&lt;&gt;"",N69&lt;&gt;"",N69&lt;M69),"⚠ Off&lt;Arr","OK"))</f>
        <v/>
      </c>
      <c r="V69" s="16">
        <f>IF(E69="","",TEXT(E69,"yyyy-mm"))</f>
        <v/>
      </c>
    </row>
    <row r="70">
      <c r="B70" s="16" t="n">
        <v>189084</v>
      </c>
      <c r="C70" s="16" t="inlineStr">
        <is>
          <t>189084-DEM</t>
        </is>
      </c>
      <c r="D70" s="20" t="inlineStr">
        <is>
          <t>Rubis Energy Zambia</t>
        </is>
      </c>
      <c r="E70" s="186" t="n">
        <v>46109</v>
      </c>
      <c r="F70" s="20" t="inlineStr">
        <is>
          <t>Beira</t>
        </is>
      </c>
      <c r="G70" s="20" t="inlineStr">
        <is>
          <t>Lusaka</t>
        </is>
      </c>
      <c r="H70" s="20" t="inlineStr">
        <is>
          <t>PMS</t>
        </is>
      </c>
      <c r="I70" s="20" t="inlineStr">
        <is>
          <t>ABC 283 SF</t>
        </is>
      </c>
      <c r="J70" s="20" t="inlineStr">
        <is>
          <t>AH 383 SF</t>
        </is>
      </c>
      <c r="K70" s="20" t="inlineStr">
        <is>
          <t>PETRODA</t>
        </is>
      </c>
      <c r="L70" s="20" t="inlineStr">
        <is>
          <t>WILLIAMO MALISHE</t>
        </is>
      </c>
      <c r="M70" s="186" t="n">
        <v>46114</v>
      </c>
      <c r="N70" s="186" t="n">
        <v>46114</v>
      </c>
      <c r="O70" s="187">
        <f>IF(OR(M70="",N70=""),"",N70-M70)</f>
        <v/>
      </c>
      <c r="P70" s="187">
        <f>IFERROR(VLOOKUP(B70,Deals[#All],7,FALSE),DEF_LAYTIME)</f>
        <v/>
      </c>
      <c r="Q70" s="187">
        <f>IF(O70="","",MAX(0,O70-P70))</f>
        <v/>
      </c>
      <c r="R70" s="188">
        <f>IFERROR(VLOOKUP(B70,Deals[#All],8,FALSE),DEF_RATE)</f>
        <v/>
      </c>
      <c r="S70" s="188">
        <f>IF(Q70="","",Q70*R70)</f>
        <v/>
      </c>
      <c r="T70" s="16">
        <f>IF(O70="","PENDING",IF(Q70&gt;0,"DEMURRAGE","ON-TIME"))</f>
        <v/>
      </c>
      <c r="U70" s="16">
        <f>IF(AND(E70&lt;&gt;"",M70&lt;&gt;"",M70&lt;E70),"⚠ Arr&lt;Loaded",IF(AND(M70&lt;&gt;"",N70&lt;&gt;"",N70&lt;M70),"⚠ Off&lt;Arr","OK"))</f>
        <v/>
      </c>
      <c r="V70" s="16">
        <f>IF(E70="","",TEXT(E70,"yyyy-mm"))</f>
        <v/>
      </c>
    </row>
    <row r="71">
      <c r="B71" s="16" t="n">
        <v>189084</v>
      </c>
      <c r="C71" s="16" t="inlineStr">
        <is>
          <t>189084-DEM</t>
        </is>
      </c>
      <c r="D71" s="20" t="inlineStr">
        <is>
          <t>Rubis Energy Zambia</t>
        </is>
      </c>
      <c r="E71" s="186" t="n">
        <v>46110</v>
      </c>
      <c r="F71" s="20" t="inlineStr">
        <is>
          <t>Beira</t>
        </is>
      </c>
      <c r="G71" s="20" t="inlineStr">
        <is>
          <t>Lusaka</t>
        </is>
      </c>
      <c r="H71" s="20" t="inlineStr">
        <is>
          <t>PMS</t>
        </is>
      </c>
      <c r="I71" s="20" t="inlineStr">
        <is>
          <t>AAO 766 SF</t>
        </is>
      </c>
      <c r="J71" s="20" t="inlineStr">
        <is>
          <t>AH 440 MC</t>
        </is>
      </c>
      <c r="K71" s="20" t="inlineStr">
        <is>
          <t>PETRODA</t>
        </is>
      </c>
      <c r="L71" s="20" t="inlineStr">
        <is>
          <t>DOMINGOS FRANCISCO ARGOLA</t>
        </is>
      </c>
      <c r="M71" s="186" t="n">
        <v>46114</v>
      </c>
      <c r="N71" s="186" t="n">
        <v>46114</v>
      </c>
      <c r="O71" s="187">
        <f>IF(OR(M71="",N71=""),"",N71-M71)</f>
        <v/>
      </c>
      <c r="P71" s="187">
        <f>IFERROR(VLOOKUP(B71,Deals[#All],7,FALSE),DEF_LAYTIME)</f>
        <v/>
      </c>
      <c r="Q71" s="187">
        <f>IF(O71="","",MAX(0,O71-P71))</f>
        <v/>
      </c>
      <c r="R71" s="188">
        <f>IFERROR(VLOOKUP(B71,Deals[#All],8,FALSE),DEF_RATE)</f>
        <v/>
      </c>
      <c r="S71" s="188">
        <f>IF(Q71="","",Q71*R71)</f>
        <v/>
      </c>
      <c r="T71" s="16">
        <f>IF(O71="","PENDING",IF(Q71&gt;0,"DEMURRAGE","ON-TIME"))</f>
        <v/>
      </c>
      <c r="U71" s="16">
        <f>IF(AND(E71&lt;&gt;"",M71&lt;&gt;"",M71&lt;E71),"⚠ Arr&lt;Loaded",IF(AND(M71&lt;&gt;"",N71&lt;&gt;"",N71&lt;M71),"⚠ Off&lt;Arr","OK"))</f>
        <v/>
      </c>
      <c r="V71" s="16">
        <f>IF(E71="","",TEXT(E71,"yyyy-mm"))</f>
        <v/>
      </c>
    </row>
    <row r="72">
      <c r="B72" s="16" t="n">
        <v>189084</v>
      </c>
      <c r="C72" s="16" t="inlineStr">
        <is>
          <t>189084-DEM</t>
        </is>
      </c>
      <c r="D72" s="20" t="inlineStr">
        <is>
          <t>Rubis Energy Zambia</t>
        </is>
      </c>
      <c r="E72" s="186" t="n">
        <v>46110</v>
      </c>
      <c r="F72" s="20" t="inlineStr">
        <is>
          <t>Beira</t>
        </is>
      </c>
      <c r="G72" s="20" t="inlineStr">
        <is>
          <t>Lusaka</t>
        </is>
      </c>
      <c r="H72" s="20" t="inlineStr">
        <is>
          <t>PMS</t>
        </is>
      </c>
      <c r="I72" s="20" t="inlineStr">
        <is>
          <t>AKN 003 MC</t>
        </is>
      </c>
      <c r="J72" s="20" t="inlineStr">
        <is>
          <t>AH 426 MC</t>
        </is>
      </c>
      <c r="K72" s="20" t="inlineStr">
        <is>
          <t>PETRODA</t>
        </is>
      </c>
      <c r="L72" s="20" t="inlineStr">
        <is>
          <t>GUERRA JULIAO</t>
        </is>
      </c>
      <c r="M72" s="186" t="n">
        <v>46114</v>
      </c>
      <c r="N72" s="186" t="n">
        <v>46114</v>
      </c>
      <c r="O72" s="187">
        <f>IF(OR(M72="",N72=""),"",N72-M72)</f>
        <v/>
      </c>
      <c r="P72" s="187">
        <f>IFERROR(VLOOKUP(B72,Deals[#All],7,FALSE),DEF_LAYTIME)</f>
        <v/>
      </c>
      <c r="Q72" s="187">
        <f>IF(O72="","",MAX(0,O72-P72))</f>
        <v/>
      </c>
      <c r="R72" s="188">
        <f>IFERROR(VLOOKUP(B72,Deals[#All],8,FALSE),DEF_RATE)</f>
        <v/>
      </c>
      <c r="S72" s="188">
        <f>IF(Q72="","",Q72*R72)</f>
        <v/>
      </c>
      <c r="T72" s="16">
        <f>IF(O72="","PENDING",IF(Q72&gt;0,"DEMURRAGE","ON-TIME"))</f>
        <v/>
      </c>
      <c r="U72" s="16">
        <f>IF(AND(E72&lt;&gt;"",M72&lt;&gt;"",M72&lt;E72),"⚠ Arr&lt;Loaded",IF(AND(M72&lt;&gt;"",N72&lt;&gt;"",N72&lt;M72),"⚠ Off&lt;Arr","OK"))</f>
        <v/>
      </c>
      <c r="V72" s="16">
        <f>IF(E72="","",TEXT(E72,"yyyy-mm"))</f>
        <v/>
      </c>
    </row>
    <row r="73">
      <c r="B73" s="16" t="n">
        <v>189084</v>
      </c>
      <c r="C73" s="16" t="inlineStr">
        <is>
          <t>189084-DEM</t>
        </is>
      </c>
      <c r="D73" s="20" t="inlineStr">
        <is>
          <t>Rubis Energy Zambia</t>
        </is>
      </c>
      <c r="E73" s="186" t="n">
        <v>46108</v>
      </c>
      <c r="F73" s="20" t="inlineStr">
        <is>
          <t>Beira</t>
        </is>
      </c>
      <c r="G73" s="20" t="inlineStr">
        <is>
          <t>Lusaka</t>
        </is>
      </c>
      <c r="H73" s="20" t="inlineStr">
        <is>
          <t>PMS</t>
        </is>
      </c>
      <c r="I73" s="20" t="inlineStr">
        <is>
          <t>AKO 144 MC</t>
        </is>
      </c>
      <c r="J73" s="20" t="inlineStr">
        <is>
          <t>AH 414 MC</t>
        </is>
      </c>
      <c r="K73" s="20" t="inlineStr">
        <is>
          <t>PETRODA</t>
        </is>
      </c>
      <c r="L73" s="20" t="inlineStr">
        <is>
          <t>CAPESSE LUIS CAPESSE</t>
        </is>
      </c>
      <c r="M73" s="186" t="n">
        <v>46115</v>
      </c>
      <c r="N73" s="186" t="n">
        <v>46116</v>
      </c>
      <c r="O73" s="187">
        <f>IF(OR(M73="",N73=""),"",N73-M73)</f>
        <v/>
      </c>
      <c r="P73" s="187">
        <f>IFERROR(VLOOKUP(B73,Deals[#All],7,FALSE),DEF_LAYTIME)</f>
        <v/>
      </c>
      <c r="Q73" s="187">
        <f>IF(O73="","",MAX(0,O73-P73))</f>
        <v/>
      </c>
      <c r="R73" s="188">
        <f>IFERROR(VLOOKUP(B73,Deals[#All],8,FALSE),DEF_RATE)</f>
        <v/>
      </c>
      <c r="S73" s="188">
        <f>IF(Q73="","",Q73*R73)</f>
        <v/>
      </c>
      <c r="T73" s="16">
        <f>IF(O73="","PENDING",IF(Q73&gt;0,"DEMURRAGE","ON-TIME"))</f>
        <v/>
      </c>
      <c r="U73" s="16">
        <f>IF(AND(E73&lt;&gt;"",M73&lt;&gt;"",M73&lt;E73),"⚠ Arr&lt;Loaded",IF(AND(M73&lt;&gt;"",N73&lt;&gt;"",N73&lt;M73),"⚠ Off&lt;Arr","OK"))</f>
        <v/>
      </c>
      <c r="V73" s="16">
        <f>IF(E73="","",TEXT(E73,"yyyy-mm"))</f>
        <v/>
      </c>
    </row>
    <row r="74">
      <c r="B74" s="16" t="n">
        <v>190261</v>
      </c>
      <c r="C74" s="16" t="inlineStr">
        <is>
          <t>190261-DEM</t>
        </is>
      </c>
      <c r="D74" s="20" t="inlineStr">
        <is>
          <t>Lake Petroleum Zambia</t>
        </is>
      </c>
      <c r="E74" s="186" t="n">
        <v>46149</v>
      </c>
      <c r="F74" s="20" t="inlineStr">
        <is>
          <t>Beira</t>
        </is>
      </c>
      <c r="G74" s="20" t="inlineStr">
        <is>
          <t>Lusaka</t>
        </is>
      </c>
      <c r="H74" s="20" t="inlineStr">
        <is>
          <t>PMS</t>
        </is>
      </c>
      <c r="I74" s="20" t="inlineStr">
        <is>
          <t>CAJ-4204 ZM</t>
        </is>
      </c>
      <c r="J74" s="20" t="inlineStr">
        <is>
          <t>CAJ-4195 ZM</t>
        </is>
      </c>
      <c r="K74" s="20" t="inlineStr">
        <is>
          <t>OASIS</t>
        </is>
      </c>
      <c r="L74" s="20" t="inlineStr">
        <is>
          <t>CHARLES PHIRI</t>
        </is>
      </c>
      <c r="M74" s="186" t="n">
        <v>46152</v>
      </c>
      <c r="N74" s="186" t="n"/>
      <c r="O74" s="187">
        <f>IF(OR(M74="",N74=""),"",N74-M74)</f>
        <v/>
      </c>
      <c r="P74" s="187">
        <f>IFERROR(VLOOKUP(B74,Deals[#All],7,FALSE),DEF_LAYTIME)</f>
        <v/>
      </c>
      <c r="Q74" s="187">
        <f>IF(O74="","",MAX(0,O74-P74))</f>
        <v/>
      </c>
      <c r="R74" s="188">
        <f>IFERROR(VLOOKUP(B74,Deals[#All],8,FALSE),DEF_RATE)</f>
        <v/>
      </c>
      <c r="S74" s="188">
        <f>IF(Q74="","",Q74*R74)</f>
        <v/>
      </c>
      <c r="T74" s="16">
        <f>IF(O74="","PENDING",IF(Q74&gt;0,"DEMURRAGE","ON-TIME"))</f>
        <v/>
      </c>
      <c r="U74" s="16">
        <f>IF(AND(E74&lt;&gt;"",M74&lt;&gt;"",M74&lt;E74),"⚠ Arr&lt;Loaded",IF(AND(M74&lt;&gt;"",N74&lt;&gt;"",N74&lt;M74),"⚠ Off&lt;Arr","OK"))</f>
        <v/>
      </c>
      <c r="V74" s="16">
        <f>IF(E74="","",TEXT(E74,"yyyy-mm"))</f>
        <v/>
      </c>
    </row>
    <row r="75">
      <c r="B75" s="16" t="n">
        <v>190261</v>
      </c>
      <c r="C75" s="16" t="inlineStr">
        <is>
          <t>190261-DEM</t>
        </is>
      </c>
      <c r="D75" s="20" t="inlineStr">
        <is>
          <t>Lake Petroleum Zambia</t>
        </is>
      </c>
      <c r="E75" s="186" t="n">
        <v>46147</v>
      </c>
      <c r="F75" s="20" t="inlineStr">
        <is>
          <t>Beira</t>
        </is>
      </c>
      <c r="G75" s="20" t="inlineStr">
        <is>
          <t>Lusaka</t>
        </is>
      </c>
      <c r="H75" s="20" t="inlineStr">
        <is>
          <t>PMS</t>
        </is>
      </c>
      <c r="I75" s="20" t="inlineStr">
        <is>
          <t>CAJ-4325 ZM</t>
        </is>
      </c>
      <c r="J75" s="20" t="inlineStr">
        <is>
          <t>CAJ-4321 ZM</t>
        </is>
      </c>
      <c r="K75" s="20" t="inlineStr">
        <is>
          <t>OASIS</t>
        </is>
      </c>
      <c r="L75" s="20" t="inlineStr">
        <is>
          <t>RAJ HILLARY DESAI</t>
        </is>
      </c>
      <c r="M75" s="186" t="n">
        <v>46152</v>
      </c>
      <c r="N75" s="186" t="n"/>
      <c r="O75" s="187">
        <f>IF(OR(M75="",N75=""),"",N75-M75)</f>
        <v/>
      </c>
      <c r="P75" s="187">
        <f>IFERROR(VLOOKUP(B75,Deals[#All],7,FALSE),DEF_LAYTIME)</f>
        <v/>
      </c>
      <c r="Q75" s="187">
        <f>IF(O75="","",MAX(0,O75-P75))</f>
        <v/>
      </c>
      <c r="R75" s="188">
        <f>IFERROR(VLOOKUP(B75,Deals[#All],8,FALSE),DEF_RATE)</f>
        <v/>
      </c>
      <c r="S75" s="188">
        <f>IF(Q75="","",Q75*R75)</f>
        <v/>
      </c>
      <c r="T75" s="16">
        <f>IF(O75="","PENDING",IF(Q75&gt;0,"DEMURRAGE","ON-TIME"))</f>
        <v/>
      </c>
      <c r="U75" s="16">
        <f>IF(AND(E75&lt;&gt;"",M75&lt;&gt;"",M75&lt;E75),"⚠ Arr&lt;Loaded",IF(AND(M75&lt;&gt;"",N75&lt;&gt;"",N75&lt;M75),"⚠ Off&lt;Arr","OK"))</f>
        <v/>
      </c>
      <c r="V75" s="16">
        <f>IF(E75="","",TEXT(E75,"yyyy-mm"))</f>
        <v/>
      </c>
    </row>
    <row r="76">
      <c r="B76" s="16" t="n">
        <v>190261</v>
      </c>
      <c r="C76" s="16" t="inlineStr">
        <is>
          <t>190261-DEM</t>
        </is>
      </c>
      <c r="D76" s="20" t="inlineStr">
        <is>
          <t>Lake Petroleum Zambia</t>
        </is>
      </c>
      <c r="E76" s="186" t="n">
        <v>46151</v>
      </c>
      <c r="F76" s="20" t="inlineStr">
        <is>
          <t>Beira</t>
        </is>
      </c>
      <c r="G76" s="20" t="inlineStr">
        <is>
          <t>Lusaka</t>
        </is>
      </c>
      <c r="H76" s="20" t="inlineStr">
        <is>
          <t>PMS</t>
        </is>
      </c>
      <c r="I76" s="20" t="inlineStr">
        <is>
          <t>CAF-8484ZM</t>
        </is>
      </c>
      <c r="J76" s="20" t="inlineStr">
        <is>
          <t>CAF-8530ZM</t>
        </is>
      </c>
      <c r="K76" s="20" t="inlineStr">
        <is>
          <t>OASIS</t>
        </is>
      </c>
      <c r="L76" s="20" t="inlineStr">
        <is>
          <t>STEVEN BANDA</t>
        </is>
      </c>
      <c r="M76" s="186" t="n"/>
      <c r="N76" s="186" t="n"/>
      <c r="O76" s="187">
        <f>IF(OR(M76="",N76=""),"",N76-M76)</f>
        <v/>
      </c>
      <c r="P76" s="187">
        <f>IFERROR(VLOOKUP(B76,Deals[#All],7,FALSE),DEF_LAYTIME)</f>
        <v/>
      </c>
      <c r="Q76" s="187">
        <f>IF(O76="","",MAX(0,O76-P76))</f>
        <v/>
      </c>
      <c r="R76" s="188">
        <f>IFERROR(VLOOKUP(B76,Deals[#All],8,FALSE),DEF_RATE)</f>
        <v/>
      </c>
      <c r="S76" s="188">
        <f>IF(Q76="","",Q76*R76)</f>
        <v/>
      </c>
      <c r="T76" s="16">
        <f>IF(O76="","PENDING",IF(Q76&gt;0,"DEMURRAGE","ON-TIME"))</f>
        <v/>
      </c>
      <c r="U76" s="16">
        <f>IF(AND(E76&lt;&gt;"",M76&lt;&gt;"",M76&lt;E76),"⚠ Arr&lt;Loaded",IF(AND(M76&lt;&gt;"",N76&lt;&gt;"",N76&lt;M76),"⚠ Off&lt;Arr","OK"))</f>
        <v/>
      </c>
      <c r="V76" s="16">
        <f>IF(E76="","",TEXT(E76,"yyyy-mm"))</f>
        <v/>
      </c>
    </row>
    <row r="77">
      <c r="B77" s="16" t="n">
        <v>190261</v>
      </c>
      <c r="C77" s="16" t="inlineStr">
        <is>
          <t>190261-DEM</t>
        </is>
      </c>
      <c r="D77" s="20" t="inlineStr">
        <is>
          <t>Lake Petroleum Zambia</t>
        </is>
      </c>
      <c r="E77" s="186" t="n">
        <v>46149</v>
      </c>
      <c r="F77" s="20" t="inlineStr">
        <is>
          <t>Beira</t>
        </is>
      </c>
      <c r="G77" s="20" t="inlineStr">
        <is>
          <t>Lusaka</t>
        </is>
      </c>
      <c r="H77" s="20" t="inlineStr">
        <is>
          <t>PMS</t>
        </is>
      </c>
      <c r="I77" s="20" t="inlineStr">
        <is>
          <t>CAJ-4322 ZM</t>
        </is>
      </c>
      <c r="J77" s="20" t="inlineStr">
        <is>
          <t>CAJ-4323 ZM</t>
        </is>
      </c>
      <c r="K77" s="20" t="inlineStr">
        <is>
          <t>OASIS</t>
        </is>
      </c>
      <c r="L77" s="20" t="inlineStr">
        <is>
          <t>STEVE KANENGO</t>
        </is>
      </c>
      <c r="M77" s="186" t="n">
        <v>46152</v>
      </c>
      <c r="N77" s="186" t="n"/>
      <c r="O77" s="187">
        <f>IF(OR(M77="",N77=""),"",N77-M77)</f>
        <v/>
      </c>
      <c r="P77" s="187">
        <f>IFERROR(VLOOKUP(B77,Deals[#All],7,FALSE),DEF_LAYTIME)</f>
        <v/>
      </c>
      <c r="Q77" s="187">
        <f>IF(O77="","",MAX(0,O77-P77))</f>
        <v/>
      </c>
      <c r="R77" s="188">
        <f>IFERROR(VLOOKUP(B77,Deals[#All],8,FALSE),DEF_RATE)</f>
        <v/>
      </c>
      <c r="S77" s="188">
        <f>IF(Q77="","",Q77*R77)</f>
        <v/>
      </c>
      <c r="T77" s="16">
        <f>IF(O77="","PENDING",IF(Q77&gt;0,"DEMURRAGE","ON-TIME"))</f>
        <v/>
      </c>
      <c r="U77" s="16">
        <f>IF(AND(E77&lt;&gt;"",M77&lt;&gt;"",M77&lt;E77),"⚠ Arr&lt;Loaded",IF(AND(M77&lt;&gt;"",N77&lt;&gt;"",N77&lt;M77),"⚠ Off&lt;Arr","OK"))</f>
        <v/>
      </c>
      <c r="V77" s="16">
        <f>IF(E77="","",TEXT(E77,"yyyy-mm"))</f>
        <v/>
      </c>
    </row>
    <row r="78">
      <c r="B78" s="16" t="n">
        <v>190261</v>
      </c>
      <c r="C78" s="16" t="inlineStr">
        <is>
          <t>190261-DEM</t>
        </is>
      </c>
      <c r="D78" s="20" t="inlineStr">
        <is>
          <t>Lake Petroleum Zambia</t>
        </is>
      </c>
      <c r="E78" s="186" t="n">
        <v>46147</v>
      </c>
      <c r="F78" s="20" t="inlineStr">
        <is>
          <t>Beira</t>
        </is>
      </c>
      <c r="G78" s="20" t="inlineStr">
        <is>
          <t>Lusaka</t>
        </is>
      </c>
      <c r="H78" s="20" t="inlineStr">
        <is>
          <t>PMS</t>
        </is>
      </c>
      <c r="I78" s="20" t="inlineStr">
        <is>
          <t>CAJ-4194ZM</t>
        </is>
      </c>
      <c r="J78" s="20" t="inlineStr">
        <is>
          <t>CAJ-4191ZM</t>
        </is>
      </c>
      <c r="K78" s="20" t="inlineStr">
        <is>
          <t>OASIS</t>
        </is>
      </c>
      <c r="L78" s="20" t="inlineStr">
        <is>
          <t>JOCKONIA SAKALA</t>
        </is>
      </c>
      <c r="M78" s="186" t="n">
        <v>46151</v>
      </c>
      <c r="N78" s="186" t="n"/>
      <c r="O78" s="187">
        <f>IF(OR(M78="",N78=""),"",N78-M78)</f>
        <v/>
      </c>
      <c r="P78" s="187">
        <f>IFERROR(VLOOKUP(B78,Deals[#All],7,FALSE),DEF_LAYTIME)</f>
        <v/>
      </c>
      <c r="Q78" s="187">
        <f>IF(O78="","",MAX(0,O78-P78))</f>
        <v/>
      </c>
      <c r="R78" s="188">
        <f>IFERROR(VLOOKUP(B78,Deals[#All],8,FALSE),DEF_RATE)</f>
        <v/>
      </c>
      <c r="S78" s="188">
        <f>IF(Q78="","",Q78*R78)</f>
        <v/>
      </c>
      <c r="T78" s="16">
        <f>IF(O78="","PENDING",IF(Q78&gt;0,"DEMURRAGE","ON-TIME"))</f>
        <v/>
      </c>
      <c r="U78" s="16">
        <f>IF(AND(E78&lt;&gt;"",M78&lt;&gt;"",M78&lt;E78),"⚠ Arr&lt;Loaded",IF(AND(M78&lt;&gt;"",N78&lt;&gt;"",N78&lt;M78),"⚠ Off&lt;Arr","OK"))</f>
        <v/>
      </c>
      <c r="V78" s="16">
        <f>IF(E78="","",TEXT(E78,"yyyy-mm"))</f>
        <v/>
      </c>
    </row>
    <row r="79">
      <c r="B79" s="16" t="n">
        <v>190261</v>
      </c>
      <c r="C79" s="16" t="inlineStr">
        <is>
          <t>190261-DEM</t>
        </is>
      </c>
      <c r="D79" s="20" t="inlineStr">
        <is>
          <t>Lake Petroleum Zambia</t>
        </is>
      </c>
      <c r="E79" s="186" t="n">
        <v>46149</v>
      </c>
      <c r="F79" s="20" t="inlineStr">
        <is>
          <t>Beira</t>
        </is>
      </c>
      <c r="G79" s="20" t="inlineStr">
        <is>
          <t>Lusaka</t>
        </is>
      </c>
      <c r="H79" s="20" t="inlineStr">
        <is>
          <t>PMS</t>
        </is>
      </c>
      <c r="I79" s="20" t="inlineStr">
        <is>
          <t>CAJ-4196 ZM</t>
        </is>
      </c>
      <c r="J79" s="20" t="inlineStr">
        <is>
          <t>CAJ-4189 ZM</t>
        </is>
      </c>
      <c r="K79" s="20" t="inlineStr">
        <is>
          <t>OASIS</t>
        </is>
      </c>
      <c r="L79" s="20" t="inlineStr">
        <is>
          <t>CHILESHE MUTALE</t>
        </is>
      </c>
      <c r="M79" s="186" t="n">
        <v>46152</v>
      </c>
      <c r="N79" s="186" t="n"/>
      <c r="O79" s="187">
        <f>IF(OR(M79="",N79=""),"",N79-M79)</f>
        <v/>
      </c>
      <c r="P79" s="187">
        <f>IFERROR(VLOOKUP(B79,Deals[#All],7,FALSE),DEF_LAYTIME)</f>
        <v/>
      </c>
      <c r="Q79" s="187">
        <f>IF(O79="","",MAX(0,O79-P79))</f>
        <v/>
      </c>
      <c r="R79" s="188">
        <f>IFERROR(VLOOKUP(B79,Deals[#All],8,FALSE),DEF_RATE)</f>
        <v/>
      </c>
      <c r="S79" s="188">
        <f>IF(Q79="","",Q79*R79)</f>
        <v/>
      </c>
      <c r="T79" s="16">
        <f>IF(O79="","PENDING",IF(Q79&gt;0,"DEMURRAGE","ON-TIME"))</f>
        <v/>
      </c>
      <c r="U79" s="16">
        <f>IF(AND(E79&lt;&gt;"",M79&lt;&gt;"",M79&lt;E79),"⚠ Arr&lt;Loaded",IF(AND(M79&lt;&gt;"",N79&lt;&gt;"",N79&lt;M79),"⚠ Off&lt;Arr","OK"))</f>
        <v/>
      </c>
      <c r="V79" s="16">
        <f>IF(E79="","",TEXT(E79,"yyyy-mm"))</f>
        <v/>
      </c>
    </row>
    <row r="80">
      <c r="B80" s="16" t="n">
        <v>190261</v>
      </c>
      <c r="C80" s="16" t="inlineStr">
        <is>
          <t>190261-DEM</t>
        </is>
      </c>
      <c r="D80" s="20" t="inlineStr">
        <is>
          <t>Lake Petroleum Zambia</t>
        </is>
      </c>
      <c r="E80" s="186" t="n">
        <v>46147</v>
      </c>
      <c r="F80" s="20" t="inlineStr">
        <is>
          <t>Beira</t>
        </is>
      </c>
      <c r="G80" s="20" t="inlineStr">
        <is>
          <t>Lusaka</t>
        </is>
      </c>
      <c r="H80" s="20" t="inlineStr">
        <is>
          <t>PMS</t>
        </is>
      </c>
      <c r="I80" s="20" t="inlineStr">
        <is>
          <t>CAJ-7173 ZM</t>
        </is>
      </c>
      <c r="J80" s="20" t="inlineStr">
        <is>
          <t>CAJ-7186 ZM</t>
        </is>
      </c>
      <c r="K80" s="20" t="inlineStr">
        <is>
          <t>OASIS</t>
        </is>
      </c>
      <c r="L80" s="20" t="inlineStr">
        <is>
          <t>MWACHATUBA ERIC MALUSA</t>
        </is>
      </c>
      <c r="M80" s="186" t="n">
        <v>46151</v>
      </c>
      <c r="N80" s="186" t="n"/>
      <c r="O80" s="187">
        <f>IF(OR(M80="",N80=""),"",N80-M80)</f>
        <v/>
      </c>
      <c r="P80" s="187">
        <f>IFERROR(VLOOKUP(B80,Deals[#All],7,FALSE),DEF_LAYTIME)</f>
        <v/>
      </c>
      <c r="Q80" s="187">
        <f>IF(O80="","",MAX(0,O80-P80))</f>
        <v/>
      </c>
      <c r="R80" s="188">
        <f>IFERROR(VLOOKUP(B80,Deals[#All],8,FALSE),DEF_RATE)</f>
        <v/>
      </c>
      <c r="S80" s="188">
        <f>IF(Q80="","",Q80*R80)</f>
        <v/>
      </c>
      <c r="T80" s="16">
        <f>IF(O80="","PENDING",IF(Q80&gt;0,"DEMURRAGE","ON-TIME"))</f>
        <v/>
      </c>
      <c r="U80" s="16">
        <f>IF(AND(E80&lt;&gt;"",M80&lt;&gt;"",M80&lt;E80),"⚠ Arr&lt;Loaded",IF(AND(M80&lt;&gt;"",N80&lt;&gt;"",N80&lt;M80),"⚠ Off&lt;Arr","OK"))</f>
        <v/>
      </c>
      <c r="V80" s="16">
        <f>IF(E80="","",TEXT(E80,"yyyy-mm"))</f>
        <v/>
      </c>
    </row>
    <row r="81">
      <c r="B81" s="16" t="n">
        <v>190261</v>
      </c>
      <c r="C81" s="16" t="inlineStr">
        <is>
          <t>190261-DEM</t>
        </is>
      </c>
      <c r="D81" s="20" t="inlineStr">
        <is>
          <t>Lake Petroleum Zambia</t>
        </is>
      </c>
      <c r="E81" s="186" t="n">
        <v>46148</v>
      </c>
      <c r="F81" s="20" t="inlineStr">
        <is>
          <t>Beira</t>
        </is>
      </c>
      <c r="G81" s="20" t="inlineStr">
        <is>
          <t>Lusaka</t>
        </is>
      </c>
      <c r="H81" s="20" t="inlineStr">
        <is>
          <t>PMS</t>
        </is>
      </c>
      <c r="I81" s="20" t="inlineStr">
        <is>
          <t>CAJ-7191 ZM</t>
        </is>
      </c>
      <c r="J81" s="20" t="inlineStr">
        <is>
          <t>CAJ-7179 ZM</t>
        </is>
      </c>
      <c r="K81" s="20" t="inlineStr">
        <is>
          <t>OASIS</t>
        </is>
      </c>
      <c r="L81" s="20" t="inlineStr">
        <is>
          <t>PHILLIMON NKHOMA</t>
        </is>
      </c>
      <c r="M81" s="186" t="n">
        <v>46151</v>
      </c>
      <c r="N81" s="186" t="n"/>
      <c r="O81" s="187">
        <f>IF(OR(M81="",N81=""),"",N81-M81)</f>
        <v/>
      </c>
      <c r="P81" s="187">
        <f>IFERROR(VLOOKUP(B81,Deals[#All],7,FALSE),DEF_LAYTIME)</f>
        <v/>
      </c>
      <c r="Q81" s="187">
        <f>IF(O81="","",MAX(0,O81-P81))</f>
        <v/>
      </c>
      <c r="R81" s="188">
        <f>IFERROR(VLOOKUP(B81,Deals[#All],8,FALSE),DEF_RATE)</f>
        <v/>
      </c>
      <c r="S81" s="188">
        <f>IF(Q81="","",Q81*R81)</f>
        <v/>
      </c>
      <c r="T81" s="16">
        <f>IF(O81="","PENDING",IF(Q81&gt;0,"DEMURRAGE","ON-TIME"))</f>
        <v/>
      </c>
      <c r="U81" s="16">
        <f>IF(AND(E81&lt;&gt;"",M81&lt;&gt;"",M81&lt;E81),"⚠ Arr&lt;Loaded",IF(AND(M81&lt;&gt;"",N81&lt;&gt;"",N81&lt;M81),"⚠ Off&lt;Arr","OK"))</f>
        <v/>
      </c>
      <c r="V81" s="16">
        <f>IF(E81="","",TEXT(E81,"yyyy-mm"))</f>
        <v/>
      </c>
    </row>
    <row r="82">
      <c r="B82" s="16" t="n">
        <v>190261</v>
      </c>
      <c r="C82" s="16" t="inlineStr">
        <is>
          <t>190261-DEM</t>
        </is>
      </c>
      <c r="D82" s="20" t="inlineStr">
        <is>
          <t>Lake Petroleum Zambia</t>
        </is>
      </c>
      <c r="E82" s="186" t="n">
        <v>46149</v>
      </c>
      <c r="F82" s="20" t="inlineStr">
        <is>
          <t>Beira</t>
        </is>
      </c>
      <c r="G82" s="20" t="inlineStr">
        <is>
          <t>Lusaka</t>
        </is>
      </c>
      <c r="H82" s="20" t="inlineStr">
        <is>
          <t>PMS</t>
        </is>
      </c>
      <c r="I82" s="20" t="inlineStr">
        <is>
          <t>CAJ-4193ZM</t>
        </is>
      </c>
      <c r="J82" s="20" t="inlineStr">
        <is>
          <t>BAZ-5057ZM</t>
        </is>
      </c>
      <c r="K82" s="20" t="inlineStr">
        <is>
          <t>OASIS</t>
        </is>
      </c>
      <c r="L82" s="20" t="inlineStr">
        <is>
          <t>LAFTON SHIPUNGA</t>
        </is>
      </c>
      <c r="M82" s="186" t="n">
        <v>46152</v>
      </c>
      <c r="N82" s="186" t="n"/>
      <c r="O82" s="187">
        <f>IF(OR(M82="",N82=""),"",N82-M82)</f>
        <v/>
      </c>
      <c r="P82" s="187">
        <f>IFERROR(VLOOKUP(B82,Deals[#All],7,FALSE),DEF_LAYTIME)</f>
        <v/>
      </c>
      <c r="Q82" s="187">
        <f>IF(O82="","",MAX(0,O82-P82))</f>
        <v/>
      </c>
      <c r="R82" s="188">
        <f>IFERROR(VLOOKUP(B82,Deals[#All],8,FALSE),DEF_RATE)</f>
        <v/>
      </c>
      <c r="S82" s="188">
        <f>IF(Q82="","",Q82*R82)</f>
        <v/>
      </c>
      <c r="T82" s="16">
        <f>IF(O82="","PENDING",IF(Q82&gt;0,"DEMURRAGE","ON-TIME"))</f>
        <v/>
      </c>
      <c r="U82" s="16">
        <f>IF(AND(E82&lt;&gt;"",M82&lt;&gt;"",M82&lt;E82),"⚠ Arr&lt;Loaded",IF(AND(M82&lt;&gt;"",N82&lt;&gt;"",N82&lt;M82),"⚠ Off&lt;Arr","OK"))</f>
        <v/>
      </c>
      <c r="V82" s="16">
        <f>IF(E82="","",TEXT(E82,"yyyy-mm"))</f>
        <v/>
      </c>
    </row>
    <row r="83">
      <c r="B83" s="16" t="n">
        <v>190261</v>
      </c>
      <c r="C83" s="16" t="inlineStr">
        <is>
          <t>190261-DEM</t>
        </is>
      </c>
      <c r="D83" s="20" t="inlineStr">
        <is>
          <t>Lake Petroleum Zambia</t>
        </is>
      </c>
      <c r="E83" s="186" t="n">
        <v>46147</v>
      </c>
      <c r="F83" s="20" t="inlineStr">
        <is>
          <t>Beira</t>
        </is>
      </c>
      <c r="G83" s="20" t="inlineStr">
        <is>
          <t>Lusaka</t>
        </is>
      </c>
      <c r="H83" s="20" t="inlineStr">
        <is>
          <t>PMS</t>
        </is>
      </c>
      <c r="I83" s="20" t="inlineStr">
        <is>
          <t>CAJ-4324 ZM</t>
        </is>
      </c>
      <c r="J83" s="20" t="inlineStr">
        <is>
          <t>CAJ-4326 ZM</t>
        </is>
      </c>
      <c r="K83" s="20" t="inlineStr">
        <is>
          <t>OASIS</t>
        </is>
      </c>
      <c r="L83" s="20" t="inlineStr">
        <is>
          <t>MICHEAL MAKEPESHI</t>
        </is>
      </c>
      <c r="M83" s="186" t="n">
        <v>46151</v>
      </c>
      <c r="N83" s="186" t="n"/>
      <c r="O83" s="187">
        <f>IF(OR(M83="",N83=""),"",N83-M83)</f>
        <v/>
      </c>
      <c r="P83" s="187">
        <f>IFERROR(VLOOKUP(B83,Deals[#All],7,FALSE),DEF_LAYTIME)</f>
        <v/>
      </c>
      <c r="Q83" s="187">
        <f>IF(O83="","",MAX(0,O83-P83))</f>
        <v/>
      </c>
      <c r="R83" s="188">
        <f>IFERROR(VLOOKUP(B83,Deals[#All],8,FALSE),DEF_RATE)</f>
        <v/>
      </c>
      <c r="S83" s="188">
        <f>IF(Q83="","",Q83*R83)</f>
        <v/>
      </c>
      <c r="T83" s="16">
        <f>IF(O83="","PENDING",IF(Q83&gt;0,"DEMURRAGE","ON-TIME"))</f>
        <v/>
      </c>
      <c r="U83" s="16">
        <f>IF(AND(E83&lt;&gt;"",M83&lt;&gt;"",M83&lt;E83),"⚠ Arr&lt;Loaded",IF(AND(M83&lt;&gt;"",N83&lt;&gt;"",N83&lt;M83),"⚠ Off&lt;Arr","OK"))</f>
        <v/>
      </c>
      <c r="V83" s="16">
        <f>IF(E83="","",TEXT(E83,"yyyy-mm"))</f>
        <v/>
      </c>
    </row>
    <row r="84">
      <c r="B84" s="16" t="n">
        <v>190664</v>
      </c>
      <c r="C84" s="16" t="inlineStr">
        <is>
          <t>190664-DEM</t>
        </is>
      </c>
      <c r="D84" s="20" t="inlineStr">
        <is>
          <t>Rubis Energy Zambia</t>
        </is>
      </c>
      <c r="E84" s="186" t="n">
        <v>46133</v>
      </c>
      <c r="F84" s="20" t="inlineStr">
        <is>
          <t>Beira</t>
        </is>
      </c>
      <c r="G84" s="20" t="inlineStr">
        <is>
          <t>Lusaka</t>
        </is>
      </c>
      <c r="H84" s="20" t="inlineStr">
        <is>
          <t>PMS</t>
        </is>
      </c>
      <c r="I84" s="20" t="inlineStr">
        <is>
          <t>ABC 234 SF</t>
        </is>
      </c>
      <c r="J84" s="20" t="inlineStr">
        <is>
          <t>AH 414 SF</t>
        </is>
      </c>
      <c r="K84" s="20" t="inlineStr">
        <is>
          <t>PETRODA</t>
        </is>
      </c>
      <c r="L84" s="20" t="inlineStr">
        <is>
          <t>OSMAN AFIYA YUNUSU</t>
        </is>
      </c>
      <c r="M84" s="186" t="n">
        <v>46138</v>
      </c>
      <c r="N84" s="186" t="n">
        <v>46151</v>
      </c>
      <c r="O84" s="187">
        <f>IF(OR(M84="",N84=""),"",N84-M84)</f>
        <v/>
      </c>
      <c r="P84" s="187">
        <f>IFERROR(VLOOKUP(B84,Deals[#All],7,FALSE),DEF_LAYTIME)</f>
        <v/>
      </c>
      <c r="Q84" s="187">
        <f>IF(O84="","",MAX(0,O84-P84))</f>
        <v/>
      </c>
      <c r="R84" s="188">
        <f>IFERROR(VLOOKUP(B84,Deals[#All],8,FALSE),DEF_RATE)</f>
        <v/>
      </c>
      <c r="S84" s="188">
        <f>IF(Q84="","",Q84*R84)</f>
        <v/>
      </c>
      <c r="T84" s="16">
        <f>IF(O84="","PENDING",IF(Q84&gt;0,"DEMURRAGE","ON-TIME"))</f>
        <v/>
      </c>
      <c r="U84" s="16">
        <f>IF(AND(E84&lt;&gt;"",M84&lt;&gt;"",M84&lt;E84),"⚠ Arr&lt;Loaded",IF(AND(M84&lt;&gt;"",N84&lt;&gt;"",N84&lt;M84),"⚠ Off&lt;Arr","OK"))</f>
        <v/>
      </c>
      <c r="V84" s="16">
        <f>IF(E84="","",TEXT(E84,"yyyy-mm"))</f>
        <v/>
      </c>
    </row>
    <row r="85">
      <c r="B85" s="16" t="n">
        <v>190664</v>
      </c>
      <c r="C85" s="16" t="inlineStr">
        <is>
          <t>190664-DEM</t>
        </is>
      </c>
      <c r="D85" s="20" t="inlineStr">
        <is>
          <t>Rubis Energy Zambia</t>
        </is>
      </c>
      <c r="E85" s="186" t="n">
        <v>46132</v>
      </c>
      <c r="F85" s="20" t="inlineStr">
        <is>
          <t>Beira</t>
        </is>
      </c>
      <c r="G85" s="20" t="inlineStr">
        <is>
          <t>Lusaka</t>
        </is>
      </c>
      <c r="H85" s="20" t="inlineStr">
        <is>
          <t>PMS</t>
        </is>
      </c>
      <c r="I85" s="20" t="inlineStr">
        <is>
          <t>AKN 848 MC</t>
        </is>
      </c>
      <c r="J85" s="20" t="inlineStr">
        <is>
          <t>AH 413 MC</t>
        </is>
      </c>
      <c r="K85" s="20" t="inlineStr">
        <is>
          <t>PETRODA</t>
        </is>
      </c>
      <c r="L85" s="20" t="inlineStr">
        <is>
          <t>BENEDITO ANTONIO DOMINGOS BUZI</t>
        </is>
      </c>
      <c r="M85" s="186" t="n">
        <v>46138</v>
      </c>
      <c r="N85" s="186" t="n">
        <v>46151</v>
      </c>
      <c r="O85" s="187">
        <f>IF(OR(M85="",N85=""),"",N85-M85)</f>
        <v/>
      </c>
      <c r="P85" s="187">
        <f>IFERROR(VLOOKUP(B85,Deals[#All],7,FALSE),DEF_LAYTIME)</f>
        <v/>
      </c>
      <c r="Q85" s="187">
        <f>IF(O85="","",MAX(0,O85-P85))</f>
        <v/>
      </c>
      <c r="R85" s="188">
        <f>IFERROR(VLOOKUP(B85,Deals[#All],8,FALSE),DEF_RATE)</f>
        <v/>
      </c>
      <c r="S85" s="188">
        <f>IF(Q85="","",Q85*R85)</f>
        <v/>
      </c>
      <c r="T85" s="16">
        <f>IF(O85="","PENDING",IF(Q85&gt;0,"DEMURRAGE","ON-TIME"))</f>
        <v/>
      </c>
      <c r="U85" s="16">
        <f>IF(AND(E85&lt;&gt;"",M85&lt;&gt;"",M85&lt;E85),"⚠ Arr&lt;Loaded",IF(AND(M85&lt;&gt;"",N85&lt;&gt;"",N85&lt;M85),"⚠ Off&lt;Arr","OK"))</f>
        <v/>
      </c>
      <c r="V85" s="16">
        <f>IF(E85="","",TEXT(E85,"yyyy-mm"))</f>
        <v/>
      </c>
    </row>
    <row r="86">
      <c r="B86" s="16" t="n">
        <v>190664</v>
      </c>
      <c r="C86" s="16" t="inlineStr">
        <is>
          <t>190664-DEM</t>
        </is>
      </c>
      <c r="D86" s="20" t="inlineStr">
        <is>
          <t>Rubis Energy Zambia</t>
        </is>
      </c>
      <c r="E86" s="186" t="n">
        <v>46133</v>
      </c>
      <c r="F86" s="20" t="inlineStr">
        <is>
          <t>Beira</t>
        </is>
      </c>
      <c r="G86" s="20" t="inlineStr">
        <is>
          <t>Lusaka</t>
        </is>
      </c>
      <c r="H86" s="20" t="inlineStr">
        <is>
          <t>PMS</t>
        </is>
      </c>
      <c r="I86" s="20" t="inlineStr">
        <is>
          <t>AKN 765 MC</t>
        </is>
      </c>
      <c r="J86" s="20" t="inlineStr">
        <is>
          <t>AH 427 MC</t>
        </is>
      </c>
      <c r="K86" s="20" t="inlineStr">
        <is>
          <t>PETRODA</t>
        </is>
      </c>
      <c r="L86" s="20" t="inlineStr">
        <is>
          <t>DANIEL WAIRESSE MUDUWA</t>
        </is>
      </c>
      <c r="M86" s="186" t="n">
        <v>46138</v>
      </c>
      <c r="N86" s="186" t="n">
        <v>46143</v>
      </c>
      <c r="O86" s="187">
        <f>IF(OR(M86="",N86=""),"",N86-M86)</f>
        <v/>
      </c>
      <c r="P86" s="187">
        <f>IFERROR(VLOOKUP(B86,Deals[#All],7,FALSE),DEF_LAYTIME)</f>
        <v/>
      </c>
      <c r="Q86" s="187">
        <f>IF(O86="","",MAX(0,O86-P86))</f>
        <v/>
      </c>
      <c r="R86" s="188">
        <f>IFERROR(VLOOKUP(B86,Deals[#All],8,FALSE),DEF_RATE)</f>
        <v/>
      </c>
      <c r="S86" s="188">
        <f>IF(Q86="","",Q86*R86)</f>
        <v/>
      </c>
      <c r="T86" s="16">
        <f>IF(O86="","PENDING",IF(Q86&gt;0,"DEMURRAGE","ON-TIME"))</f>
        <v/>
      </c>
      <c r="U86" s="16">
        <f>IF(AND(E86&lt;&gt;"",M86&lt;&gt;"",M86&lt;E86),"⚠ Arr&lt;Loaded",IF(AND(M86&lt;&gt;"",N86&lt;&gt;"",N86&lt;M86),"⚠ Off&lt;Arr","OK"))</f>
        <v/>
      </c>
      <c r="V86" s="16">
        <f>IF(E86="","",TEXT(E86,"yyyy-mm"))</f>
        <v/>
      </c>
    </row>
    <row r="87">
      <c r="B87" s="16" t="n">
        <v>190664</v>
      </c>
      <c r="C87" s="16" t="inlineStr">
        <is>
          <t>190664-DEM</t>
        </is>
      </c>
      <c r="D87" s="20" t="inlineStr">
        <is>
          <t>Rubis Energy Zambia</t>
        </is>
      </c>
      <c r="E87" s="186" t="n">
        <v>46133</v>
      </c>
      <c r="F87" s="20" t="inlineStr">
        <is>
          <t>Beira</t>
        </is>
      </c>
      <c r="G87" s="20" t="inlineStr">
        <is>
          <t>Lusaka</t>
        </is>
      </c>
      <c r="H87" s="20" t="inlineStr">
        <is>
          <t>PMS</t>
        </is>
      </c>
      <c r="I87" s="20" t="inlineStr">
        <is>
          <t>ABC 244 SF</t>
        </is>
      </c>
      <c r="J87" s="20" t="inlineStr">
        <is>
          <t>AH 424 SF</t>
        </is>
      </c>
      <c r="K87" s="20" t="inlineStr">
        <is>
          <t>PETRODA</t>
        </is>
      </c>
      <c r="L87" s="20" t="inlineStr">
        <is>
          <t>BRITO BITONE SEMENTE MUTANDO</t>
        </is>
      </c>
      <c r="M87" s="186" t="n">
        <v>46138</v>
      </c>
      <c r="N87" s="186" t="n">
        <v>46143</v>
      </c>
      <c r="O87" s="187">
        <f>IF(OR(M87="",N87=""),"",N87-M87)</f>
        <v/>
      </c>
      <c r="P87" s="187">
        <f>IFERROR(VLOOKUP(B87,Deals[#All],7,FALSE),DEF_LAYTIME)</f>
        <v/>
      </c>
      <c r="Q87" s="187">
        <f>IF(O87="","",MAX(0,O87-P87))</f>
        <v/>
      </c>
      <c r="R87" s="188">
        <f>IFERROR(VLOOKUP(B87,Deals[#All],8,FALSE),DEF_RATE)</f>
        <v/>
      </c>
      <c r="S87" s="188">
        <f>IF(Q87="","",Q87*R87)</f>
        <v/>
      </c>
      <c r="T87" s="16">
        <f>IF(O87="","PENDING",IF(Q87&gt;0,"DEMURRAGE","ON-TIME"))</f>
        <v/>
      </c>
      <c r="U87" s="16">
        <f>IF(AND(E87&lt;&gt;"",M87&lt;&gt;"",M87&lt;E87),"⚠ Arr&lt;Loaded",IF(AND(M87&lt;&gt;"",N87&lt;&gt;"",N87&lt;M87),"⚠ Off&lt;Arr","OK"))</f>
        <v/>
      </c>
      <c r="V87" s="16">
        <f>IF(E87="","",TEXT(E87,"yyyy-mm"))</f>
        <v/>
      </c>
    </row>
    <row r="88">
      <c r="B88" s="16" t="n">
        <v>190664</v>
      </c>
      <c r="C88" s="16" t="inlineStr">
        <is>
          <t>190664-DEM</t>
        </is>
      </c>
      <c r="D88" s="20" t="inlineStr">
        <is>
          <t>Rubis Energy Zambia</t>
        </is>
      </c>
      <c r="E88" s="186" t="n">
        <v>46133</v>
      </c>
      <c r="F88" s="20" t="inlineStr">
        <is>
          <t>Beira</t>
        </is>
      </c>
      <c r="G88" s="20" t="inlineStr">
        <is>
          <t>Lusaka</t>
        </is>
      </c>
      <c r="H88" s="20" t="inlineStr">
        <is>
          <t>PMS</t>
        </is>
      </c>
      <c r="I88" s="20" t="inlineStr">
        <is>
          <t>AAO 768 SF</t>
        </is>
      </c>
      <c r="J88" s="20" t="inlineStr">
        <is>
          <t>AH 421 MC</t>
        </is>
      </c>
      <c r="K88" s="20" t="inlineStr">
        <is>
          <t>PETRODA</t>
        </is>
      </c>
      <c r="L88" s="20" t="inlineStr">
        <is>
          <t>AGOSTINHO GONCALVES PIRES</t>
        </is>
      </c>
      <c r="M88" s="186" t="n">
        <v>46138</v>
      </c>
      <c r="N88" s="186" t="n">
        <v>46143</v>
      </c>
      <c r="O88" s="187">
        <f>IF(OR(M88="",N88=""),"",N88-M88)</f>
        <v/>
      </c>
      <c r="P88" s="187">
        <f>IFERROR(VLOOKUP(B88,Deals[#All],7,FALSE),DEF_LAYTIME)</f>
        <v/>
      </c>
      <c r="Q88" s="187">
        <f>IF(O88="","",MAX(0,O88-P88))</f>
        <v/>
      </c>
      <c r="R88" s="188">
        <f>IFERROR(VLOOKUP(B88,Deals[#All],8,FALSE),DEF_RATE)</f>
        <v/>
      </c>
      <c r="S88" s="188">
        <f>IF(Q88="","",Q88*R88)</f>
        <v/>
      </c>
      <c r="T88" s="16">
        <f>IF(O88="","PENDING",IF(Q88&gt;0,"DEMURRAGE","ON-TIME"))</f>
        <v/>
      </c>
      <c r="U88" s="16">
        <f>IF(AND(E88&lt;&gt;"",M88&lt;&gt;"",M88&lt;E88),"⚠ Arr&lt;Loaded",IF(AND(M88&lt;&gt;"",N88&lt;&gt;"",N88&lt;M88),"⚠ Off&lt;Arr","OK"))</f>
        <v/>
      </c>
      <c r="V88" s="16">
        <f>IF(E88="","",TEXT(E88,"yyyy-mm"))</f>
        <v/>
      </c>
    </row>
    <row r="89">
      <c r="B89" s="16" t="n">
        <v>190664</v>
      </c>
      <c r="C89" s="16" t="inlineStr">
        <is>
          <t>190664-DEM</t>
        </is>
      </c>
      <c r="D89" s="20" t="inlineStr">
        <is>
          <t>Rubis Energy Zambia</t>
        </is>
      </c>
      <c r="E89" s="186" t="n">
        <v>46133</v>
      </c>
      <c r="F89" s="20" t="inlineStr">
        <is>
          <t>Beira</t>
        </is>
      </c>
      <c r="G89" s="20" t="inlineStr">
        <is>
          <t>Lusaka</t>
        </is>
      </c>
      <c r="H89" s="20" t="inlineStr">
        <is>
          <t>PMS</t>
        </is>
      </c>
      <c r="I89" s="20" t="inlineStr">
        <is>
          <t>ABC 277 SF</t>
        </is>
      </c>
      <c r="J89" s="20" t="inlineStr">
        <is>
          <t>AH 377 SF</t>
        </is>
      </c>
      <c r="K89" s="20" t="inlineStr">
        <is>
          <t>PETRODA</t>
        </is>
      </c>
      <c r="L89" s="20" t="inlineStr">
        <is>
          <t>ALBERTO JOSE VASCO</t>
        </is>
      </c>
      <c r="M89" s="186" t="n">
        <v>46138</v>
      </c>
      <c r="N89" s="186" t="n">
        <v>46143</v>
      </c>
      <c r="O89" s="187">
        <f>IF(OR(M89="",N89=""),"",N89-M89)</f>
        <v/>
      </c>
      <c r="P89" s="187">
        <f>IFERROR(VLOOKUP(B89,Deals[#All],7,FALSE),DEF_LAYTIME)</f>
        <v/>
      </c>
      <c r="Q89" s="187">
        <f>IF(O89="","",MAX(0,O89-P89))</f>
        <v/>
      </c>
      <c r="R89" s="188">
        <f>IFERROR(VLOOKUP(B89,Deals[#All],8,FALSE),DEF_RATE)</f>
        <v/>
      </c>
      <c r="S89" s="188">
        <f>IF(Q89="","",Q89*R89)</f>
        <v/>
      </c>
      <c r="T89" s="16">
        <f>IF(O89="","PENDING",IF(Q89&gt;0,"DEMURRAGE","ON-TIME"))</f>
        <v/>
      </c>
      <c r="U89" s="16">
        <f>IF(AND(E89&lt;&gt;"",M89&lt;&gt;"",M89&lt;E89),"⚠ Arr&lt;Loaded",IF(AND(M89&lt;&gt;"",N89&lt;&gt;"",N89&lt;M89),"⚠ Off&lt;Arr","OK"))</f>
        <v/>
      </c>
      <c r="V89" s="16">
        <f>IF(E89="","",TEXT(E89,"yyyy-mm"))</f>
        <v/>
      </c>
    </row>
    <row r="90">
      <c r="B90" s="16" t="n">
        <v>190664</v>
      </c>
      <c r="C90" s="16" t="inlineStr">
        <is>
          <t>190664-DEM</t>
        </is>
      </c>
      <c r="D90" s="20" t="inlineStr">
        <is>
          <t>Rubis Energy Zambia</t>
        </is>
      </c>
      <c r="E90" s="186" t="n">
        <v>46133</v>
      </c>
      <c r="F90" s="20" t="inlineStr">
        <is>
          <t>Beira</t>
        </is>
      </c>
      <c r="G90" s="20" t="inlineStr">
        <is>
          <t>Lusaka</t>
        </is>
      </c>
      <c r="H90" s="20" t="inlineStr">
        <is>
          <t>PMS</t>
        </is>
      </c>
      <c r="I90" s="20" t="inlineStr">
        <is>
          <t>ABC 259 SF</t>
        </is>
      </c>
      <c r="J90" s="20" t="inlineStr">
        <is>
          <t>AH 419 SF</t>
        </is>
      </c>
      <c r="K90" s="20" t="inlineStr">
        <is>
          <t>PETRODA</t>
        </is>
      </c>
      <c r="L90" s="20" t="inlineStr">
        <is>
          <t>DOMINGOS CASTIGO</t>
        </is>
      </c>
      <c r="M90" s="186" t="n">
        <v>46138</v>
      </c>
      <c r="N90" s="186" t="n">
        <v>46143</v>
      </c>
      <c r="O90" s="187">
        <f>IF(OR(M90="",N90=""),"",N90-M90)</f>
        <v/>
      </c>
      <c r="P90" s="187">
        <f>IFERROR(VLOOKUP(B90,Deals[#All],7,FALSE),DEF_LAYTIME)</f>
        <v/>
      </c>
      <c r="Q90" s="187">
        <f>IF(O90="","",MAX(0,O90-P90))</f>
        <v/>
      </c>
      <c r="R90" s="188">
        <f>IFERROR(VLOOKUP(B90,Deals[#All],8,FALSE),DEF_RATE)</f>
        <v/>
      </c>
      <c r="S90" s="188">
        <f>IF(Q90="","",Q90*R90)</f>
        <v/>
      </c>
      <c r="T90" s="16">
        <f>IF(O90="","PENDING",IF(Q90&gt;0,"DEMURRAGE","ON-TIME"))</f>
        <v/>
      </c>
      <c r="U90" s="16">
        <f>IF(AND(E90&lt;&gt;"",M90&lt;&gt;"",M90&lt;E90),"⚠ Arr&lt;Loaded",IF(AND(M90&lt;&gt;"",N90&lt;&gt;"",N90&lt;M90),"⚠ Off&lt;Arr","OK"))</f>
        <v/>
      </c>
      <c r="V90" s="16">
        <f>IF(E90="","",TEXT(E90,"yyyy-mm"))</f>
        <v/>
      </c>
    </row>
    <row r="91">
      <c r="B91" s="16" t="n">
        <v>190664</v>
      </c>
      <c r="C91" s="16" t="inlineStr">
        <is>
          <t>190664-DEM</t>
        </is>
      </c>
      <c r="D91" s="20" t="inlineStr">
        <is>
          <t>Rubis Energy Zambia</t>
        </is>
      </c>
      <c r="E91" s="186" t="n">
        <v>46133</v>
      </c>
      <c r="F91" s="20" t="inlineStr">
        <is>
          <t>Beira</t>
        </is>
      </c>
      <c r="G91" s="20" t="inlineStr">
        <is>
          <t>Lusaka</t>
        </is>
      </c>
      <c r="H91" s="20" t="inlineStr">
        <is>
          <t>PMS</t>
        </is>
      </c>
      <c r="I91" s="20" t="inlineStr">
        <is>
          <t>AKM 997 MC</t>
        </is>
      </c>
      <c r="J91" s="20" t="inlineStr">
        <is>
          <t>AH 428 MC</t>
        </is>
      </c>
      <c r="K91" s="20" t="inlineStr">
        <is>
          <t>PETRODA</t>
        </is>
      </c>
      <c r="L91" s="20" t="inlineStr">
        <is>
          <t>JOAO XAVIER LEVANHE PAULINO</t>
        </is>
      </c>
      <c r="M91" s="186" t="n">
        <v>46139</v>
      </c>
      <c r="N91" s="186" t="n">
        <v>46146</v>
      </c>
      <c r="O91" s="187">
        <f>IF(OR(M91="",N91=""),"",N91-M91)</f>
        <v/>
      </c>
      <c r="P91" s="187">
        <f>IFERROR(VLOOKUP(B91,Deals[#All],7,FALSE),DEF_LAYTIME)</f>
        <v/>
      </c>
      <c r="Q91" s="187">
        <f>IF(O91="","",MAX(0,O91-P91))</f>
        <v/>
      </c>
      <c r="R91" s="188">
        <f>IFERROR(VLOOKUP(B91,Deals[#All],8,FALSE),DEF_RATE)</f>
        <v/>
      </c>
      <c r="S91" s="188">
        <f>IF(Q91="","",Q91*R91)</f>
        <v/>
      </c>
      <c r="T91" s="16">
        <f>IF(O91="","PENDING",IF(Q91&gt;0,"DEMURRAGE","ON-TIME"))</f>
        <v/>
      </c>
      <c r="U91" s="16">
        <f>IF(AND(E91&lt;&gt;"",M91&lt;&gt;"",M91&lt;E91),"⚠ Arr&lt;Loaded",IF(AND(M91&lt;&gt;"",N91&lt;&gt;"",N91&lt;M91),"⚠ Off&lt;Arr","OK"))</f>
        <v/>
      </c>
      <c r="V91" s="16">
        <f>IF(E91="","",TEXT(E91,"yyyy-mm"))</f>
        <v/>
      </c>
    </row>
    <row r="92">
      <c r="B92" s="16" t="n">
        <v>190664</v>
      </c>
      <c r="C92" s="16" t="inlineStr">
        <is>
          <t>190664-DEM</t>
        </is>
      </c>
      <c r="D92" s="20" t="inlineStr">
        <is>
          <t>Rubis Energy Zambia</t>
        </is>
      </c>
      <c r="E92" s="186" t="n">
        <v>46133</v>
      </c>
      <c r="F92" s="20" t="inlineStr">
        <is>
          <t>Beira</t>
        </is>
      </c>
      <c r="G92" s="20" t="inlineStr">
        <is>
          <t>Lusaka</t>
        </is>
      </c>
      <c r="H92" s="20" t="inlineStr">
        <is>
          <t>PMS</t>
        </is>
      </c>
      <c r="I92" s="20" t="inlineStr">
        <is>
          <t>AKN 779 MC</t>
        </is>
      </c>
      <c r="J92" s="20" t="inlineStr">
        <is>
          <t>AH 420 MC</t>
        </is>
      </c>
      <c r="K92" s="20" t="inlineStr">
        <is>
          <t>PETRODA</t>
        </is>
      </c>
      <c r="L92" s="20" t="inlineStr">
        <is>
          <t>LOURENCO JOSE JORGE</t>
        </is>
      </c>
      <c r="M92" s="186" t="n">
        <v>46138</v>
      </c>
      <c r="N92" s="186" t="n">
        <v>46146</v>
      </c>
      <c r="O92" s="187">
        <f>IF(OR(M92="",N92=""),"",N92-M92)</f>
        <v/>
      </c>
      <c r="P92" s="187">
        <f>IFERROR(VLOOKUP(B92,Deals[#All],7,FALSE),DEF_LAYTIME)</f>
        <v/>
      </c>
      <c r="Q92" s="187">
        <f>IF(O92="","",MAX(0,O92-P92))</f>
        <v/>
      </c>
      <c r="R92" s="188">
        <f>IFERROR(VLOOKUP(B92,Deals[#All],8,FALSE),DEF_RATE)</f>
        <v/>
      </c>
      <c r="S92" s="188">
        <f>IF(Q92="","",Q92*R92)</f>
        <v/>
      </c>
      <c r="T92" s="16">
        <f>IF(O92="","PENDING",IF(Q92&gt;0,"DEMURRAGE","ON-TIME"))</f>
        <v/>
      </c>
      <c r="U92" s="16">
        <f>IF(AND(E92&lt;&gt;"",M92&lt;&gt;"",M92&lt;E92),"⚠ Arr&lt;Loaded",IF(AND(M92&lt;&gt;"",N92&lt;&gt;"",N92&lt;M92),"⚠ Off&lt;Arr","OK"))</f>
        <v/>
      </c>
      <c r="V92" s="16">
        <f>IF(E92="","",TEXT(E92,"yyyy-mm"))</f>
        <v/>
      </c>
    </row>
    <row r="93">
      <c r="B93" s="16" t="n">
        <v>190664</v>
      </c>
      <c r="C93" s="16" t="inlineStr">
        <is>
          <t>190664-DEM</t>
        </is>
      </c>
      <c r="D93" s="20" t="inlineStr">
        <is>
          <t>Rubis Energy Zambia</t>
        </is>
      </c>
      <c r="E93" s="186" t="n">
        <v>46133</v>
      </c>
      <c r="F93" s="20" t="inlineStr">
        <is>
          <t>Beira</t>
        </is>
      </c>
      <c r="G93" s="20" t="inlineStr">
        <is>
          <t>Lusaka</t>
        </is>
      </c>
      <c r="H93" s="20" t="inlineStr">
        <is>
          <t>PMS</t>
        </is>
      </c>
      <c r="I93" s="20" t="inlineStr">
        <is>
          <t>ABC 292 SF</t>
        </is>
      </c>
      <c r="J93" s="20" t="inlineStr">
        <is>
          <t>AH 402 SF</t>
        </is>
      </c>
      <c r="K93" s="20" t="inlineStr">
        <is>
          <t>PETRODA</t>
        </is>
      </c>
      <c r="L93" s="20" t="inlineStr">
        <is>
          <t>BONIFACIO BYSON MALEFULA</t>
        </is>
      </c>
      <c r="M93" s="186" t="n">
        <v>46139</v>
      </c>
      <c r="N93" s="186" t="n">
        <v>46143</v>
      </c>
      <c r="O93" s="187">
        <f>IF(OR(M93="",N93=""),"",N93-M93)</f>
        <v/>
      </c>
      <c r="P93" s="187">
        <f>IFERROR(VLOOKUP(B93,Deals[#All],7,FALSE),DEF_LAYTIME)</f>
        <v/>
      </c>
      <c r="Q93" s="187">
        <f>IF(O93="","",MAX(0,O93-P93))</f>
        <v/>
      </c>
      <c r="R93" s="188">
        <f>IFERROR(VLOOKUP(B93,Deals[#All],8,FALSE),DEF_RATE)</f>
        <v/>
      </c>
      <c r="S93" s="188">
        <f>IF(Q93="","",Q93*R93)</f>
        <v/>
      </c>
      <c r="T93" s="16">
        <f>IF(O93="","PENDING",IF(Q93&gt;0,"DEMURRAGE","ON-TIME"))</f>
        <v/>
      </c>
      <c r="U93" s="16">
        <f>IF(AND(E93&lt;&gt;"",M93&lt;&gt;"",M93&lt;E93),"⚠ Arr&lt;Loaded",IF(AND(M93&lt;&gt;"",N93&lt;&gt;"",N93&lt;M93),"⚠ Off&lt;Arr","OK"))</f>
        <v/>
      </c>
      <c r="V93" s="16">
        <f>IF(E93="","",TEXT(E93,"yyyy-mm"))</f>
        <v/>
      </c>
    </row>
    <row r="94">
      <c r="B94" s="16" t="n">
        <v>190664</v>
      </c>
      <c r="C94" s="16" t="inlineStr">
        <is>
          <t>190664-DEM</t>
        </is>
      </c>
      <c r="D94" s="20" t="inlineStr">
        <is>
          <t>Rubis Energy Zambia</t>
        </is>
      </c>
      <c r="E94" s="186" t="n">
        <v>46133</v>
      </c>
      <c r="F94" s="20" t="inlineStr">
        <is>
          <t>Beira</t>
        </is>
      </c>
      <c r="G94" s="20" t="inlineStr">
        <is>
          <t>Lusaka</t>
        </is>
      </c>
      <c r="H94" s="20" t="inlineStr">
        <is>
          <t>PMS</t>
        </is>
      </c>
      <c r="I94" s="20" t="inlineStr">
        <is>
          <t>ABC 280 SF</t>
        </is>
      </c>
      <c r="J94" s="20" t="inlineStr">
        <is>
          <t>AH 380 SF</t>
        </is>
      </c>
      <c r="K94" s="20" t="inlineStr">
        <is>
          <t>PETRODA</t>
        </is>
      </c>
      <c r="L94" s="20" t="inlineStr">
        <is>
          <t>FERNANDO ULISSONE FERNANDO MATANDIRE</t>
        </is>
      </c>
      <c r="M94" s="186" t="n">
        <v>46138</v>
      </c>
      <c r="N94" s="186" t="n">
        <v>46143</v>
      </c>
      <c r="O94" s="187">
        <f>IF(OR(M94="",N94=""),"",N94-M94)</f>
        <v/>
      </c>
      <c r="P94" s="187">
        <f>IFERROR(VLOOKUP(B94,Deals[#All],7,FALSE),DEF_LAYTIME)</f>
        <v/>
      </c>
      <c r="Q94" s="187">
        <f>IF(O94="","",MAX(0,O94-P94))</f>
        <v/>
      </c>
      <c r="R94" s="188">
        <f>IFERROR(VLOOKUP(B94,Deals[#All],8,FALSE),DEF_RATE)</f>
        <v/>
      </c>
      <c r="S94" s="188">
        <f>IF(Q94="","",Q94*R94)</f>
        <v/>
      </c>
      <c r="T94" s="16">
        <f>IF(O94="","PENDING",IF(Q94&gt;0,"DEMURRAGE","ON-TIME"))</f>
        <v/>
      </c>
      <c r="U94" s="16">
        <f>IF(AND(E94&lt;&gt;"",M94&lt;&gt;"",M94&lt;E94),"⚠ Arr&lt;Loaded",IF(AND(M94&lt;&gt;"",N94&lt;&gt;"",N94&lt;M94),"⚠ Off&lt;Arr","OK"))</f>
        <v/>
      </c>
      <c r="V94" s="16">
        <f>IF(E94="","",TEXT(E94,"yyyy-mm"))</f>
        <v/>
      </c>
    </row>
    <row r="95">
      <c r="B95" s="16" t="n">
        <v>190664</v>
      </c>
      <c r="C95" s="16" t="inlineStr">
        <is>
          <t>190664-DEM</t>
        </is>
      </c>
      <c r="D95" s="20" t="inlineStr">
        <is>
          <t>Rubis Energy Zambia</t>
        </is>
      </c>
      <c r="E95" s="186" t="n">
        <v>46132</v>
      </c>
      <c r="F95" s="20" t="inlineStr">
        <is>
          <t>Beira</t>
        </is>
      </c>
      <c r="G95" s="20" t="inlineStr">
        <is>
          <t>Lusaka</t>
        </is>
      </c>
      <c r="H95" s="20" t="inlineStr">
        <is>
          <t>PMS</t>
        </is>
      </c>
      <c r="I95" s="20" t="inlineStr">
        <is>
          <t>ABC 274 SF</t>
        </is>
      </c>
      <c r="J95" s="20" t="inlineStr">
        <is>
          <t>AH 379 SF</t>
        </is>
      </c>
      <c r="K95" s="20" t="inlineStr">
        <is>
          <t>PETRODA</t>
        </is>
      </c>
      <c r="L95" s="20" t="inlineStr">
        <is>
          <t xml:space="preserve">MATEUS VASCO ZAMBO </t>
        </is>
      </c>
      <c r="M95" s="186" t="n">
        <v>46138</v>
      </c>
      <c r="N95" s="186" t="n">
        <v>46146</v>
      </c>
      <c r="O95" s="187">
        <f>IF(OR(M95="",N95=""),"",N95-M95)</f>
        <v/>
      </c>
      <c r="P95" s="187">
        <f>IFERROR(VLOOKUP(B95,Deals[#All],7,FALSE),DEF_LAYTIME)</f>
        <v/>
      </c>
      <c r="Q95" s="187">
        <f>IF(O95="","",MAX(0,O95-P95))</f>
        <v/>
      </c>
      <c r="R95" s="188">
        <f>IFERROR(VLOOKUP(B95,Deals[#All],8,FALSE),DEF_RATE)</f>
        <v/>
      </c>
      <c r="S95" s="188">
        <f>IF(Q95="","",Q95*R95)</f>
        <v/>
      </c>
      <c r="T95" s="16">
        <f>IF(O95="","PENDING",IF(Q95&gt;0,"DEMURRAGE","ON-TIME"))</f>
        <v/>
      </c>
      <c r="U95" s="16">
        <f>IF(AND(E95&lt;&gt;"",M95&lt;&gt;"",M95&lt;E95),"⚠ Arr&lt;Loaded",IF(AND(M95&lt;&gt;"",N95&lt;&gt;"",N95&lt;M95),"⚠ Off&lt;Arr","OK"))</f>
        <v/>
      </c>
      <c r="V95" s="16">
        <f>IF(E95="","",TEXT(E95,"yyyy-mm"))</f>
        <v/>
      </c>
    </row>
    <row r="96">
      <c r="B96" s="16" t="n">
        <v>190664</v>
      </c>
      <c r="C96" s="16" t="inlineStr">
        <is>
          <t>190664-DEM</t>
        </is>
      </c>
      <c r="D96" s="20" t="inlineStr">
        <is>
          <t>Rubis Energy Zambia</t>
        </is>
      </c>
      <c r="E96" s="186" t="n">
        <v>46133</v>
      </c>
      <c r="F96" s="20" t="inlineStr">
        <is>
          <t>Beira</t>
        </is>
      </c>
      <c r="G96" s="20" t="inlineStr">
        <is>
          <t>Lusaka</t>
        </is>
      </c>
      <c r="H96" s="20" t="inlineStr">
        <is>
          <t>PMS</t>
        </is>
      </c>
      <c r="I96" s="20" t="inlineStr">
        <is>
          <t>AKM 999 MC</t>
        </is>
      </c>
      <c r="J96" s="20" t="inlineStr">
        <is>
          <t>AH 416 MC</t>
        </is>
      </c>
      <c r="K96" s="20" t="inlineStr">
        <is>
          <t>PETRODA</t>
        </is>
      </c>
      <c r="L96" s="20" t="inlineStr">
        <is>
          <t>TAIBO RATO KANO</t>
        </is>
      </c>
      <c r="M96" s="186" t="n">
        <v>46139</v>
      </c>
      <c r="N96" s="186" t="n">
        <v>46147</v>
      </c>
      <c r="O96" s="187">
        <f>IF(OR(M96="",N96=""),"",N96-M96)</f>
        <v/>
      </c>
      <c r="P96" s="187">
        <f>IFERROR(VLOOKUP(B96,Deals[#All],7,FALSE),DEF_LAYTIME)</f>
        <v/>
      </c>
      <c r="Q96" s="187">
        <f>IF(O96="","",MAX(0,O96-P96))</f>
        <v/>
      </c>
      <c r="R96" s="188">
        <f>IFERROR(VLOOKUP(B96,Deals[#All],8,FALSE),DEF_RATE)</f>
        <v/>
      </c>
      <c r="S96" s="188">
        <f>IF(Q96="","",Q96*R96)</f>
        <v/>
      </c>
      <c r="T96" s="16">
        <f>IF(O96="","PENDING",IF(Q96&gt;0,"DEMURRAGE","ON-TIME"))</f>
        <v/>
      </c>
      <c r="U96" s="16">
        <f>IF(AND(E96&lt;&gt;"",M96&lt;&gt;"",M96&lt;E96),"⚠ Arr&lt;Loaded",IF(AND(M96&lt;&gt;"",N96&lt;&gt;"",N96&lt;M96),"⚠ Off&lt;Arr","OK"))</f>
        <v/>
      </c>
      <c r="V96" s="16">
        <f>IF(E96="","",TEXT(E96,"yyyy-mm"))</f>
        <v/>
      </c>
    </row>
    <row r="97">
      <c r="B97" s="16" t="n">
        <v>190664</v>
      </c>
      <c r="C97" s="16" t="inlineStr">
        <is>
          <t>190664-DEM</t>
        </is>
      </c>
      <c r="D97" s="20" t="inlineStr">
        <is>
          <t>Rubis Energy Zambia</t>
        </is>
      </c>
      <c r="E97" s="186" t="n">
        <v>46132</v>
      </c>
      <c r="F97" s="20" t="inlineStr">
        <is>
          <t>Beira</t>
        </is>
      </c>
      <c r="G97" s="20" t="inlineStr">
        <is>
          <t>Lusaka</t>
        </is>
      </c>
      <c r="H97" s="20" t="inlineStr">
        <is>
          <t>PMS</t>
        </is>
      </c>
      <c r="I97" s="20" t="inlineStr">
        <is>
          <t>AKN 012 MC</t>
        </is>
      </c>
      <c r="J97" s="20" t="inlineStr">
        <is>
          <t>AH 432 MC</t>
        </is>
      </c>
      <c r="K97" s="20" t="inlineStr">
        <is>
          <t>PETRODA</t>
        </is>
      </c>
      <c r="L97" s="20" t="inlineStr">
        <is>
          <t>JOSSIA RESENDE NHONE</t>
        </is>
      </c>
      <c r="M97" s="186" t="n">
        <v>46138</v>
      </c>
      <c r="N97" s="186" t="n">
        <v>46150</v>
      </c>
      <c r="O97" s="187">
        <f>IF(OR(M97="",N97=""),"",N97-M97)</f>
        <v/>
      </c>
      <c r="P97" s="187">
        <f>IFERROR(VLOOKUP(B97,Deals[#All],7,FALSE),DEF_LAYTIME)</f>
        <v/>
      </c>
      <c r="Q97" s="187">
        <f>IF(O97="","",MAX(0,O97-P97))</f>
        <v/>
      </c>
      <c r="R97" s="188">
        <f>IFERROR(VLOOKUP(B97,Deals[#All],8,FALSE),DEF_RATE)</f>
        <v/>
      </c>
      <c r="S97" s="188">
        <f>IF(Q97="","",Q97*R97)</f>
        <v/>
      </c>
      <c r="T97" s="16">
        <f>IF(O97="","PENDING",IF(Q97&gt;0,"DEMURRAGE","ON-TIME"))</f>
        <v/>
      </c>
      <c r="U97" s="16">
        <f>IF(AND(E97&lt;&gt;"",M97&lt;&gt;"",M97&lt;E97),"⚠ Arr&lt;Loaded",IF(AND(M97&lt;&gt;"",N97&lt;&gt;"",N97&lt;M97),"⚠ Off&lt;Arr","OK"))</f>
        <v/>
      </c>
      <c r="V97" s="16">
        <f>IF(E97="","",TEXT(E97,"yyyy-mm"))</f>
        <v/>
      </c>
    </row>
    <row r="98">
      <c r="B98" s="16" t="n">
        <v>190664</v>
      </c>
      <c r="C98" s="16" t="inlineStr">
        <is>
          <t>190664-DEM</t>
        </is>
      </c>
      <c r="D98" s="20" t="inlineStr">
        <is>
          <t>Rubis Energy Zambia</t>
        </is>
      </c>
      <c r="E98" s="186" t="n">
        <v>46132</v>
      </c>
      <c r="F98" s="20" t="inlineStr">
        <is>
          <t>Beira</t>
        </is>
      </c>
      <c r="G98" s="20" t="inlineStr">
        <is>
          <t>Lusaka</t>
        </is>
      </c>
      <c r="H98" s="20" t="inlineStr">
        <is>
          <t>PMS</t>
        </is>
      </c>
      <c r="I98" s="20" t="inlineStr">
        <is>
          <t>ABC 294 SF</t>
        </is>
      </c>
      <c r="J98" s="20" t="inlineStr">
        <is>
          <t>AH 422 SF</t>
        </is>
      </c>
      <c r="K98" s="20" t="inlineStr">
        <is>
          <t>PETRODA</t>
        </is>
      </c>
      <c r="L98" s="20" t="inlineStr">
        <is>
          <t>IVAN MANUEL AMADE JOAQUIM</t>
        </is>
      </c>
      <c r="M98" s="186" t="n">
        <v>46138</v>
      </c>
      <c r="N98" s="186" t="n">
        <v>46150</v>
      </c>
      <c r="O98" s="187">
        <f>IF(OR(M98="",N98=""),"",N98-M98)</f>
        <v/>
      </c>
      <c r="P98" s="187">
        <f>IFERROR(VLOOKUP(B98,Deals[#All],7,FALSE),DEF_LAYTIME)</f>
        <v/>
      </c>
      <c r="Q98" s="187">
        <f>IF(O98="","",MAX(0,O98-P98))</f>
        <v/>
      </c>
      <c r="R98" s="188">
        <f>IFERROR(VLOOKUP(B98,Deals[#All],8,FALSE),DEF_RATE)</f>
        <v/>
      </c>
      <c r="S98" s="188">
        <f>IF(Q98="","",Q98*R98)</f>
        <v/>
      </c>
      <c r="T98" s="16">
        <f>IF(O98="","PENDING",IF(Q98&gt;0,"DEMURRAGE","ON-TIME"))</f>
        <v/>
      </c>
      <c r="U98" s="16">
        <f>IF(AND(E98&lt;&gt;"",M98&lt;&gt;"",M98&lt;E98),"⚠ Arr&lt;Loaded",IF(AND(M98&lt;&gt;"",N98&lt;&gt;"",N98&lt;M98),"⚠ Off&lt;Arr","OK"))</f>
        <v/>
      </c>
      <c r="V98" s="16">
        <f>IF(E98="","",TEXT(E98,"yyyy-mm"))</f>
        <v/>
      </c>
    </row>
    <row r="99">
      <c r="B99" s="16" t="n">
        <v>190664</v>
      </c>
      <c r="C99" s="16" t="inlineStr">
        <is>
          <t>190664-DEM</t>
        </is>
      </c>
      <c r="D99" s="20" t="inlineStr">
        <is>
          <t>Rubis Energy Zambia</t>
        </is>
      </c>
      <c r="E99" s="186" t="n">
        <v>46132</v>
      </c>
      <c r="F99" s="20" t="inlineStr">
        <is>
          <t>Beira</t>
        </is>
      </c>
      <c r="G99" s="20" t="inlineStr">
        <is>
          <t>Lusaka</t>
        </is>
      </c>
      <c r="H99" s="20" t="inlineStr">
        <is>
          <t>PMS</t>
        </is>
      </c>
      <c r="I99" s="20" t="inlineStr">
        <is>
          <t>ABC 252 SF</t>
        </is>
      </c>
      <c r="J99" s="20" t="inlineStr">
        <is>
          <t>AH 387 SF</t>
        </is>
      </c>
      <c r="K99" s="20" t="inlineStr">
        <is>
          <t>PETRODA</t>
        </is>
      </c>
      <c r="L99" s="20" t="inlineStr">
        <is>
          <t>PEREIRA FERNANDO ARGOLA</t>
        </is>
      </c>
      <c r="M99" s="186" t="n">
        <v>46138</v>
      </c>
      <c r="N99" s="186" t="n">
        <v>46143</v>
      </c>
      <c r="O99" s="187">
        <f>IF(OR(M99="",N99=""),"",N99-M99)</f>
        <v/>
      </c>
      <c r="P99" s="187">
        <f>IFERROR(VLOOKUP(B99,Deals[#All],7,FALSE),DEF_LAYTIME)</f>
        <v/>
      </c>
      <c r="Q99" s="187">
        <f>IF(O99="","",MAX(0,O99-P99))</f>
        <v/>
      </c>
      <c r="R99" s="188">
        <f>IFERROR(VLOOKUP(B99,Deals[#All],8,FALSE),DEF_RATE)</f>
        <v/>
      </c>
      <c r="S99" s="188">
        <f>IF(Q99="","",Q99*R99)</f>
        <v/>
      </c>
      <c r="T99" s="16">
        <f>IF(O99="","PENDING",IF(Q99&gt;0,"DEMURRAGE","ON-TIME"))</f>
        <v/>
      </c>
      <c r="U99" s="16">
        <f>IF(AND(E99&lt;&gt;"",M99&lt;&gt;"",M99&lt;E99),"⚠ Arr&lt;Loaded",IF(AND(M99&lt;&gt;"",N99&lt;&gt;"",N99&lt;M99),"⚠ Off&lt;Arr","OK"))</f>
        <v/>
      </c>
      <c r="V99" s="16">
        <f>IF(E99="","",TEXT(E99,"yyyy-mm"))</f>
        <v/>
      </c>
    </row>
    <row r="100">
      <c r="B100" s="16" t="n">
        <v>190664</v>
      </c>
      <c r="C100" s="16" t="inlineStr">
        <is>
          <t>190664-DEM</t>
        </is>
      </c>
      <c r="D100" s="20" t="inlineStr">
        <is>
          <t>Rubis Energy Zambia</t>
        </is>
      </c>
      <c r="E100" s="186" t="n">
        <v>46133</v>
      </c>
      <c r="F100" s="20" t="inlineStr">
        <is>
          <t>Beira</t>
        </is>
      </c>
      <c r="G100" s="20" t="inlineStr">
        <is>
          <t>Lusaka</t>
        </is>
      </c>
      <c r="H100" s="20" t="inlineStr">
        <is>
          <t>PMS</t>
        </is>
      </c>
      <c r="I100" s="20" t="inlineStr">
        <is>
          <t>AKN 006 MC</t>
        </is>
      </c>
      <c r="J100" s="20" t="inlineStr">
        <is>
          <t>AH 457 MC</t>
        </is>
      </c>
      <c r="K100" s="20" t="inlineStr">
        <is>
          <t>PETRODA</t>
        </is>
      </c>
      <c r="L100" s="20" t="inlineStr">
        <is>
          <t>GILDO LUIS DE SOUSA</t>
        </is>
      </c>
      <c r="M100" s="186" t="n">
        <v>46139</v>
      </c>
      <c r="N100" s="186" t="n">
        <v>46146</v>
      </c>
      <c r="O100" s="187">
        <f>IF(OR(M100="",N100=""),"",N100-M100)</f>
        <v/>
      </c>
      <c r="P100" s="187">
        <f>IFERROR(VLOOKUP(B100,Deals[#All],7,FALSE),DEF_LAYTIME)</f>
        <v/>
      </c>
      <c r="Q100" s="187">
        <f>IF(O100="","",MAX(0,O100-P100))</f>
        <v/>
      </c>
      <c r="R100" s="188">
        <f>IFERROR(VLOOKUP(B100,Deals[#All],8,FALSE),DEF_RATE)</f>
        <v/>
      </c>
      <c r="S100" s="188">
        <f>IF(Q100="","",Q100*R100)</f>
        <v/>
      </c>
      <c r="T100" s="16">
        <f>IF(O100="","PENDING",IF(Q100&gt;0,"DEMURRAGE","ON-TIME"))</f>
        <v/>
      </c>
      <c r="U100" s="16">
        <f>IF(AND(E100&lt;&gt;"",M100&lt;&gt;"",M100&lt;E100),"⚠ Arr&lt;Loaded",IF(AND(M100&lt;&gt;"",N100&lt;&gt;"",N100&lt;M100),"⚠ Off&lt;Arr","OK"))</f>
        <v/>
      </c>
      <c r="V100" s="16">
        <f>IF(E100="","",TEXT(E100,"yyyy-mm"))</f>
        <v/>
      </c>
    </row>
    <row r="101">
      <c r="B101" s="16" t="n">
        <v>190664</v>
      </c>
      <c r="C101" s="16" t="inlineStr">
        <is>
          <t>190664-DEM</t>
        </is>
      </c>
      <c r="D101" s="20" t="inlineStr">
        <is>
          <t>Rubis Energy Zambia</t>
        </is>
      </c>
      <c r="E101" s="186" t="n">
        <v>46137</v>
      </c>
      <c r="F101" s="20" t="inlineStr">
        <is>
          <t>Beira</t>
        </is>
      </c>
      <c r="G101" s="20" t="inlineStr">
        <is>
          <t>Lusaka</t>
        </is>
      </c>
      <c r="H101" s="20" t="inlineStr">
        <is>
          <t>PMS</t>
        </is>
      </c>
      <c r="I101" s="20" t="inlineStr">
        <is>
          <t>ABC 283 SF</t>
        </is>
      </c>
      <c r="J101" s="20" t="inlineStr">
        <is>
          <t>AH 383 SF</t>
        </is>
      </c>
      <c r="K101" s="20" t="inlineStr">
        <is>
          <t>PETRODA</t>
        </is>
      </c>
      <c r="L101" s="20" t="inlineStr">
        <is>
          <t>WILIAMO BRITO MALISSIE</t>
        </is>
      </c>
      <c r="M101" s="186" t="n">
        <v>46142</v>
      </c>
      <c r="N101" s="186" t="n">
        <v>46148</v>
      </c>
      <c r="O101" s="187">
        <f>IF(OR(M101="",N101=""),"",N101-M101)</f>
        <v/>
      </c>
      <c r="P101" s="187">
        <f>IFERROR(VLOOKUP(B101,Deals[#All],7,FALSE),DEF_LAYTIME)</f>
        <v/>
      </c>
      <c r="Q101" s="187">
        <f>IF(O101="","",MAX(0,O101-P101))</f>
        <v/>
      </c>
      <c r="R101" s="188">
        <f>IFERROR(VLOOKUP(B101,Deals[#All],8,FALSE),DEF_RATE)</f>
        <v/>
      </c>
      <c r="S101" s="188">
        <f>IF(Q101="","",Q101*R101)</f>
        <v/>
      </c>
      <c r="T101" s="16">
        <f>IF(O101="","PENDING",IF(Q101&gt;0,"DEMURRAGE","ON-TIME"))</f>
        <v/>
      </c>
      <c r="U101" s="16">
        <f>IF(AND(E101&lt;&gt;"",M101&lt;&gt;"",M101&lt;E101),"⚠ Arr&lt;Loaded",IF(AND(M101&lt;&gt;"",N101&lt;&gt;"",N101&lt;M101),"⚠ Off&lt;Arr","OK"))</f>
        <v/>
      </c>
      <c r="V101" s="16">
        <f>IF(E101="","",TEXT(E101,"yyyy-mm"))</f>
        <v/>
      </c>
    </row>
    <row r="102">
      <c r="B102" s="16" t="n">
        <v>190664</v>
      </c>
      <c r="C102" s="16" t="inlineStr">
        <is>
          <t>190664-DEM</t>
        </is>
      </c>
      <c r="D102" s="20" t="inlineStr">
        <is>
          <t>Rubis Energy Zambia</t>
        </is>
      </c>
      <c r="E102" s="186" t="n">
        <v>46134</v>
      </c>
      <c r="F102" s="20" t="inlineStr">
        <is>
          <t>Beira</t>
        </is>
      </c>
      <c r="G102" s="20" t="inlineStr">
        <is>
          <t>Lusaka</t>
        </is>
      </c>
      <c r="H102" s="20" t="inlineStr">
        <is>
          <t>PMS</t>
        </is>
      </c>
      <c r="I102" s="20" t="inlineStr">
        <is>
          <t>ABC 236 SF</t>
        </is>
      </c>
      <c r="J102" s="20" t="inlineStr">
        <is>
          <t>AH 376 SF</t>
        </is>
      </c>
      <c r="K102" s="20" t="inlineStr">
        <is>
          <t>PETRODA</t>
        </is>
      </c>
      <c r="L102" s="20" t="inlineStr">
        <is>
          <t>ADILSON DOMINGOS JOSE</t>
        </is>
      </c>
      <c r="M102" s="186" t="n">
        <v>46140</v>
      </c>
      <c r="N102" s="186" t="n">
        <v>46142</v>
      </c>
      <c r="O102" s="187">
        <f>IF(OR(M102="",N102=""),"",N102-M102)</f>
        <v/>
      </c>
      <c r="P102" s="187">
        <f>IFERROR(VLOOKUP(B102,Deals[#All],7,FALSE),DEF_LAYTIME)</f>
        <v/>
      </c>
      <c r="Q102" s="187">
        <f>IF(O102="","",MAX(0,O102-P102))</f>
        <v/>
      </c>
      <c r="R102" s="188">
        <f>IFERROR(VLOOKUP(B102,Deals[#All],8,FALSE),DEF_RATE)</f>
        <v/>
      </c>
      <c r="S102" s="188">
        <f>IF(Q102="","",Q102*R102)</f>
        <v/>
      </c>
      <c r="T102" s="16">
        <f>IF(O102="","PENDING",IF(Q102&gt;0,"DEMURRAGE","ON-TIME"))</f>
        <v/>
      </c>
      <c r="U102" s="16">
        <f>IF(AND(E102&lt;&gt;"",M102&lt;&gt;"",M102&lt;E102),"⚠ Arr&lt;Loaded",IF(AND(M102&lt;&gt;"",N102&lt;&gt;"",N102&lt;M102),"⚠ Off&lt;Arr","OK"))</f>
        <v/>
      </c>
      <c r="V102" s="16">
        <f>IF(E102="","",TEXT(E102,"yyyy-mm"))</f>
        <v/>
      </c>
    </row>
    <row r="103">
      <c r="B103" s="16" t="n">
        <v>190664</v>
      </c>
      <c r="C103" s="16" t="inlineStr">
        <is>
          <t>190664-DEM</t>
        </is>
      </c>
      <c r="D103" s="20" t="inlineStr">
        <is>
          <t>Rubis Energy Zambia</t>
        </is>
      </c>
      <c r="E103" s="186" t="n">
        <v>46143</v>
      </c>
      <c r="F103" s="20" t="inlineStr">
        <is>
          <t>Beira</t>
        </is>
      </c>
      <c r="G103" s="20" t="inlineStr">
        <is>
          <t>Lusaka</t>
        </is>
      </c>
      <c r="H103" s="20" t="inlineStr">
        <is>
          <t>PMS</t>
        </is>
      </c>
      <c r="I103" s="20" t="inlineStr">
        <is>
          <t>AKO 283 MC</t>
        </is>
      </c>
      <c r="J103" s="20" t="inlineStr">
        <is>
          <t>AH 446 MC</t>
        </is>
      </c>
      <c r="K103" s="20" t="inlineStr">
        <is>
          <t>PETRODA</t>
        </is>
      </c>
      <c r="L103" s="20" t="inlineStr">
        <is>
          <t>ANTONIO EFREMO ANDICENE</t>
        </is>
      </c>
      <c r="M103" s="186" t="n">
        <v>46148</v>
      </c>
      <c r="N103" s="186" t="n">
        <v>46148</v>
      </c>
      <c r="O103" s="187">
        <f>IF(OR(M103="",N103=""),"",N103-M103)</f>
        <v/>
      </c>
      <c r="P103" s="187">
        <f>IFERROR(VLOOKUP(B103,Deals[#All],7,FALSE),DEF_LAYTIME)</f>
        <v/>
      </c>
      <c r="Q103" s="187">
        <f>IF(O103="","",MAX(0,O103-P103))</f>
        <v/>
      </c>
      <c r="R103" s="188">
        <f>IFERROR(VLOOKUP(B103,Deals[#All],8,FALSE),DEF_RATE)</f>
        <v/>
      </c>
      <c r="S103" s="188">
        <f>IF(Q103="","",Q103*R103)</f>
        <v/>
      </c>
      <c r="T103" s="16">
        <f>IF(O103="","PENDING",IF(Q103&gt;0,"DEMURRAGE","ON-TIME"))</f>
        <v/>
      </c>
      <c r="U103" s="16">
        <f>IF(AND(E103&lt;&gt;"",M103&lt;&gt;"",M103&lt;E103),"⚠ Arr&lt;Loaded",IF(AND(M103&lt;&gt;"",N103&lt;&gt;"",N103&lt;M103),"⚠ Off&lt;Arr","OK"))</f>
        <v/>
      </c>
      <c r="V103" s="16">
        <f>IF(E103="","",TEXT(E103,"yyyy-mm"))</f>
        <v/>
      </c>
    </row>
    <row r="104">
      <c r="B104" s="16" t="n">
        <v>190664</v>
      </c>
      <c r="C104" s="16" t="inlineStr">
        <is>
          <t>190664-DEM</t>
        </is>
      </c>
      <c r="D104" s="20" t="inlineStr">
        <is>
          <t>Rubis Energy Zambia</t>
        </is>
      </c>
      <c r="E104" s="186" t="n">
        <v>46134</v>
      </c>
      <c r="F104" s="20" t="inlineStr">
        <is>
          <t>Beira</t>
        </is>
      </c>
      <c r="G104" s="20" t="inlineStr">
        <is>
          <t>Lusaka</t>
        </is>
      </c>
      <c r="H104" s="20" t="inlineStr">
        <is>
          <t>PMS</t>
        </is>
      </c>
      <c r="I104" s="20" t="inlineStr">
        <is>
          <t>AKN 854 MC</t>
        </is>
      </c>
      <c r="J104" s="20" t="inlineStr">
        <is>
          <t>AH 423 MC</t>
        </is>
      </c>
      <c r="K104" s="20" t="inlineStr">
        <is>
          <t>PETRODA</t>
        </is>
      </c>
      <c r="L104" s="20" t="inlineStr">
        <is>
          <t>YONA MARCOS ABILIO</t>
        </is>
      </c>
      <c r="M104" s="186" t="n">
        <v>46140</v>
      </c>
      <c r="N104" s="186" t="n">
        <v>46142</v>
      </c>
      <c r="O104" s="187">
        <f>IF(OR(M104="",N104=""),"",N104-M104)</f>
        <v/>
      </c>
      <c r="P104" s="187">
        <f>IFERROR(VLOOKUP(B104,Deals[#All],7,FALSE),DEF_LAYTIME)</f>
        <v/>
      </c>
      <c r="Q104" s="187">
        <f>IF(O104="","",MAX(0,O104-P104))</f>
        <v/>
      </c>
      <c r="R104" s="188">
        <f>IFERROR(VLOOKUP(B104,Deals[#All],8,FALSE),DEF_RATE)</f>
        <v/>
      </c>
      <c r="S104" s="188">
        <f>IF(Q104="","",Q104*R104)</f>
        <v/>
      </c>
      <c r="T104" s="16">
        <f>IF(O104="","PENDING",IF(Q104&gt;0,"DEMURRAGE","ON-TIME"))</f>
        <v/>
      </c>
      <c r="U104" s="16">
        <f>IF(AND(E104&lt;&gt;"",M104&lt;&gt;"",M104&lt;E104),"⚠ Arr&lt;Loaded",IF(AND(M104&lt;&gt;"",N104&lt;&gt;"",N104&lt;M104),"⚠ Off&lt;Arr","OK"))</f>
        <v/>
      </c>
      <c r="V104" s="16">
        <f>IF(E104="","",TEXT(E104,"yyyy-mm"))</f>
        <v/>
      </c>
    </row>
    <row r="105">
      <c r="B105" s="16" t="n">
        <v>190664</v>
      </c>
      <c r="C105" s="16" t="inlineStr">
        <is>
          <t>190664-DEM</t>
        </is>
      </c>
      <c r="D105" s="20" t="inlineStr">
        <is>
          <t>Rubis Energy Zambia</t>
        </is>
      </c>
      <c r="E105" s="186" t="n">
        <v>46141</v>
      </c>
      <c r="F105" s="20" t="inlineStr">
        <is>
          <t>Beira</t>
        </is>
      </c>
      <c r="G105" s="20" t="inlineStr">
        <is>
          <t>Lusaka</t>
        </is>
      </c>
      <c r="H105" s="20" t="inlineStr">
        <is>
          <t>PMS</t>
        </is>
      </c>
      <c r="I105" s="20" t="inlineStr">
        <is>
          <t>AKN 461MC</t>
        </is>
      </c>
      <c r="J105" s="20" t="inlineStr">
        <is>
          <t>AH 425 MC</t>
        </is>
      </c>
      <c r="K105" s="20" t="inlineStr">
        <is>
          <t>PETRODA</t>
        </is>
      </c>
      <c r="L105" s="20" t="inlineStr">
        <is>
          <t>BLESSING LINOS NDENGUMA</t>
        </is>
      </c>
      <c r="M105" s="186" t="n">
        <v>46145</v>
      </c>
      <c r="N105" s="186" t="n">
        <v>46146</v>
      </c>
      <c r="O105" s="187">
        <f>IF(OR(M105="",N105=""),"",N105-M105)</f>
        <v/>
      </c>
      <c r="P105" s="187">
        <f>IFERROR(VLOOKUP(B105,Deals[#All],7,FALSE),DEF_LAYTIME)</f>
        <v/>
      </c>
      <c r="Q105" s="187">
        <f>IF(O105="","",MAX(0,O105-P105))</f>
        <v/>
      </c>
      <c r="R105" s="188">
        <f>IFERROR(VLOOKUP(B105,Deals[#All],8,FALSE),DEF_RATE)</f>
        <v/>
      </c>
      <c r="S105" s="188">
        <f>IF(Q105="","",Q105*R105)</f>
        <v/>
      </c>
      <c r="T105" s="16">
        <f>IF(O105="","PENDING",IF(Q105&gt;0,"DEMURRAGE","ON-TIME"))</f>
        <v/>
      </c>
      <c r="U105" s="16">
        <f>IF(AND(E105&lt;&gt;"",M105&lt;&gt;"",M105&lt;E105),"⚠ Arr&lt;Loaded",IF(AND(M105&lt;&gt;"",N105&lt;&gt;"",N105&lt;M105),"⚠ Off&lt;Arr","OK"))</f>
        <v/>
      </c>
      <c r="V105" s="16">
        <f>IF(E105="","",TEXT(E105,"yyyy-mm"))</f>
        <v/>
      </c>
    </row>
    <row r="106">
      <c r="B106" s="16" t="n">
        <v>190664</v>
      </c>
      <c r="C106" s="16" t="inlineStr">
        <is>
          <t>190664-DEM</t>
        </is>
      </c>
      <c r="D106" s="20" t="inlineStr">
        <is>
          <t>Rubis Energy Zambia</t>
        </is>
      </c>
      <c r="E106" s="186" t="n">
        <v>46141</v>
      </c>
      <c r="F106" s="20" t="inlineStr">
        <is>
          <t>Beira</t>
        </is>
      </c>
      <c r="G106" s="20" t="inlineStr">
        <is>
          <t>Lusaka</t>
        </is>
      </c>
      <c r="H106" s="20" t="inlineStr">
        <is>
          <t>PMS</t>
        </is>
      </c>
      <c r="I106" s="20" t="inlineStr">
        <is>
          <t>AKN 783 MC</t>
        </is>
      </c>
      <c r="J106" s="20" t="inlineStr">
        <is>
          <t>AH 450 MC</t>
        </is>
      </c>
      <c r="K106" s="20" t="inlineStr">
        <is>
          <t>PETRODA</t>
        </is>
      </c>
      <c r="L106" s="20" t="inlineStr">
        <is>
          <t>NILTON DERCIO ADRIANO LANGA</t>
        </is>
      </c>
      <c r="M106" s="186" t="n">
        <v>46145</v>
      </c>
      <c r="N106" s="186" t="n">
        <v>46146</v>
      </c>
      <c r="O106" s="187">
        <f>IF(OR(M106="",N106=""),"",N106-M106)</f>
        <v/>
      </c>
      <c r="P106" s="187">
        <f>IFERROR(VLOOKUP(B106,Deals[#All],7,FALSE),DEF_LAYTIME)</f>
        <v/>
      </c>
      <c r="Q106" s="187">
        <f>IF(O106="","",MAX(0,O106-P106))</f>
        <v/>
      </c>
      <c r="R106" s="188">
        <f>IFERROR(VLOOKUP(B106,Deals[#All],8,FALSE),DEF_RATE)</f>
        <v/>
      </c>
      <c r="S106" s="188">
        <f>IF(Q106="","",Q106*R106)</f>
        <v/>
      </c>
      <c r="T106" s="16">
        <f>IF(O106="","PENDING",IF(Q106&gt;0,"DEMURRAGE","ON-TIME"))</f>
        <v/>
      </c>
      <c r="U106" s="16">
        <f>IF(AND(E106&lt;&gt;"",M106&lt;&gt;"",M106&lt;E106),"⚠ Arr&lt;Loaded",IF(AND(M106&lt;&gt;"",N106&lt;&gt;"",N106&lt;M106),"⚠ Off&lt;Arr","OK"))</f>
        <v/>
      </c>
      <c r="V106" s="16">
        <f>IF(E106="","",TEXT(E106,"yyyy-mm"))</f>
        <v/>
      </c>
    </row>
    <row r="107">
      <c r="B107" s="16" t="n">
        <v>190664</v>
      </c>
      <c r="C107" s="16" t="inlineStr">
        <is>
          <t>190664-DEM</t>
        </is>
      </c>
      <c r="D107" s="20" t="inlineStr">
        <is>
          <t>Rubis Energy Zambia</t>
        </is>
      </c>
      <c r="E107" s="186" t="n">
        <v>46141</v>
      </c>
      <c r="F107" s="20" t="inlineStr">
        <is>
          <t>Beira</t>
        </is>
      </c>
      <c r="G107" s="20" t="inlineStr">
        <is>
          <t>Lusaka</t>
        </is>
      </c>
      <c r="H107" s="20" t="inlineStr">
        <is>
          <t>PMS</t>
        </is>
      </c>
      <c r="I107" s="20" t="inlineStr">
        <is>
          <t>ABC 257 SF</t>
        </is>
      </c>
      <c r="J107" s="20" t="inlineStr">
        <is>
          <t>AH 420 SF</t>
        </is>
      </c>
      <c r="K107" s="20" t="inlineStr">
        <is>
          <t>PETRODA</t>
        </is>
      </c>
      <c r="L107" s="20" t="inlineStr">
        <is>
          <t>INACIO NUNES LANGA</t>
        </is>
      </c>
      <c r="M107" s="186" t="n">
        <v>46145</v>
      </c>
      <c r="N107" s="186" t="n">
        <v>46146</v>
      </c>
      <c r="O107" s="187">
        <f>IF(OR(M107="",N107=""),"",N107-M107)</f>
        <v/>
      </c>
      <c r="P107" s="187">
        <f>IFERROR(VLOOKUP(B107,Deals[#All],7,FALSE),DEF_LAYTIME)</f>
        <v/>
      </c>
      <c r="Q107" s="187">
        <f>IF(O107="","",MAX(0,O107-P107))</f>
        <v/>
      </c>
      <c r="R107" s="188">
        <f>IFERROR(VLOOKUP(B107,Deals[#All],8,FALSE),DEF_RATE)</f>
        <v/>
      </c>
      <c r="S107" s="188">
        <f>IF(Q107="","",Q107*R107)</f>
        <v/>
      </c>
      <c r="T107" s="16">
        <f>IF(O107="","PENDING",IF(Q107&gt;0,"DEMURRAGE","ON-TIME"))</f>
        <v/>
      </c>
      <c r="U107" s="16">
        <f>IF(AND(E107&lt;&gt;"",M107&lt;&gt;"",M107&lt;E107),"⚠ Arr&lt;Loaded",IF(AND(M107&lt;&gt;"",N107&lt;&gt;"",N107&lt;M107),"⚠ Off&lt;Arr","OK"))</f>
        <v/>
      </c>
      <c r="V107" s="16">
        <f>IF(E107="","",TEXT(E107,"yyyy-mm"))</f>
        <v/>
      </c>
    </row>
    <row r="108">
      <c r="B108" s="16" t="n">
        <v>190664</v>
      </c>
      <c r="C108" s="16" t="inlineStr">
        <is>
          <t>190664-DEM</t>
        </is>
      </c>
      <c r="D108" s="20" t="inlineStr">
        <is>
          <t>Rubis Energy Zambia</t>
        </is>
      </c>
      <c r="E108" s="186" t="n">
        <v>46141</v>
      </c>
      <c r="F108" s="20" t="inlineStr">
        <is>
          <t>Beira</t>
        </is>
      </c>
      <c r="G108" s="20" t="inlineStr">
        <is>
          <t>Lusaka</t>
        </is>
      </c>
      <c r="H108" s="20" t="inlineStr">
        <is>
          <t>PMS</t>
        </is>
      </c>
      <c r="I108" s="20" t="inlineStr">
        <is>
          <t>AKO 096 MC</t>
        </is>
      </c>
      <c r="J108" s="20" t="inlineStr">
        <is>
          <t>AH 452 MC</t>
        </is>
      </c>
      <c r="K108" s="20" t="inlineStr">
        <is>
          <t>PETRODA</t>
        </is>
      </c>
      <c r="L108" s="20" t="inlineStr">
        <is>
          <t>EMIDIO SEBASTIAO JOAO MUSSAFE</t>
        </is>
      </c>
      <c r="M108" s="186" t="n">
        <v>46145</v>
      </c>
      <c r="N108" s="186" t="n">
        <v>46146</v>
      </c>
      <c r="O108" s="187">
        <f>IF(OR(M108="",N108=""),"",N108-M108)</f>
        <v/>
      </c>
      <c r="P108" s="187">
        <f>IFERROR(VLOOKUP(B108,Deals[#All],7,FALSE),DEF_LAYTIME)</f>
        <v/>
      </c>
      <c r="Q108" s="187">
        <f>IF(O108="","",MAX(0,O108-P108))</f>
        <v/>
      </c>
      <c r="R108" s="188">
        <f>IFERROR(VLOOKUP(B108,Deals[#All],8,FALSE),DEF_RATE)</f>
        <v/>
      </c>
      <c r="S108" s="188">
        <f>IF(Q108="","",Q108*R108)</f>
        <v/>
      </c>
      <c r="T108" s="16">
        <f>IF(O108="","PENDING",IF(Q108&gt;0,"DEMURRAGE","ON-TIME"))</f>
        <v/>
      </c>
      <c r="U108" s="16">
        <f>IF(AND(E108&lt;&gt;"",M108&lt;&gt;"",M108&lt;E108),"⚠ Arr&lt;Loaded",IF(AND(M108&lt;&gt;"",N108&lt;&gt;"",N108&lt;M108),"⚠ Off&lt;Arr","OK"))</f>
        <v/>
      </c>
      <c r="V108" s="16">
        <f>IF(E108="","",TEXT(E108,"yyyy-mm"))</f>
        <v/>
      </c>
    </row>
    <row r="109">
      <c r="B109" s="16" t="n">
        <v>190664</v>
      </c>
      <c r="C109" s="16" t="inlineStr">
        <is>
          <t>190664-DEM</t>
        </is>
      </c>
      <c r="D109" s="20" t="inlineStr">
        <is>
          <t>Rubis Energy Zambia</t>
        </is>
      </c>
      <c r="E109" s="186" t="n">
        <v>46142</v>
      </c>
      <c r="F109" s="20" t="inlineStr">
        <is>
          <t>Beira</t>
        </is>
      </c>
      <c r="G109" s="20" t="inlineStr">
        <is>
          <t>Lusaka</t>
        </is>
      </c>
      <c r="H109" s="20" t="inlineStr">
        <is>
          <t>PMS</t>
        </is>
      </c>
      <c r="I109" s="20" t="inlineStr">
        <is>
          <t>ABC 284 SF</t>
        </is>
      </c>
      <c r="J109" s="20" t="inlineStr">
        <is>
          <t>AH 384 SF</t>
        </is>
      </c>
      <c r="K109" s="20" t="inlineStr">
        <is>
          <t>PETRODA</t>
        </is>
      </c>
      <c r="L109" s="20" t="inlineStr">
        <is>
          <t>FRANCISCO ZACARIAS</t>
        </is>
      </c>
      <c r="M109" s="186" t="n">
        <v>46148</v>
      </c>
      <c r="N109" s="186" t="n">
        <v>46148</v>
      </c>
      <c r="O109" s="187">
        <f>IF(OR(M109="",N109=""),"",N109-M109)</f>
        <v/>
      </c>
      <c r="P109" s="187">
        <f>IFERROR(VLOOKUP(B109,Deals[#All],7,FALSE),DEF_LAYTIME)</f>
        <v/>
      </c>
      <c r="Q109" s="187">
        <f>IF(O109="","",MAX(0,O109-P109))</f>
        <v/>
      </c>
      <c r="R109" s="188">
        <f>IFERROR(VLOOKUP(B109,Deals[#All],8,FALSE),DEF_RATE)</f>
        <v/>
      </c>
      <c r="S109" s="188">
        <f>IF(Q109="","",Q109*R109)</f>
        <v/>
      </c>
      <c r="T109" s="16">
        <f>IF(O109="","PENDING",IF(Q109&gt;0,"DEMURRAGE","ON-TIME"))</f>
        <v/>
      </c>
      <c r="U109" s="16">
        <f>IF(AND(E109&lt;&gt;"",M109&lt;&gt;"",M109&lt;E109),"⚠ Arr&lt;Loaded",IF(AND(M109&lt;&gt;"",N109&lt;&gt;"",N109&lt;M109),"⚠ Off&lt;Arr","OK"))</f>
        <v/>
      </c>
      <c r="V109" s="16">
        <f>IF(E109="","",TEXT(E109,"yyyy-mm"))</f>
        <v/>
      </c>
    </row>
    <row r="110">
      <c r="B110" s="16" t="n">
        <v>190664</v>
      </c>
      <c r="C110" s="16" t="inlineStr">
        <is>
          <t>190664-DEM</t>
        </is>
      </c>
      <c r="D110" s="20" t="inlineStr">
        <is>
          <t>Rubis Energy Zambia</t>
        </is>
      </c>
      <c r="E110" s="186" t="n">
        <v>46141</v>
      </c>
      <c r="F110" s="20" t="inlineStr">
        <is>
          <t>Beira</t>
        </is>
      </c>
      <c r="G110" s="20" t="inlineStr">
        <is>
          <t>Lusaka</t>
        </is>
      </c>
      <c r="H110" s="20" t="inlineStr">
        <is>
          <t>PMS</t>
        </is>
      </c>
      <c r="I110" s="20" t="inlineStr">
        <is>
          <t>AKN 009 MC</t>
        </is>
      </c>
      <c r="J110" s="20" t="inlineStr">
        <is>
          <t>AH 463 MC</t>
        </is>
      </c>
      <c r="K110" s="20" t="inlineStr">
        <is>
          <t>PETRODA</t>
        </is>
      </c>
      <c r="L110" s="20" t="inlineStr">
        <is>
          <t>JOAQUIM FRANCISCO HAMELA</t>
        </is>
      </c>
      <c r="M110" s="186" t="n">
        <v>46145</v>
      </c>
      <c r="N110" s="186" t="n">
        <v>46146</v>
      </c>
      <c r="O110" s="187">
        <f>IF(OR(M110="",N110=""),"",N110-M110)</f>
        <v/>
      </c>
      <c r="P110" s="187">
        <f>IFERROR(VLOOKUP(B110,Deals[#All],7,FALSE),DEF_LAYTIME)</f>
        <v/>
      </c>
      <c r="Q110" s="187">
        <f>IF(O110="","",MAX(0,O110-P110))</f>
        <v/>
      </c>
      <c r="R110" s="188">
        <f>IFERROR(VLOOKUP(B110,Deals[#All],8,FALSE),DEF_RATE)</f>
        <v/>
      </c>
      <c r="S110" s="188">
        <f>IF(Q110="","",Q110*R110)</f>
        <v/>
      </c>
      <c r="T110" s="16">
        <f>IF(O110="","PENDING",IF(Q110&gt;0,"DEMURRAGE","ON-TIME"))</f>
        <v/>
      </c>
      <c r="U110" s="16">
        <f>IF(AND(E110&lt;&gt;"",M110&lt;&gt;"",M110&lt;E110),"⚠ Arr&lt;Loaded",IF(AND(M110&lt;&gt;"",N110&lt;&gt;"",N110&lt;M110),"⚠ Off&lt;Arr","OK"))</f>
        <v/>
      </c>
      <c r="V110" s="16">
        <f>IF(E110="","",TEXT(E110,"yyyy-mm"))</f>
        <v/>
      </c>
    </row>
    <row r="111">
      <c r="B111" s="16" t="n">
        <v>190664</v>
      </c>
      <c r="C111" s="16" t="inlineStr">
        <is>
          <t>190664-DEM</t>
        </is>
      </c>
      <c r="D111" s="20" t="inlineStr">
        <is>
          <t>Rubis Energy Zambia</t>
        </is>
      </c>
      <c r="E111" s="186" t="n">
        <v>46144</v>
      </c>
      <c r="F111" s="20" t="inlineStr">
        <is>
          <t>Beira</t>
        </is>
      </c>
      <c r="G111" s="20" t="inlineStr">
        <is>
          <t>Lusaka</t>
        </is>
      </c>
      <c r="H111" s="20" t="inlineStr">
        <is>
          <t>PMS</t>
        </is>
      </c>
      <c r="I111" s="20" t="inlineStr">
        <is>
          <t>AKN 812 MC</t>
        </is>
      </c>
      <c r="J111" s="20" t="inlineStr">
        <is>
          <t>AH 439 MC</t>
        </is>
      </c>
      <c r="K111" s="20" t="inlineStr">
        <is>
          <t>PETRODA</t>
        </is>
      </c>
      <c r="L111" s="20" t="inlineStr">
        <is>
          <t>MOISES BACALEUANE ARROZ</t>
        </is>
      </c>
      <c r="M111" s="186" t="n">
        <v>46148</v>
      </c>
      <c r="N111" s="186" t="n">
        <v>46150</v>
      </c>
      <c r="O111" s="187">
        <f>IF(OR(M111="",N111=""),"",N111-M111)</f>
        <v/>
      </c>
      <c r="P111" s="187">
        <f>IFERROR(VLOOKUP(B111,Deals[#All],7,FALSE),DEF_LAYTIME)</f>
        <v/>
      </c>
      <c r="Q111" s="187">
        <f>IF(O111="","",MAX(0,O111-P111))</f>
        <v/>
      </c>
      <c r="R111" s="188">
        <f>IFERROR(VLOOKUP(B111,Deals[#All],8,FALSE),DEF_RATE)</f>
        <v/>
      </c>
      <c r="S111" s="188">
        <f>IF(Q111="","",Q111*R111)</f>
        <v/>
      </c>
      <c r="T111" s="16">
        <f>IF(O111="","PENDING",IF(Q111&gt;0,"DEMURRAGE","ON-TIME"))</f>
        <v/>
      </c>
      <c r="U111" s="16">
        <f>IF(AND(E111&lt;&gt;"",M111&lt;&gt;"",M111&lt;E111),"⚠ Arr&lt;Loaded",IF(AND(M111&lt;&gt;"",N111&lt;&gt;"",N111&lt;M111),"⚠ Off&lt;Arr","OK"))</f>
        <v/>
      </c>
      <c r="V111" s="16">
        <f>IF(E111="","",TEXT(E111,"yyyy-mm"))</f>
        <v/>
      </c>
    </row>
    <row r="112">
      <c r="B112" s="16" t="n">
        <v>190664</v>
      </c>
      <c r="C112" s="16" t="inlineStr">
        <is>
          <t>190664-DEM</t>
        </is>
      </c>
      <c r="D112" s="20" t="inlineStr">
        <is>
          <t>Rubis Energy Zambia</t>
        </is>
      </c>
      <c r="E112" s="186" t="n">
        <v>46141</v>
      </c>
      <c r="F112" s="20" t="inlineStr">
        <is>
          <t>Beira</t>
        </is>
      </c>
      <c r="G112" s="20" t="inlineStr">
        <is>
          <t>Lusaka</t>
        </is>
      </c>
      <c r="H112" s="20" t="inlineStr">
        <is>
          <t>PMS</t>
        </is>
      </c>
      <c r="I112" s="20" t="inlineStr">
        <is>
          <t>ABC 291 SF</t>
        </is>
      </c>
      <c r="J112" s="20" t="inlineStr">
        <is>
          <t>AH 391 SF</t>
        </is>
      </c>
      <c r="K112" s="20" t="inlineStr">
        <is>
          <t>PETRODA</t>
        </is>
      </c>
      <c r="L112" s="20" t="inlineStr">
        <is>
          <t xml:space="preserve">JONE BERNARDO QUIPA </t>
        </is>
      </c>
      <c r="M112" s="186" t="n">
        <v>46145</v>
      </c>
      <c r="N112" s="186" t="n">
        <v>46146</v>
      </c>
      <c r="O112" s="187">
        <f>IF(OR(M112="",N112=""),"",N112-M112)</f>
        <v/>
      </c>
      <c r="P112" s="187">
        <f>IFERROR(VLOOKUP(B112,Deals[#All],7,FALSE),DEF_LAYTIME)</f>
        <v/>
      </c>
      <c r="Q112" s="187">
        <f>IF(O112="","",MAX(0,O112-P112))</f>
        <v/>
      </c>
      <c r="R112" s="188">
        <f>IFERROR(VLOOKUP(B112,Deals[#All],8,FALSE),DEF_RATE)</f>
        <v/>
      </c>
      <c r="S112" s="188">
        <f>IF(Q112="","",Q112*R112)</f>
        <v/>
      </c>
      <c r="T112" s="16">
        <f>IF(O112="","PENDING",IF(Q112&gt;0,"DEMURRAGE","ON-TIME"))</f>
        <v/>
      </c>
      <c r="U112" s="16">
        <f>IF(AND(E112&lt;&gt;"",M112&lt;&gt;"",M112&lt;E112),"⚠ Arr&lt;Loaded",IF(AND(M112&lt;&gt;"",N112&lt;&gt;"",N112&lt;M112),"⚠ Off&lt;Arr","OK"))</f>
        <v/>
      </c>
      <c r="V112" s="16">
        <f>IF(E112="","",TEXT(E112,"yyyy-mm"))</f>
        <v/>
      </c>
    </row>
    <row r="113">
      <c r="B113" s="16" t="n">
        <v>191610</v>
      </c>
      <c r="C113" s="16" t="inlineStr">
        <is>
          <t>191610-DEM</t>
        </is>
      </c>
      <c r="D113" s="20" t="inlineStr">
        <is>
          <t>Rubis Energy Zambia</t>
        </is>
      </c>
      <c r="E113" s="186" t="n">
        <v>46151</v>
      </c>
      <c r="F113" s="20" t="inlineStr">
        <is>
          <t>Beira</t>
        </is>
      </c>
      <c r="G113" s="20" t="inlineStr">
        <is>
          <t>Lusaka</t>
        </is>
      </c>
      <c r="H113" s="20" t="inlineStr">
        <is>
          <t>PMS</t>
        </is>
      </c>
      <c r="I113" s="20" t="n"/>
      <c r="J113" s="20" t="n"/>
      <c r="K113" s="20" t="n"/>
      <c r="L113" s="20" t="n"/>
      <c r="M113" s="186" t="n"/>
      <c r="N113" s="186" t="n"/>
      <c r="O113" s="187">
        <f>IF(OR(M113="",N113=""),"",N113-M113)</f>
        <v/>
      </c>
      <c r="P113" s="187">
        <f>IFERROR(VLOOKUP(B113,Deals[#All],7,FALSE),DEF_LAYTIME)</f>
        <v/>
      </c>
      <c r="Q113" s="187">
        <f>IF(O113="","",MAX(0,O113-P113))</f>
        <v/>
      </c>
      <c r="R113" s="188">
        <f>IFERROR(VLOOKUP(B113,Deals[#All],8,FALSE),DEF_RATE)</f>
        <v/>
      </c>
      <c r="S113" s="188">
        <f>IF(Q113="","",Q113*R113)</f>
        <v/>
      </c>
      <c r="T113" s="16">
        <f>IF(O113="","PENDING",IF(Q113&gt;0,"DEMURRAGE","ON-TIME"))</f>
        <v/>
      </c>
      <c r="U113" s="16">
        <f>IF(AND(E113&lt;&gt;"",M113&lt;&gt;"",M113&lt;E113),"⚠ Arr&lt;Loaded",IF(AND(M113&lt;&gt;"",N113&lt;&gt;"",N113&lt;M113),"⚠ Off&lt;Arr","OK"))</f>
        <v/>
      </c>
      <c r="V113" s="16">
        <f>IF(E113="","",TEXT(E113,"yyyy-mm"))</f>
        <v/>
      </c>
    </row>
    <row r="114">
      <c r="B114" s="16" t="n">
        <v>191610</v>
      </c>
      <c r="C114" s="16" t="inlineStr">
        <is>
          <t>191610-DEM</t>
        </is>
      </c>
      <c r="D114" s="20" t="inlineStr">
        <is>
          <t>Rubis Energy Zambia</t>
        </is>
      </c>
      <c r="E114" s="186" t="n">
        <v>46150</v>
      </c>
      <c r="F114" s="20" t="inlineStr">
        <is>
          <t>Beira</t>
        </is>
      </c>
      <c r="G114" s="20" t="inlineStr">
        <is>
          <t>Lusaka</t>
        </is>
      </c>
      <c r="H114" s="20" t="inlineStr">
        <is>
          <t>PMS</t>
        </is>
      </c>
      <c r="I114" s="20" t="n"/>
      <c r="J114" s="20" t="n"/>
      <c r="K114" s="20" t="n"/>
      <c r="L114" s="20" t="n"/>
      <c r="M114" s="186" t="n"/>
      <c r="N114" s="186" t="n"/>
      <c r="O114" s="187">
        <f>IF(OR(M114="",N114=""),"",N114-M114)</f>
        <v/>
      </c>
      <c r="P114" s="187">
        <f>IFERROR(VLOOKUP(B114,Deals[#All],7,FALSE),DEF_LAYTIME)</f>
        <v/>
      </c>
      <c r="Q114" s="187">
        <f>IF(O114="","",MAX(0,O114-P114))</f>
        <v/>
      </c>
      <c r="R114" s="188">
        <f>IFERROR(VLOOKUP(B114,Deals[#All],8,FALSE),DEF_RATE)</f>
        <v/>
      </c>
      <c r="S114" s="188">
        <f>IF(Q114="","",Q114*R114)</f>
        <v/>
      </c>
      <c r="T114" s="16">
        <f>IF(O114="","PENDING",IF(Q114&gt;0,"DEMURRAGE","ON-TIME"))</f>
        <v/>
      </c>
      <c r="U114" s="16">
        <f>IF(AND(E114&lt;&gt;"",M114&lt;&gt;"",M114&lt;E114),"⚠ Arr&lt;Loaded",IF(AND(M114&lt;&gt;"",N114&lt;&gt;"",N114&lt;M114),"⚠ Off&lt;Arr","OK"))</f>
        <v/>
      </c>
      <c r="V114" s="16">
        <f>IF(E114="","",TEXT(E114,"yyyy-mm"))</f>
        <v/>
      </c>
    </row>
    <row r="115">
      <c r="B115" s="16" t="n">
        <v>191610</v>
      </c>
      <c r="C115" s="16" t="inlineStr">
        <is>
          <t>191610-DEM</t>
        </is>
      </c>
      <c r="D115" s="20" t="inlineStr">
        <is>
          <t>Rubis Energy Zambia</t>
        </is>
      </c>
      <c r="E115" s="186" t="n">
        <v>46151</v>
      </c>
      <c r="F115" s="20" t="inlineStr">
        <is>
          <t>Beira</t>
        </is>
      </c>
      <c r="G115" s="20" t="inlineStr">
        <is>
          <t>Lusaka</t>
        </is>
      </c>
      <c r="H115" s="20" t="inlineStr">
        <is>
          <t>PMS</t>
        </is>
      </c>
      <c r="I115" s="20" t="n"/>
      <c r="J115" s="20" t="n"/>
      <c r="K115" s="20" t="n"/>
      <c r="L115" s="20" t="n"/>
      <c r="M115" s="186" t="n"/>
      <c r="N115" s="186" t="n"/>
      <c r="O115" s="187">
        <f>IF(OR(M115="",N115=""),"",N115-M115)</f>
        <v/>
      </c>
      <c r="P115" s="187">
        <f>IFERROR(VLOOKUP(B115,Deals[#All],7,FALSE),DEF_LAYTIME)</f>
        <v/>
      </c>
      <c r="Q115" s="187">
        <f>IF(O115="","",MAX(0,O115-P115))</f>
        <v/>
      </c>
      <c r="R115" s="188">
        <f>IFERROR(VLOOKUP(B115,Deals[#All],8,FALSE),DEF_RATE)</f>
        <v/>
      </c>
      <c r="S115" s="188">
        <f>IF(Q115="","",Q115*R115)</f>
        <v/>
      </c>
      <c r="T115" s="16">
        <f>IF(O115="","PENDING",IF(Q115&gt;0,"DEMURRAGE","ON-TIME"))</f>
        <v/>
      </c>
      <c r="U115" s="16">
        <f>IF(AND(E115&lt;&gt;"",M115&lt;&gt;"",M115&lt;E115),"⚠ Arr&lt;Loaded",IF(AND(M115&lt;&gt;"",N115&lt;&gt;"",N115&lt;M115),"⚠ Off&lt;Arr","OK"))</f>
        <v/>
      </c>
      <c r="V115" s="16">
        <f>IF(E115="","",TEXT(E115,"yyyy-mm"))</f>
        <v/>
      </c>
    </row>
    <row r="116">
      <c r="B116" s="16" t="n">
        <v>191610</v>
      </c>
      <c r="C116" s="16" t="inlineStr">
        <is>
          <t>191610-DEM</t>
        </is>
      </c>
      <c r="D116" s="20" t="inlineStr">
        <is>
          <t>Rubis Energy Zambia</t>
        </is>
      </c>
      <c r="E116" s="186" t="n">
        <v>46151</v>
      </c>
      <c r="F116" s="20" t="inlineStr">
        <is>
          <t>Beira</t>
        </is>
      </c>
      <c r="G116" s="20" t="inlineStr">
        <is>
          <t>Lusaka</t>
        </is>
      </c>
      <c r="H116" s="20" t="inlineStr">
        <is>
          <t>PMS</t>
        </is>
      </c>
      <c r="I116" s="20" t="n"/>
      <c r="J116" s="20" t="n"/>
      <c r="K116" s="20" t="n"/>
      <c r="L116" s="20" t="n"/>
      <c r="M116" s="186" t="n"/>
      <c r="N116" s="186" t="n"/>
      <c r="O116" s="187">
        <f>IF(OR(M116="",N116=""),"",N116-M116)</f>
        <v/>
      </c>
      <c r="P116" s="187">
        <f>IFERROR(VLOOKUP(B116,Deals[#All],7,FALSE),DEF_LAYTIME)</f>
        <v/>
      </c>
      <c r="Q116" s="187">
        <f>IF(O116="","",MAX(0,O116-P116))</f>
        <v/>
      </c>
      <c r="R116" s="188">
        <f>IFERROR(VLOOKUP(B116,Deals[#All],8,FALSE),DEF_RATE)</f>
        <v/>
      </c>
      <c r="S116" s="188">
        <f>IF(Q116="","",Q116*R116)</f>
        <v/>
      </c>
      <c r="T116" s="16">
        <f>IF(O116="","PENDING",IF(Q116&gt;0,"DEMURRAGE","ON-TIME"))</f>
        <v/>
      </c>
      <c r="U116" s="16">
        <f>IF(AND(E116&lt;&gt;"",M116&lt;&gt;"",M116&lt;E116),"⚠ Arr&lt;Loaded",IF(AND(M116&lt;&gt;"",N116&lt;&gt;"",N116&lt;M116),"⚠ Off&lt;Arr","OK"))</f>
        <v/>
      </c>
      <c r="V116" s="16">
        <f>IF(E116="","",TEXT(E116,"yyyy-mm"))</f>
        <v/>
      </c>
    </row>
    <row r="117">
      <c r="B117" s="16" t="n">
        <v>191610</v>
      </c>
      <c r="C117" s="16" t="inlineStr">
        <is>
          <t>191610-DEM</t>
        </is>
      </c>
      <c r="D117" s="20" t="inlineStr">
        <is>
          <t>Rubis Energy Zambia</t>
        </is>
      </c>
      <c r="E117" s="186" t="n">
        <v>46151</v>
      </c>
      <c r="F117" s="20" t="inlineStr">
        <is>
          <t>Beira</t>
        </is>
      </c>
      <c r="G117" s="20" t="inlineStr">
        <is>
          <t>Lusaka</t>
        </is>
      </c>
      <c r="H117" s="20" t="inlineStr">
        <is>
          <t>PMS</t>
        </is>
      </c>
      <c r="I117" s="20" t="n"/>
      <c r="J117" s="20" t="n"/>
      <c r="K117" s="20" t="n"/>
      <c r="L117" s="20" t="n"/>
      <c r="M117" s="186" t="n"/>
      <c r="N117" s="186" t="n"/>
      <c r="O117" s="187">
        <f>IF(OR(M117="",N117=""),"",N117-M117)</f>
        <v/>
      </c>
      <c r="P117" s="187">
        <f>IFERROR(VLOOKUP(B117,Deals[#All],7,FALSE),DEF_LAYTIME)</f>
        <v/>
      </c>
      <c r="Q117" s="187">
        <f>IF(O117="","",MAX(0,O117-P117))</f>
        <v/>
      </c>
      <c r="R117" s="188">
        <f>IFERROR(VLOOKUP(B117,Deals[#All],8,FALSE),DEF_RATE)</f>
        <v/>
      </c>
      <c r="S117" s="188">
        <f>IF(Q117="","",Q117*R117)</f>
        <v/>
      </c>
      <c r="T117" s="16">
        <f>IF(O117="","PENDING",IF(Q117&gt;0,"DEMURRAGE","ON-TIME"))</f>
        <v/>
      </c>
      <c r="U117" s="16">
        <f>IF(AND(E117&lt;&gt;"",M117&lt;&gt;"",M117&lt;E117),"⚠ Arr&lt;Loaded",IF(AND(M117&lt;&gt;"",N117&lt;&gt;"",N117&lt;M117),"⚠ Off&lt;Arr","OK"))</f>
        <v/>
      </c>
      <c r="V117" s="16">
        <f>IF(E117="","",TEXT(E117,"yyyy-mm"))</f>
        <v/>
      </c>
    </row>
    <row r="118">
      <c r="B118" s="16" t="n">
        <v>191610</v>
      </c>
      <c r="C118" s="16" t="inlineStr">
        <is>
          <t>191610-DEM</t>
        </is>
      </c>
      <c r="D118" s="20" t="inlineStr">
        <is>
          <t>Rubis Energy Zambia</t>
        </is>
      </c>
      <c r="E118" s="186" t="n">
        <v>46150</v>
      </c>
      <c r="F118" s="20" t="inlineStr">
        <is>
          <t>Beira</t>
        </is>
      </c>
      <c r="G118" s="20" t="inlineStr">
        <is>
          <t>Lusaka</t>
        </is>
      </c>
      <c r="H118" s="20" t="inlineStr">
        <is>
          <t>PMS</t>
        </is>
      </c>
      <c r="I118" s="20" t="n"/>
      <c r="J118" s="20" t="n"/>
      <c r="K118" s="20" t="n"/>
      <c r="L118" s="20" t="n"/>
      <c r="M118" s="186" t="n"/>
      <c r="N118" s="186" t="n"/>
      <c r="O118" s="187">
        <f>IF(OR(M118="",N118=""),"",N118-M118)</f>
        <v/>
      </c>
      <c r="P118" s="187">
        <f>IFERROR(VLOOKUP(B118,Deals[#All],7,FALSE),DEF_LAYTIME)</f>
        <v/>
      </c>
      <c r="Q118" s="187">
        <f>IF(O118="","",MAX(0,O118-P118))</f>
        <v/>
      </c>
      <c r="R118" s="188">
        <f>IFERROR(VLOOKUP(B118,Deals[#All],8,FALSE),DEF_RATE)</f>
        <v/>
      </c>
      <c r="S118" s="188">
        <f>IF(Q118="","",Q118*R118)</f>
        <v/>
      </c>
      <c r="T118" s="16">
        <f>IF(O118="","PENDING",IF(Q118&gt;0,"DEMURRAGE","ON-TIME"))</f>
        <v/>
      </c>
      <c r="U118" s="16">
        <f>IF(AND(E118&lt;&gt;"",M118&lt;&gt;"",M118&lt;E118),"⚠ Arr&lt;Loaded",IF(AND(M118&lt;&gt;"",N118&lt;&gt;"",N118&lt;M118),"⚠ Off&lt;Arr","OK"))</f>
        <v/>
      </c>
      <c r="V118" s="16">
        <f>IF(E118="","",TEXT(E118,"yyyy-mm"))</f>
        <v/>
      </c>
    </row>
    <row r="119">
      <c r="B119" s="16" t="n">
        <v>191610</v>
      </c>
      <c r="C119" s="16" t="inlineStr">
        <is>
          <t>191610-DEM</t>
        </is>
      </c>
      <c r="D119" s="20" t="inlineStr">
        <is>
          <t>Rubis Energy Zambia</t>
        </is>
      </c>
      <c r="E119" s="186" t="n">
        <v>46150</v>
      </c>
      <c r="F119" s="20" t="inlineStr">
        <is>
          <t>Beira</t>
        </is>
      </c>
      <c r="G119" s="20" t="inlineStr">
        <is>
          <t>Lusaka</t>
        </is>
      </c>
      <c r="H119" s="20" t="inlineStr">
        <is>
          <t>PMS</t>
        </is>
      </c>
      <c r="I119" s="20" t="n"/>
      <c r="J119" s="20" t="n"/>
      <c r="K119" s="20" t="n"/>
      <c r="L119" s="20" t="n"/>
      <c r="M119" s="186" t="n"/>
      <c r="N119" s="186" t="n"/>
      <c r="O119" s="187">
        <f>IF(OR(M119="",N119=""),"",N119-M119)</f>
        <v/>
      </c>
      <c r="P119" s="187">
        <f>IFERROR(VLOOKUP(B119,Deals[#All],7,FALSE),DEF_LAYTIME)</f>
        <v/>
      </c>
      <c r="Q119" s="187">
        <f>IF(O119="","",MAX(0,O119-P119))</f>
        <v/>
      </c>
      <c r="R119" s="188">
        <f>IFERROR(VLOOKUP(B119,Deals[#All],8,FALSE),DEF_RATE)</f>
        <v/>
      </c>
      <c r="S119" s="188">
        <f>IF(Q119="","",Q119*R119)</f>
        <v/>
      </c>
      <c r="T119" s="16">
        <f>IF(O119="","PENDING",IF(Q119&gt;0,"DEMURRAGE","ON-TIME"))</f>
        <v/>
      </c>
      <c r="U119" s="16">
        <f>IF(AND(E119&lt;&gt;"",M119&lt;&gt;"",M119&lt;E119),"⚠ Arr&lt;Loaded",IF(AND(M119&lt;&gt;"",N119&lt;&gt;"",N119&lt;M119),"⚠ Off&lt;Arr","OK"))</f>
        <v/>
      </c>
      <c r="V119" s="16">
        <f>IF(E119="","",TEXT(E119,"yyyy-mm"))</f>
        <v/>
      </c>
    </row>
    <row r="120">
      <c r="B120" s="16" t="n">
        <v>191610</v>
      </c>
      <c r="C120" s="16" t="inlineStr">
        <is>
          <t>191610-DEM</t>
        </is>
      </c>
      <c r="D120" s="20" t="inlineStr">
        <is>
          <t>Rubis Energy Zambia</t>
        </is>
      </c>
      <c r="E120" s="186" t="n">
        <v>46150</v>
      </c>
      <c r="F120" s="20" t="inlineStr">
        <is>
          <t>Beira</t>
        </is>
      </c>
      <c r="G120" s="20" t="inlineStr">
        <is>
          <t>Lusaka</t>
        </is>
      </c>
      <c r="H120" s="20" t="inlineStr">
        <is>
          <t>PMS</t>
        </is>
      </c>
      <c r="I120" s="20" t="n"/>
      <c r="J120" s="20" t="n"/>
      <c r="K120" s="20" t="n"/>
      <c r="L120" s="20" t="n"/>
      <c r="M120" s="186" t="n"/>
      <c r="N120" s="186" t="n"/>
      <c r="O120" s="187">
        <f>IF(OR(M120="",N120=""),"",N120-M120)</f>
        <v/>
      </c>
      <c r="P120" s="187">
        <f>IFERROR(VLOOKUP(B120,Deals[#All],7,FALSE),DEF_LAYTIME)</f>
        <v/>
      </c>
      <c r="Q120" s="187">
        <f>IF(O120="","",MAX(0,O120-P120))</f>
        <v/>
      </c>
      <c r="R120" s="188">
        <f>IFERROR(VLOOKUP(B120,Deals[#All],8,FALSE),DEF_RATE)</f>
        <v/>
      </c>
      <c r="S120" s="188">
        <f>IF(Q120="","",Q120*R120)</f>
        <v/>
      </c>
      <c r="T120" s="16">
        <f>IF(O120="","PENDING",IF(Q120&gt;0,"DEMURRAGE","ON-TIME"))</f>
        <v/>
      </c>
      <c r="U120" s="16">
        <f>IF(AND(E120&lt;&gt;"",M120&lt;&gt;"",M120&lt;E120),"⚠ Arr&lt;Loaded",IF(AND(M120&lt;&gt;"",N120&lt;&gt;"",N120&lt;M120),"⚠ Off&lt;Arr","OK"))</f>
        <v/>
      </c>
      <c r="V120" s="16">
        <f>IF(E120="","",TEXT(E120,"yyyy-mm"))</f>
        <v/>
      </c>
    </row>
    <row r="121">
      <c r="B121" s="16" t="n">
        <v>191610</v>
      </c>
      <c r="C121" s="16" t="inlineStr">
        <is>
          <t>191610-DEM</t>
        </is>
      </c>
      <c r="D121" s="20" t="inlineStr">
        <is>
          <t>Rubis Energy Zambia</t>
        </is>
      </c>
      <c r="E121" s="186" t="n">
        <v>46151</v>
      </c>
      <c r="F121" s="20" t="inlineStr">
        <is>
          <t>Beira</t>
        </is>
      </c>
      <c r="G121" s="20" t="inlineStr">
        <is>
          <t>Lusaka</t>
        </is>
      </c>
      <c r="H121" s="20" t="inlineStr">
        <is>
          <t>PMS</t>
        </is>
      </c>
      <c r="I121" s="20" t="n"/>
      <c r="J121" s="20" t="n"/>
      <c r="K121" s="20" t="n"/>
      <c r="L121" s="20" t="n"/>
      <c r="M121" s="186" t="n"/>
      <c r="N121" s="186" t="n"/>
      <c r="O121" s="187">
        <f>IF(OR(M121="",N121=""),"",N121-M121)</f>
        <v/>
      </c>
      <c r="P121" s="187">
        <f>IFERROR(VLOOKUP(B121,Deals[#All],7,FALSE),DEF_LAYTIME)</f>
        <v/>
      </c>
      <c r="Q121" s="187">
        <f>IF(O121="","",MAX(0,O121-P121))</f>
        <v/>
      </c>
      <c r="R121" s="188">
        <f>IFERROR(VLOOKUP(B121,Deals[#All],8,FALSE),DEF_RATE)</f>
        <v/>
      </c>
      <c r="S121" s="188">
        <f>IF(Q121="","",Q121*R121)</f>
        <v/>
      </c>
      <c r="T121" s="16">
        <f>IF(O121="","PENDING",IF(Q121&gt;0,"DEMURRAGE","ON-TIME"))</f>
        <v/>
      </c>
      <c r="U121" s="16">
        <f>IF(AND(E121&lt;&gt;"",M121&lt;&gt;"",M121&lt;E121),"⚠ Arr&lt;Loaded",IF(AND(M121&lt;&gt;"",N121&lt;&gt;"",N121&lt;M121),"⚠ Off&lt;Arr","OK"))</f>
        <v/>
      </c>
      <c r="V121" s="16">
        <f>IF(E121="","",TEXT(E121,"yyyy-mm"))</f>
        <v/>
      </c>
    </row>
    <row r="122">
      <c r="B122" s="16" t="n">
        <v>191610</v>
      </c>
      <c r="C122" s="16" t="inlineStr">
        <is>
          <t>191610-DEM</t>
        </is>
      </c>
      <c r="D122" s="20" t="inlineStr">
        <is>
          <t>Rubis Energy Zambia</t>
        </is>
      </c>
      <c r="E122" s="186" t="n">
        <v>46151</v>
      </c>
      <c r="F122" s="20" t="inlineStr">
        <is>
          <t>Beira</t>
        </is>
      </c>
      <c r="G122" s="20" t="inlineStr">
        <is>
          <t>Lusaka</t>
        </is>
      </c>
      <c r="H122" s="20" t="inlineStr">
        <is>
          <t>PMS</t>
        </is>
      </c>
      <c r="I122" s="20" t="n"/>
      <c r="J122" s="20" t="n"/>
      <c r="K122" s="20" t="n"/>
      <c r="L122" s="20" t="n"/>
      <c r="M122" s="186" t="n"/>
      <c r="N122" s="186" t="n"/>
      <c r="O122" s="187">
        <f>IF(OR(M122="",N122=""),"",N122-M122)</f>
        <v/>
      </c>
      <c r="P122" s="187">
        <f>IFERROR(VLOOKUP(B122,Deals[#All],7,FALSE),DEF_LAYTIME)</f>
        <v/>
      </c>
      <c r="Q122" s="187">
        <f>IF(O122="","",MAX(0,O122-P122))</f>
        <v/>
      </c>
      <c r="R122" s="188">
        <f>IFERROR(VLOOKUP(B122,Deals[#All],8,FALSE),DEF_RATE)</f>
        <v/>
      </c>
      <c r="S122" s="188">
        <f>IF(Q122="","",Q122*R122)</f>
        <v/>
      </c>
      <c r="T122" s="16">
        <f>IF(O122="","PENDING",IF(Q122&gt;0,"DEMURRAGE","ON-TIME"))</f>
        <v/>
      </c>
      <c r="U122" s="16">
        <f>IF(AND(E122&lt;&gt;"",M122&lt;&gt;"",M122&lt;E122),"⚠ Arr&lt;Loaded",IF(AND(M122&lt;&gt;"",N122&lt;&gt;"",N122&lt;M122),"⚠ Off&lt;Arr","OK"))</f>
        <v/>
      </c>
      <c r="V122" s="16">
        <f>IF(E122="","",TEXT(E122,"yyyy-mm"))</f>
        <v/>
      </c>
    </row>
    <row r="123">
      <c r="B123" s="16" t="n">
        <v>191610</v>
      </c>
      <c r="C123" s="16" t="inlineStr">
        <is>
          <t>191610-DEM</t>
        </is>
      </c>
      <c r="D123" s="20" t="inlineStr">
        <is>
          <t>Rubis Energy Zambia</t>
        </is>
      </c>
      <c r="E123" s="186" t="n">
        <v>46150</v>
      </c>
      <c r="F123" s="20" t="inlineStr">
        <is>
          <t>Beira</t>
        </is>
      </c>
      <c r="G123" s="20" t="inlineStr">
        <is>
          <t>Lusaka</t>
        </is>
      </c>
      <c r="H123" s="20" t="inlineStr">
        <is>
          <t>PMS</t>
        </is>
      </c>
      <c r="I123" s="20" t="n"/>
      <c r="J123" s="20" t="n"/>
      <c r="K123" s="20" t="n"/>
      <c r="L123" s="20" t="n"/>
      <c r="M123" s="186" t="n"/>
      <c r="N123" s="186" t="n"/>
      <c r="O123" s="187">
        <f>IF(OR(M123="",N123=""),"",N123-M123)</f>
        <v/>
      </c>
      <c r="P123" s="187">
        <f>IFERROR(VLOOKUP(B123,Deals[#All],7,FALSE),DEF_LAYTIME)</f>
        <v/>
      </c>
      <c r="Q123" s="187">
        <f>IF(O123="","",MAX(0,O123-P123))</f>
        <v/>
      </c>
      <c r="R123" s="188">
        <f>IFERROR(VLOOKUP(B123,Deals[#All],8,FALSE),DEF_RATE)</f>
        <v/>
      </c>
      <c r="S123" s="188">
        <f>IF(Q123="","",Q123*R123)</f>
        <v/>
      </c>
      <c r="T123" s="16">
        <f>IF(O123="","PENDING",IF(Q123&gt;0,"DEMURRAGE","ON-TIME"))</f>
        <v/>
      </c>
      <c r="U123" s="16">
        <f>IF(AND(E123&lt;&gt;"",M123&lt;&gt;"",M123&lt;E123),"⚠ Arr&lt;Loaded",IF(AND(M123&lt;&gt;"",N123&lt;&gt;"",N123&lt;M123),"⚠ Off&lt;Arr","OK"))</f>
        <v/>
      </c>
      <c r="V123" s="16">
        <f>IF(E123="","",TEXT(E123,"yyyy-mm"))</f>
        <v/>
      </c>
    </row>
    <row r="124">
      <c r="B124" s="16" t="n">
        <v>191610</v>
      </c>
      <c r="C124" s="16" t="inlineStr">
        <is>
          <t>191610-DEM</t>
        </is>
      </c>
      <c r="D124" s="20" t="inlineStr">
        <is>
          <t>Rubis Energy Zambia</t>
        </is>
      </c>
      <c r="E124" s="186" t="n">
        <v>46150</v>
      </c>
      <c r="F124" s="20" t="inlineStr">
        <is>
          <t>Beira</t>
        </is>
      </c>
      <c r="G124" s="20" t="inlineStr">
        <is>
          <t>Lusaka</t>
        </is>
      </c>
      <c r="H124" s="20" t="inlineStr">
        <is>
          <t>PMS</t>
        </is>
      </c>
      <c r="I124" s="20" t="n"/>
      <c r="J124" s="20" t="n"/>
      <c r="K124" s="20" t="n"/>
      <c r="L124" s="20" t="n"/>
      <c r="M124" s="186" t="n"/>
      <c r="N124" s="186" t="n"/>
      <c r="O124" s="187">
        <f>IF(OR(M124="",N124=""),"",N124-M124)</f>
        <v/>
      </c>
      <c r="P124" s="187">
        <f>IFERROR(VLOOKUP(B124,Deals[#All],7,FALSE),DEF_LAYTIME)</f>
        <v/>
      </c>
      <c r="Q124" s="187">
        <f>IF(O124="","",MAX(0,O124-P124))</f>
        <v/>
      </c>
      <c r="R124" s="188">
        <f>IFERROR(VLOOKUP(B124,Deals[#All],8,FALSE),DEF_RATE)</f>
        <v/>
      </c>
      <c r="S124" s="188">
        <f>IF(Q124="","",Q124*R124)</f>
        <v/>
      </c>
      <c r="T124" s="16">
        <f>IF(O124="","PENDING",IF(Q124&gt;0,"DEMURRAGE","ON-TIME"))</f>
        <v/>
      </c>
      <c r="U124" s="16">
        <f>IF(AND(E124&lt;&gt;"",M124&lt;&gt;"",M124&lt;E124),"⚠ Arr&lt;Loaded",IF(AND(M124&lt;&gt;"",N124&lt;&gt;"",N124&lt;M124),"⚠ Off&lt;Arr","OK"))</f>
        <v/>
      </c>
      <c r="V124" s="16">
        <f>IF(E124="","",TEXT(E124,"yyyy-mm"))</f>
        <v/>
      </c>
    </row>
    <row r="125">
      <c r="B125" s="16" t="n">
        <v>184182</v>
      </c>
      <c r="C125" s="16" t="inlineStr">
        <is>
          <t>184182-DEM</t>
        </is>
      </c>
      <c r="D125" s="20" t="inlineStr">
        <is>
          <t>Rubis Energy Zambia</t>
        </is>
      </c>
      <c r="E125" s="186" t="n">
        <v>45994</v>
      </c>
      <c r="F125" s="20" t="inlineStr">
        <is>
          <t>Beira</t>
        </is>
      </c>
      <c r="G125" s="20" t="inlineStr">
        <is>
          <t>Lusaka</t>
        </is>
      </c>
      <c r="H125" s="20" t="inlineStr">
        <is>
          <t>AGO</t>
        </is>
      </c>
      <c r="I125" s="20" t="inlineStr">
        <is>
          <t>AGZ4447</t>
        </is>
      </c>
      <c r="J125" s="20" t="inlineStr">
        <is>
          <t>AHD0019</t>
        </is>
      </c>
      <c r="K125" s="20" t="inlineStr">
        <is>
          <t>TRUCKEAZE</t>
        </is>
      </c>
      <c r="L125" s="20" t="inlineStr">
        <is>
          <t>Solomon Mudondiro</t>
        </is>
      </c>
      <c r="M125" s="186" t="n">
        <v>46002</v>
      </c>
      <c r="N125" s="186" t="n">
        <v>46004</v>
      </c>
      <c r="O125" s="187">
        <f>IF(OR(M125="",N125=""),"",N125-M125)</f>
        <v/>
      </c>
      <c r="P125" s="187">
        <f>IFERROR(VLOOKUP(B125,Deals[#All],7,FALSE),DEF_LAYTIME)</f>
        <v/>
      </c>
      <c r="Q125" s="187">
        <f>IF(O125="","",MAX(0,O125-P125))</f>
        <v/>
      </c>
      <c r="R125" s="188">
        <f>IFERROR(VLOOKUP(B125,Deals[#All],8,FALSE),DEF_RATE)</f>
        <v/>
      </c>
      <c r="S125" s="188">
        <f>IF(Q125="","",Q125*R125)</f>
        <v/>
      </c>
      <c r="T125" s="16">
        <f>IF(O125="","PENDING",IF(Q125&gt;0,"DEMURRAGE","ON-TIME"))</f>
        <v/>
      </c>
      <c r="U125" s="16">
        <f>IF(AND(E125&lt;&gt;"",M125&lt;&gt;"",M125&lt;E125),"⚠ Arr&lt;Loaded",IF(AND(M125&lt;&gt;"",N125&lt;&gt;"",N125&lt;M125),"⚠ Off&lt;Arr","OK"))</f>
        <v/>
      </c>
      <c r="V125" s="16">
        <f>IF(E125="","",TEXT(E125,"yyyy-mm"))</f>
        <v/>
      </c>
    </row>
    <row r="126">
      <c r="B126" s="16" t="n">
        <v>184182</v>
      </c>
      <c r="C126" s="16" t="inlineStr">
        <is>
          <t>184182-DEM</t>
        </is>
      </c>
      <c r="D126" s="20" t="inlineStr">
        <is>
          <t>Rubis Energy Zambia</t>
        </is>
      </c>
      <c r="E126" s="186" t="n">
        <v>45992</v>
      </c>
      <c r="F126" s="20" t="inlineStr">
        <is>
          <t>Beira</t>
        </is>
      </c>
      <c r="G126" s="20" t="inlineStr">
        <is>
          <t>Lusaka</t>
        </is>
      </c>
      <c r="H126" s="20" t="inlineStr">
        <is>
          <t>AGO</t>
        </is>
      </c>
      <c r="I126" s="20" t="inlineStr">
        <is>
          <t>AHA2259</t>
        </is>
      </c>
      <c r="J126" s="20" t="inlineStr">
        <is>
          <t>AHD0551</t>
        </is>
      </c>
      <c r="K126" s="20" t="inlineStr">
        <is>
          <t>TRUCKEAZE</t>
        </is>
      </c>
      <c r="L126" s="20" t="inlineStr">
        <is>
          <t>Daniel Ndabaningi</t>
        </is>
      </c>
      <c r="M126" s="186" t="n">
        <v>45999</v>
      </c>
      <c r="N126" s="186" t="n">
        <v>46000</v>
      </c>
      <c r="O126" s="187">
        <f>IF(OR(M126="",N126=""),"",N126-M126)</f>
        <v/>
      </c>
      <c r="P126" s="187">
        <f>IFERROR(VLOOKUP(B126,Deals[#All],7,FALSE),DEF_LAYTIME)</f>
        <v/>
      </c>
      <c r="Q126" s="187">
        <f>IF(O126="","",MAX(0,O126-P126))</f>
        <v/>
      </c>
      <c r="R126" s="188">
        <f>IFERROR(VLOOKUP(B126,Deals[#All],8,FALSE),DEF_RATE)</f>
        <v/>
      </c>
      <c r="S126" s="188">
        <f>IF(Q126="","",Q126*R126)</f>
        <v/>
      </c>
      <c r="T126" s="16">
        <f>IF(O126="","PENDING",IF(Q126&gt;0,"DEMURRAGE","ON-TIME"))</f>
        <v/>
      </c>
      <c r="U126" s="16">
        <f>IF(AND(E126&lt;&gt;"",M126&lt;&gt;"",M126&lt;E126),"⚠ Arr&lt;Loaded",IF(AND(M126&lt;&gt;"",N126&lt;&gt;"",N126&lt;M126),"⚠ Off&lt;Arr","OK"))</f>
        <v/>
      </c>
      <c r="V126" s="16">
        <f>IF(E126="","",TEXT(E126,"yyyy-mm"))</f>
        <v/>
      </c>
    </row>
    <row r="127">
      <c r="B127" s="16" t="n">
        <v>184182</v>
      </c>
      <c r="C127" s="16" t="inlineStr">
        <is>
          <t>184182-DEM</t>
        </is>
      </c>
      <c r="D127" s="20" t="inlineStr">
        <is>
          <t>Rubis Energy Zambia</t>
        </is>
      </c>
      <c r="E127" s="186" t="n">
        <v>45995</v>
      </c>
      <c r="F127" s="20" t="inlineStr">
        <is>
          <t>Beira</t>
        </is>
      </c>
      <c r="G127" s="20" t="inlineStr">
        <is>
          <t>Lusaka</t>
        </is>
      </c>
      <c r="H127" s="20" t="inlineStr">
        <is>
          <t>AGO</t>
        </is>
      </c>
      <c r="I127" s="20" t="inlineStr">
        <is>
          <t>AGZ4446</t>
        </is>
      </c>
      <c r="J127" s="20" t="inlineStr">
        <is>
          <t>AHD0018</t>
        </is>
      </c>
      <c r="K127" s="20" t="inlineStr">
        <is>
          <t>TRUCKEAZE</t>
        </is>
      </c>
      <c r="L127" s="20" t="inlineStr">
        <is>
          <t>Artwell Billiat</t>
        </is>
      </c>
      <c r="M127" s="186" t="n">
        <v>46007</v>
      </c>
      <c r="N127" s="186" t="n">
        <v>46008</v>
      </c>
      <c r="O127" s="187">
        <f>IF(OR(M127="",N127=""),"",N127-M127)</f>
        <v/>
      </c>
      <c r="P127" s="187">
        <f>IFERROR(VLOOKUP(B127,Deals[#All],7,FALSE),DEF_LAYTIME)</f>
        <v/>
      </c>
      <c r="Q127" s="187">
        <f>IF(O127="","",MAX(0,O127-P127))</f>
        <v/>
      </c>
      <c r="R127" s="188">
        <f>IFERROR(VLOOKUP(B127,Deals[#All],8,FALSE),DEF_RATE)</f>
        <v/>
      </c>
      <c r="S127" s="188">
        <f>IF(Q127="","",Q127*R127)</f>
        <v/>
      </c>
      <c r="T127" s="16">
        <f>IF(O127="","PENDING",IF(Q127&gt;0,"DEMURRAGE","ON-TIME"))</f>
        <v/>
      </c>
      <c r="U127" s="16">
        <f>IF(AND(E127&lt;&gt;"",M127&lt;&gt;"",M127&lt;E127),"⚠ Arr&lt;Loaded",IF(AND(M127&lt;&gt;"",N127&lt;&gt;"",N127&lt;M127),"⚠ Off&lt;Arr","OK"))</f>
        <v/>
      </c>
      <c r="V127" s="16">
        <f>IF(E127="","",TEXT(E127,"yyyy-mm"))</f>
        <v/>
      </c>
    </row>
    <row r="128">
      <c r="B128" s="16" t="n">
        <v>184182</v>
      </c>
      <c r="C128" s="16" t="inlineStr">
        <is>
          <t>184182-DEM</t>
        </is>
      </c>
      <c r="D128" s="20" t="inlineStr">
        <is>
          <t>Rubis Energy Zambia</t>
        </is>
      </c>
      <c r="E128" s="186" t="n">
        <v>45994</v>
      </c>
      <c r="F128" s="20" t="inlineStr">
        <is>
          <t>Beira</t>
        </is>
      </c>
      <c r="G128" s="20" t="inlineStr">
        <is>
          <t>Lusaka</t>
        </is>
      </c>
      <c r="H128" s="20" t="inlineStr">
        <is>
          <t>AGO</t>
        </is>
      </c>
      <c r="I128" s="20" t="inlineStr">
        <is>
          <t>AGZ3864</t>
        </is>
      </c>
      <c r="J128" s="20" t="inlineStr">
        <is>
          <t>AGK6600</t>
        </is>
      </c>
      <c r="K128" s="20" t="inlineStr">
        <is>
          <t>TRUCKEAZE</t>
        </is>
      </c>
      <c r="L128" s="20" t="inlineStr">
        <is>
          <t>Alban Onismo</t>
        </is>
      </c>
      <c r="M128" s="186" t="n">
        <v>46002</v>
      </c>
      <c r="N128" s="186" t="n">
        <v>46007</v>
      </c>
      <c r="O128" s="187">
        <f>IF(OR(M128="",N128=""),"",N128-M128)</f>
        <v/>
      </c>
      <c r="P128" s="187">
        <f>IFERROR(VLOOKUP(B128,Deals[#All],7,FALSE),DEF_LAYTIME)</f>
        <v/>
      </c>
      <c r="Q128" s="187">
        <f>IF(O128="","",MAX(0,O128-P128))</f>
        <v/>
      </c>
      <c r="R128" s="188">
        <f>IFERROR(VLOOKUP(B128,Deals[#All],8,FALSE),DEF_RATE)</f>
        <v/>
      </c>
      <c r="S128" s="188">
        <f>IF(Q128="","",Q128*R128)</f>
        <v/>
      </c>
      <c r="T128" s="16">
        <f>IF(O128="","PENDING",IF(Q128&gt;0,"DEMURRAGE","ON-TIME"))</f>
        <v/>
      </c>
      <c r="U128" s="16">
        <f>IF(AND(E128&lt;&gt;"",M128&lt;&gt;"",M128&lt;E128),"⚠ Arr&lt;Loaded",IF(AND(M128&lt;&gt;"",N128&lt;&gt;"",N128&lt;M128),"⚠ Off&lt;Arr","OK"))</f>
        <v/>
      </c>
      <c r="V128" s="16">
        <f>IF(E128="","",TEXT(E128,"yyyy-mm"))</f>
        <v/>
      </c>
    </row>
    <row r="129">
      <c r="B129" s="16" t="n">
        <v>184182</v>
      </c>
      <c r="C129" s="16" t="inlineStr">
        <is>
          <t>184182-DEM</t>
        </is>
      </c>
      <c r="D129" s="20" t="inlineStr">
        <is>
          <t>Rubis Energy Zambia</t>
        </is>
      </c>
      <c r="E129" s="186" t="n">
        <v>45994</v>
      </c>
      <c r="F129" s="20" t="inlineStr">
        <is>
          <t>Beira</t>
        </is>
      </c>
      <c r="G129" s="20" t="inlineStr">
        <is>
          <t>Lusaka</t>
        </is>
      </c>
      <c r="H129" s="20" t="inlineStr">
        <is>
          <t>AGO</t>
        </is>
      </c>
      <c r="I129" s="20" t="inlineStr">
        <is>
          <t>AHA2260</t>
        </is>
      </c>
      <c r="J129" s="20" t="inlineStr">
        <is>
          <t>AHD0552</t>
        </is>
      </c>
      <c r="K129" s="20" t="inlineStr">
        <is>
          <t>TRUCKEAZE</t>
        </is>
      </c>
      <c r="L129" s="20" t="inlineStr">
        <is>
          <t>Blessing Manimanzi</t>
        </is>
      </c>
      <c r="M129" s="186" t="n">
        <v>46000</v>
      </c>
      <c r="N129" s="186" t="n">
        <v>46002</v>
      </c>
      <c r="O129" s="187">
        <f>IF(OR(M129="",N129=""),"",N129-M129)</f>
        <v/>
      </c>
      <c r="P129" s="187">
        <f>IFERROR(VLOOKUP(B129,Deals[#All],7,FALSE),DEF_LAYTIME)</f>
        <v/>
      </c>
      <c r="Q129" s="187">
        <f>IF(O129="","",MAX(0,O129-P129))</f>
        <v/>
      </c>
      <c r="R129" s="188">
        <f>IFERROR(VLOOKUP(B129,Deals[#All],8,FALSE),DEF_RATE)</f>
        <v/>
      </c>
      <c r="S129" s="188">
        <f>IF(Q129="","",Q129*R129)</f>
        <v/>
      </c>
      <c r="T129" s="16">
        <f>IF(O129="","PENDING",IF(Q129&gt;0,"DEMURRAGE","ON-TIME"))</f>
        <v/>
      </c>
      <c r="U129" s="16">
        <f>IF(AND(E129&lt;&gt;"",M129&lt;&gt;"",M129&lt;E129),"⚠ Arr&lt;Loaded",IF(AND(M129&lt;&gt;"",N129&lt;&gt;"",N129&lt;M129),"⚠ Off&lt;Arr","OK"))</f>
        <v/>
      </c>
      <c r="V129" s="16">
        <f>IF(E129="","",TEXT(E129,"yyyy-mm"))</f>
        <v/>
      </c>
    </row>
    <row r="130">
      <c r="B130" s="16" t="n">
        <v>184182</v>
      </c>
      <c r="C130" s="16" t="inlineStr">
        <is>
          <t>184182-DEM</t>
        </is>
      </c>
      <c r="D130" s="20" t="inlineStr">
        <is>
          <t>Rubis Energy Zambia</t>
        </is>
      </c>
      <c r="E130" s="186" t="n">
        <v>45994</v>
      </c>
      <c r="F130" s="20" t="inlineStr">
        <is>
          <t>Beira</t>
        </is>
      </c>
      <c r="G130" s="20" t="inlineStr">
        <is>
          <t>Lusaka</t>
        </is>
      </c>
      <c r="H130" s="20" t="inlineStr">
        <is>
          <t>AGO</t>
        </is>
      </c>
      <c r="I130" s="20" t="inlineStr">
        <is>
          <t>AGL7682</t>
        </is>
      </c>
      <c r="J130" s="20" t="inlineStr">
        <is>
          <t>AHD0567</t>
        </is>
      </c>
      <c r="K130" s="20" t="inlineStr">
        <is>
          <t>TRUCKEAZE</t>
        </is>
      </c>
      <c r="L130" s="20" t="inlineStr">
        <is>
          <t>Masotsha Nyoni</t>
        </is>
      </c>
      <c r="M130" s="186" t="n">
        <v>46002</v>
      </c>
      <c r="N130" s="186" t="n">
        <v>46007</v>
      </c>
      <c r="O130" s="187">
        <f>IF(OR(M130="",N130=""),"",N130-M130)</f>
        <v/>
      </c>
      <c r="P130" s="187">
        <f>IFERROR(VLOOKUP(B130,Deals[#All],7,FALSE),DEF_LAYTIME)</f>
        <v/>
      </c>
      <c r="Q130" s="187">
        <f>IF(O130="","",MAX(0,O130-P130))</f>
        <v/>
      </c>
      <c r="R130" s="188">
        <f>IFERROR(VLOOKUP(B130,Deals[#All],8,FALSE),DEF_RATE)</f>
        <v/>
      </c>
      <c r="S130" s="188">
        <f>IF(Q130="","",Q130*R130)</f>
        <v/>
      </c>
      <c r="T130" s="16">
        <f>IF(O130="","PENDING",IF(Q130&gt;0,"DEMURRAGE","ON-TIME"))</f>
        <v/>
      </c>
      <c r="U130" s="16">
        <f>IF(AND(E130&lt;&gt;"",M130&lt;&gt;"",M130&lt;E130),"⚠ Arr&lt;Loaded",IF(AND(M130&lt;&gt;"",N130&lt;&gt;"",N130&lt;M130),"⚠ Off&lt;Arr","OK"))</f>
        <v/>
      </c>
      <c r="V130" s="16">
        <f>IF(E130="","",TEXT(E130,"yyyy-mm"))</f>
        <v/>
      </c>
    </row>
    <row r="131">
      <c r="B131" s="16" t="n">
        <v>184182</v>
      </c>
      <c r="C131" s="16" t="inlineStr">
        <is>
          <t>184182-DEM</t>
        </is>
      </c>
      <c r="D131" s="20" t="inlineStr">
        <is>
          <t>Rubis Energy Zambia</t>
        </is>
      </c>
      <c r="E131" s="186" t="n">
        <v>45994</v>
      </c>
      <c r="F131" s="20" t="inlineStr">
        <is>
          <t>Beira</t>
        </is>
      </c>
      <c r="G131" s="20" t="inlineStr">
        <is>
          <t>Lusaka</t>
        </is>
      </c>
      <c r="H131" s="20" t="inlineStr">
        <is>
          <t>AGO</t>
        </is>
      </c>
      <c r="I131" s="20" t="inlineStr">
        <is>
          <t>AGJ9268</t>
        </is>
      </c>
      <c r="J131" s="20" t="inlineStr">
        <is>
          <t>AGK3620</t>
        </is>
      </c>
      <c r="K131" s="20" t="inlineStr">
        <is>
          <t>TRUCKEAZE</t>
        </is>
      </c>
      <c r="L131" s="20" t="inlineStr">
        <is>
          <t>Talkmore Ngonidzashe Gumbwa</t>
        </is>
      </c>
      <c r="M131" s="186" t="n">
        <v>46002</v>
      </c>
      <c r="N131" s="186" t="n">
        <v>46007</v>
      </c>
      <c r="O131" s="187">
        <f>IF(OR(M131="",N131=""),"",N131-M131)</f>
        <v/>
      </c>
      <c r="P131" s="187">
        <f>IFERROR(VLOOKUP(B131,Deals[#All],7,FALSE),DEF_LAYTIME)</f>
        <v/>
      </c>
      <c r="Q131" s="187">
        <f>IF(O131="","",MAX(0,O131-P131))</f>
        <v/>
      </c>
      <c r="R131" s="188">
        <f>IFERROR(VLOOKUP(B131,Deals[#All],8,FALSE),DEF_RATE)</f>
        <v/>
      </c>
      <c r="S131" s="188">
        <f>IF(Q131="","",Q131*R131)</f>
        <v/>
      </c>
      <c r="T131" s="16">
        <f>IF(O131="","PENDING",IF(Q131&gt;0,"DEMURRAGE","ON-TIME"))</f>
        <v/>
      </c>
      <c r="U131" s="16">
        <f>IF(AND(E131&lt;&gt;"",M131&lt;&gt;"",M131&lt;E131),"⚠ Arr&lt;Loaded",IF(AND(M131&lt;&gt;"",N131&lt;&gt;"",N131&lt;M131),"⚠ Off&lt;Arr","OK"))</f>
        <v/>
      </c>
      <c r="V131" s="16">
        <f>IF(E131="","",TEXT(E131,"yyyy-mm"))</f>
        <v/>
      </c>
    </row>
    <row r="132">
      <c r="B132" s="16" t="n">
        <v>184182</v>
      </c>
      <c r="C132" s="16" t="inlineStr">
        <is>
          <t>184182-DEM</t>
        </is>
      </c>
      <c r="D132" s="20" t="inlineStr">
        <is>
          <t>Rubis Energy Zambia</t>
        </is>
      </c>
      <c r="E132" s="186" t="n">
        <v>45995</v>
      </c>
      <c r="F132" s="20" t="inlineStr">
        <is>
          <t>Beira</t>
        </is>
      </c>
      <c r="G132" s="20" t="inlineStr">
        <is>
          <t>Lusaka</t>
        </is>
      </c>
      <c r="H132" s="20" t="inlineStr">
        <is>
          <t>AGO</t>
        </is>
      </c>
      <c r="I132" s="20" t="inlineStr">
        <is>
          <t>AGJ9269</t>
        </is>
      </c>
      <c r="J132" s="20" t="inlineStr">
        <is>
          <t>AGK3385</t>
        </is>
      </c>
      <c r="K132" s="20" t="inlineStr">
        <is>
          <t>TRUCKEAZE</t>
        </is>
      </c>
      <c r="L132" s="20" t="inlineStr">
        <is>
          <t>Trevor Shambare</t>
        </is>
      </c>
      <c r="M132" s="186" t="n">
        <v>46007</v>
      </c>
      <c r="N132" s="186" t="n">
        <v>46009</v>
      </c>
      <c r="O132" s="187">
        <f>IF(OR(M132="",N132=""),"",N132-M132)</f>
        <v/>
      </c>
      <c r="P132" s="187">
        <f>IFERROR(VLOOKUP(B132,Deals[#All],7,FALSE),DEF_LAYTIME)</f>
        <v/>
      </c>
      <c r="Q132" s="187">
        <f>IF(O132="","",MAX(0,O132-P132))</f>
        <v/>
      </c>
      <c r="R132" s="188">
        <f>IFERROR(VLOOKUP(B132,Deals[#All],8,FALSE),DEF_RATE)</f>
        <v/>
      </c>
      <c r="S132" s="188">
        <f>IF(Q132="","",Q132*R132)</f>
        <v/>
      </c>
      <c r="T132" s="16">
        <f>IF(O132="","PENDING",IF(Q132&gt;0,"DEMURRAGE","ON-TIME"))</f>
        <v/>
      </c>
      <c r="U132" s="16">
        <f>IF(AND(E132&lt;&gt;"",M132&lt;&gt;"",M132&lt;E132),"⚠ Arr&lt;Loaded",IF(AND(M132&lt;&gt;"",N132&lt;&gt;"",N132&lt;M132),"⚠ Off&lt;Arr","OK"))</f>
        <v/>
      </c>
      <c r="V132" s="16">
        <f>IF(E132="","",TEXT(E132,"yyyy-mm"))</f>
        <v/>
      </c>
    </row>
    <row r="133">
      <c r="B133" s="16" t="n">
        <v>184182</v>
      </c>
      <c r="C133" s="16" t="inlineStr">
        <is>
          <t>184182-DEM</t>
        </is>
      </c>
      <c r="D133" s="20" t="inlineStr">
        <is>
          <t>Rubis Energy Zambia</t>
        </is>
      </c>
      <c r="E133" s="186" t="n">
        <v>45994</v>
      </c>
      <c r="F133" s="20" t="inlineStr">
        <is>
          <t>Beira</t>
        </is>
      </c>
      <c r="G133" s="20" t="inlineStr">
        <is>
          <t>Lusaka</t>
        </is>
      </c>
      <c r="H133" s="20" t="inlineStr">
        <is>
          <t>AGO</t>
        </is>
      </c>
      <c r="I133" s="20" t="inlineStr">
        <is>
          <t>AGZ4444</t>
        </is>
      </c>
      <c r="J133" s="20" t="inlineStr">
        <is>
          <t>AHD0020</t>
        </is>
      </c>
      <c r="K133" s="20" t="inlineStr">
        <is>
          <t>TRUCKEAZE</t>
        </is>
      </c>
      <c r="L133" s="20" t="inlineStr">
        <is>
          <t>Noah Murenje</t>
        </is>
      </c>
      <c r="M133" s="186" t="n">
        <v>46001</v>
      </c>
      <c r="N133" s="186" t="n">
        <v>46002</v>
      </c>
      <c r="O133" s="187">
        <f>IF(OR(M133="",N133=""),"",N133-M133)</f>
        <v/>
      </c>
      <c r="P133" s="187">
        <f>IFERROR(VLOOKUP(B133,Deals[#All],7,FALSE),DEF_LAYTIME)</f>
        <v/>
      </c>
      <c r="Q133" s="187">
        <f>IF(O133="","",MAX(0,O133-P133))</f>
        <v/>
      </c>
      <c r="R133" s="188">
        <f>IFERROR(VLOOKUP(B133,Deals[#All],8,FALSE),DEF_RATE)</f>
        <v/>
      </c>
      <c r="S133" s="188">
        <f>IF(Q133="","",Q133*R133)</f>
        <v/>
      </c>
      <c r="T133" s="16">
        <f>IF(O133="","PENDING",IF(Q133&gt;0,"DEMURRAGE","ON-TIME"))</f>
        <v/>
      </c>
      <c r="U133" s="16">
        <f>IF(AND(E133&lt;&gt;"",M133&lt;&gt;"",M133&lt;E133),"⚠ Arr&lt;Loaded",IF(AND(M133&lt;&gt;"",N133&lt;&gt;"",N133&lt;M133),"⚠ Off&lt;Arr","OK"))</f>
        <v/>
      </c>
      <c r="V133" s="16">
        <f>IF(E133="","",TEXT(E133,"yyyy-mm"))</f>
        <v/>
      </c>
    </row>
    <row r="134">
      <c r="B134" s="16" t="n">
        <v>184182</v>
      </c>
      <c r="C134" s="16" t="inlineStr">
        <is>
          <t>184182-DEM</t>
        </is>
      </c>
      <c r="D134" s="20" t="inlineStr">
        <is>
          <t>Rubis Energy Zambia</t>
        </is>
      </c>
      <c r="E134" s="186" t="n">
        <v>45992</v>
      </c>
      <c r="F134" s="20" t="inlineStr">
        <is>
          <t>Beira</t>
        </is>
      </c>
      <c r="G134" s="20" t="inlineStr">
        <is>
          <t>Lusaka</t>
        </is>
      </c>
      <c r="H134" s="20" t="inlineStr">
        <is>
          <t>AGO</t>
        </is>
      </c>
      <c r="I134" s="20" t="inlineStr">
        <is>
          <t>AGL5522</t>
        </is>
      </c>
      <c r="J134" s="20" t="inlineStr">
        <is>
          <t>AGK6549</t>
        </is>
      </c>
      <c r="K134" s="20" t="inlineStr">
        <is>
          <t>TRUCKEAZE</t>
        </is>
      </c>
      <c r="L134" s="20" t="inlineStr">
        <is>
          <t>Neville Robson Kaukonde</t>
        </is>
      </c>
      <c r="M134" s="186" t="n">
        <v>45999</v>
      </c>
      <c r="N134" s="186" t="n">
        <v>46000</v>
      </c>
      <c r="O134" s="187">
        <f>IF(OR(M134="",N134=""),"",N134-M134)</f>
        <v/>
      </c>
      <c r="P134" s="187">
        <f>IFERROR(VLOOKUP(B134,Deals[#All],7,FALSE),DEF_LAYTIME)</f>
        <v/>
      </c>
      <c r="Q134" s="187">
        <f>IF(O134="","",MAX(0,O134-P134))</f>
        <v/>
      </c>
      <c r="R134" s="188">
        <f>IFERROR(VLOOKUP(B134,Deals[#All],8,FALSE),DEF_RATE)</f>
        <v/>
      </c>
      <c r="S134" s="188">
        <f>IF(Q134="","",Q134*R134)</f>
        <v/>
      </c>
      <c r="T134" s="16">
        <f>IF(O134="","PENDING",IF(Q134&gt;0,"DEMURRAGE","ON-TIME"))</f>
        <v/>
      </c>
      <c r="U134" s="16">
        <f>IF(AND(E134&lt;&gt;"",M134&lt;&gt;"",M134&lt;E134),"⚠ Arr&lt;Loaded",IF(AND(M134&lt;&gt;"",N134&lt;&gt;"",N134&lt;M134),"⚠ Off&lt;Arr","OK"))</f>
        <v/>
      </c>
      <c r="V134" s="16">
        <f>IF(E134="","",TEXT(E134,"yyyy-mm"))</f>
        <v/>
      </c>
    </row>
    <row r="135">
      <c r="B135" s="16" t="n">
        <v>184182</v>
      </c>
      <c r="C135" s="16" t="inlineStr">
        <is>
          <t>184182-DEM</t>
        </is>
      </c>
      <c r="D135" s="20" t="inlineStr">
        <is>
          <t>Rubis Energy Zambia</t>
        </is>
      </c>
      <c r="E135" s="186" t="n">
        <v>45992</v>
      </c>
      <c r="F135" s="20" t="inlineStr">
        <is>
          <t>Beira</t>
        </is>
      </c>
      <c r="G135" s="20" t="inlineStr">
        <is>
          <t>Lusaka</t>
        </is>
      </c>
      <c r="H135" s="20" t="inlineStr">
        <is>
          <t>AGO</t>
        </is>
      </c>
      <c r="I135" s="20" t="inlineStr">
        <is>
          <t>AFQ9753</t>
        </is>
      </c>
      <c r="J135" s="20" t="inlineStr">
        <is>
          <t>ABN8077</t>
        </is>
      </c>
      <c r="K135" s="20" t="inlineStr">
        <is>
          <t>TRUCKEAZE</t>
        </is>
      </c>
      <c r="L135" s="20" t="inlineStr">
        <is>
          <t>Bernard Dhinda</t>
        </is>
      </c>
      <c r="M135" s="186" t="n">
        <v>46004</v>
      </c>
      <c r="N135" s="186" t="n">
        <v>46008</v>
      </c>
      <c r="O135" s="187">
        <f>IF(OR(M135="",N135=""),"",N135-M135)</f>
        <v/>
      </c>
      <c r="P135" s="187">
        <f>IFERROR(VLOOKUP(B135,Deals[#All],7,FALSE),DEF_LAYTIME)</f>
        <v/>
      </c>
      <c r="Q135" s="187">
        <f>IF(O135="","",MAX(0,O135-P135))</f>
        <v/>
      </c>
      <c r="R135" s="188">
        <f>IFERROR(VLOOKUP(B135,Deals[#All],8,FALSE),DEF_RATE)</f>
        <v/>
      </c>
      <c r="S135" s="188">
        <f>IF(Q135="","",Q135*R135)</f>
        <v/>
      </c>
      <c r="T135" s="16">
        <f>IF(O135="","PENDING",IF(Q135&gt;0,"DEMURRAGE","ON-TIME"))</f>
        <v/>
      </c>
      <c r="U135" s="16">
        <f>IF(AND(E135&lt;&gt;"",M135&lt;&gt;"",M135&lt;E135),"⚠ Arr&lt;Loaded",IF(AND(M135&lt;&gt;"",N135&lt;&gt;"",N135&lt;M135),"⚠ Off&lt;Arr","OK"))</f>
        <v/>
      </c>
      <c r="V135" s="16">
        <f>IF(E135="","",TEXT(E135,"yyyy-mm"))</f>
        <v/>
      </c>
    </row>
    <row r="136">
      <c r="B136" s="16" t="n">
        <v>184182</v>
      </c>
      <c r="C136" s="16" t="inlineStr">
        <is>
          <t>184182-DEM</t>
        </is>
      </c>
      <c r="D136" s="20" t="inlineStr">
        <is>
          <t>Rubis Energy Zambia</t>
        </is>
      </c>
      <c r="E136" s="186" t="n">
        <v>45992</v>
      </c>
      <c r="F136" s="20" t="inlineStr">
        <is>
          <t>Beira</t>
        </is>
      </c>
      <c r="G136" s="20" t="inlineStr">
        <is>
          <t>Lusaka</t>
        </is>
      </c>
      <c r="H136" s="20" t="inlineStr">
        <is>
          <t>AGO</t>
        </is>
      </c>
      <c r="I136" s="20" t="inlineStr">
        <is>
          <t>AGJ0464</t>
        </is>
      </c>
      <c r="J136" s="20" t="inlineStr">
        <is>
          <t>AHD0382</t>
        </is>
      </c>
      <c r="K136" s="20" t="inlineStr">
        <is>
          <t>TRUCKEAZE</t>
        </is>
      </c>
      <c r="L136" s="20" t="inlineStr">
        <is>
          <t xml:space="preserve">Ranganai Tarasizio Kabanya </t>
        </is>
      </c>
      <c r="M136" s="186" t="n">
        <v>46004</v>
      </c>
      <c r="N136" s="186" t="n">
        <v>46008</v>
      </c>
      <c r="O136" s="187">
        <f>IF(OR(M136="",N136=""),"",N136-M136)</f>
        <v/>
      </c>
      <c r="P136" s="187">
        <f>IFERROR(VLOOKUP(B136,Deals[#All],7,FALSE),DEF_LAYTIME)</f>
        <v/>
      </c>
      <c r="Q136" s="187">
        <f>IF(O136="","",MAX(0,O136-P136))</f>
        <v/>
      </c>
      <c r="R136" s="188">
        <f>IFERROR(VLOOKUP(B136,Deals[#All],8,FALSE),DEF_RATE)</f>
        <v/>
      </c>
      <c r="S136" s="188">
        <f>IF(Q136="","",Q136*R136)</f>
        <v/>
      </c>
      <c r="T136" s="16">
        <f>IF(O136="","PENDING",IF(Q136&gt;0,"DEMURRAGE","ON-TIME"))</f>
        <v/>
      </c>
      <c r="U136" s="16">
        <f>IF(AND(E136&lt;&gt;"",M136&lt;&gt;"",M136&lt;E136),"⚠ Arr&lt;Loaded",IF(AND(M136&lt;&gt;"",N136&lt;&gt;"",N136&lt;M136),"⚠ Off&lt;Arr","OK"))</f>
        <v/>
      </c>
      <c r="V136" s="16">
        <f>IF(E136="","",TEXT(E136,"yyyy-mm"))</f>
        <v/>
      </c>
    </row>
    <row r="137">
      <c r="B137" s="16" t="n">
        <v>184182</v>
      </c>
      <c r="C137" s="16" t="inlineStr">
        <is>
          <t>184182-DEM</t>
        </is>
      </c>
      <c r="D137" s="20" t="inlineStr">
        <is>
          <t>Rubis Energy Zambia</t>
        </is>
      </c>
      <c r="E137" s="186" t="n">
        <v>45993</v>
      </c>
      <c r="F137" s="20" t="inlineStr">
        <is>
          <t>Beira</t>
        </is>
      </c>
      <c r="G137" s="20" t="inlineStr">
        <is>
          <t>Lusaka</t>
        </is>
      </c>
      <c r="H137" s="20" t="inlineStr">
        <is>
          <t>AGO</t>
        </is>
      </c>
      <c r="I137" s="20" t="inlineStr">
        <is>
          <t>AEZ9150</t>
        </is>
      </c>
      <c r="J137" s="20" t="inlineStr">
        <is>
          <t>AGK6758</t>
        </is>
      </c>
      <c r="K137" s="20" t="inlineStr">
        <is>
          <t>TRUCKEAZE</t>
        </is>
      </c>
      <c r="L137" s="20" t="inlineStr">
        <is>
          <t>Stanley Munyebvu</t>
        </is>
      </c>
      <c r="M137" s="186" t="n">
        <v>45999</v>
      </c>
      <c r="N137" s="186" t="n">
        <v>46001</v>
      </c>
      <c r="O137" s="187">
        <f>IF(OR(M137="",N137=""),"",N137-M137)</f>
        <v/>
      </c>
      <c r="P137" s="187">
        <f>IFERROR(VLOOKUP(B137,Deals[#All],7,FALSE),DEF_LAYTIME)</f>
        <v/>
      </c>
      <c r="Q137" s="187">
        <f>IF(O137="","",MAX(0,O137-P137))</f>
        <v/>
      </c>
      <c r="R137" s="188">
        <f>IFERROR(VLOOKUP(B137,Deals[#All],8,FALSE),DEF_RATE)</f>
        <v/>
      </c>
      <c r="S137" s="188">
        <f>IF(Q137="","",Q137*R137)</f>
        <v/>
      </c>
      <c r="T137" s="16">
        <f>IF(O137="","PENDING",IF(Q137&gt;0,"DEMURRAGE","ON-TIME"))</f>
        <v/>
      </c>
      <c r="U137" s="16">
        <f>IF(AND(E137&lt;&gt;"",M137&lt;&gt;"",M137&lt;E137),"⚠ Arr&lt;Loaded",IF(AND(M137&lt;&gt;"",N137&lt;&gt;"",N137&lt;M137),"⚠ Off&lt;Arr","OK"))</f>
        <v/>
      </c>
      <c r="V137" s="16">
        <f>IF(E137="","",TEXT(E137,"yyyy-mm"))</f>
        <v/>
      </c>
    </row>
    <row r="138">
      <c r="B138" s="71" t="inlineStr">
        <is>
          <t>Total</t>
        </is>
      </c>
      <c r="C138" s="71" t="n"/>
      <c r="D138" s="71" t="n"/>
      <c r="E138" s="71" t="n"/>
      <c r="F138" s="71" t="n"/>
      <c r="G138" s="71" t="n"/>
      <c r="H138" s="71" t="n"/>
      <c r="I138" s="71" t="n"/>
      <c r="J138" s="71" t="n"/>
      <c r="K138" s="71" t="n"/>
      <c r="L138" s="71" t="n"/>
      <c r="M138" s="71" t="n"/>
      <c r="N138" s="71" t="n"/>
      <c r="O138" s="71">
        <f>SUBTOTAL(109,Trips[Waiting (d)])</f>
        <v/>
      </c>
      <c r="P138" s="71" t="n"/>
      <c r="Q138" s="71">
        <f>SUBTOTAL(109,Trips[Excess (d)])</f>
        <v/>
      </c>
      <c r="R138" s="189" t="n"/>
      <c r="S138" s="189">
        <f>SUBTOTAL(109,Trips[Demurrage (USD)])</f>
        <v/>
      </c>
      <c r="T138" s="71" t="n"/>
      <c r="U138" s="71" t="n"/>
      <c r="V138" s="71" t="n"/>
    </row>
    <row r="139">
      <c r="R139" s="170" t="n"/>
      <c r="S139" s="170" t="n"/>
    </row>
    <row r="140">
      <c r="R140" s="170" t="n"/>
      <c r="S140" s="170" t="n"/>
    </row>
    <row r="141">
      <c r="R141" s="170" t="n"/>
      <c r="S141" s="170" t="n"/>
    </row>
    <row r="142">
      <c r="R142" s="170" t="n"/>
      <c r="S142" s="170" t="n"/>
    </row>
    <row r="143">
      <c r="R143" s="170" t="n"/>
      <c r="S143" s="170" t="n"/>
    </row>
    <row r="144">
      <c r="R144" s="170" t="n"/>
      <c r="S144" s="170" t="n"/>
    </row>
    <row r="145">
      <c r="R145" s="170" t="n"/>
      <c r="S145" s="170" t="n"/>
    </row>
    <row r="146">
      <c r="R146" s="170" t="n"/>
      <c r="S146" s="170" t="n"/>
    </row>
    <row r="147">
      <c r="R147" s="170" t="n"/>
      <c r="S147" s="170" t="n"/>
    </row>
    <row r="148">
      <c r="R148" s="170" t="n"/>
      <c r="S148" s="170" t="n"/>
    </row>
    <row r="149">
      <c r="R149" s="170" t="n"/>
      <c r="S149" s="170" t="n"/>
    </row>
    <row r="150">
      <c r="R150" s="170" t="n"/>
      <c r="S150" s="170" t="n"/>
    </row>
    <row r="151">
      <c r="R151" s="170" t="n"/>
      <c r="S151" s="170" t="n"/>
    </row>
    <row r="152">
      <c r="R152" s="170" t="n"/>
      <c r="S152" s="170" t="n"/>
    </row>
    <row r="153">
      <c r="R153" s="170" t="n"/>
      <c r="S153" s="170" t="n"/>
    </row>
    <row r="154">
      <c r="R154" s="170" t="n"/>
      <c r="S154" s="170" t="n"/>
    </row>
    <row r="155">
      <c r="R155" s="170" t="n"/>
      <c r="S155" s="170" t="n"/>
    </row>
    <row r="156">
      <c r="R156" s="170" t="n"/>
      <c r="S156" s="170" t="n"/>
    </row>
    <row r="157">
      <c r="R157" s="170" t="n"/>
      <c r="S157" s="170" t="n"/>
    </row>
    <row r="158">
      <c r="R158" s="170" t="n"/>
      <c r="S158" s="170" t="n"/>
    </row>
    <row r="159">
      <c r="R159" s="170" t="n"/>
      <c r="S159" s="170" t="n"/>
    </row>
    <row r="160">
      <c r="R160" s="170" t="n"/>
      <c r="S160" s="170" t="n"/>
    </row>
    <row r="161">
      <c r="R161" s="170" t="n"/>
      <c r="S161" s="170" t="n"/>
    </row>
    <row r="162">
      <c r="R162" s="170" t="n"/>
      <c r="S162" s="170" t="n"/>
    </row>
    <row r="163">
      <c r="R163" s="170" t="n"/>
      <c r="S163" s="170" t="n"/>
    </row>
    <row r="164">
      <c r="R164" s="170" t="n"/>
      <c r="S164" s="170" t="n"/>
    </row>
    <row r="165">
      <c r="R165" s="170" t="n"/>
      <c r="S165" s="170" t="n"/>
    </row>
    <row r="166">
      <c r="R166" s="170" t="n"/>
      <c r="S166" s="170" t="n"/>
    </row>
    <row r="167">
      <c r="R167" s="170" t="n"/>
      <c r="S167" s="170" t="n"/>
    </row>
    <row r="168">
      <c r="R168" s="170" t="n"/>
      <c r="S168" s="170" t="n"/>
    </row>
    <row r="169">
      <c r="R169" s="170" t="n"/>
      <c r="S169" s="170" t="n"/>
    </row>
    <row r="170">
      <c r="R170" s="170" t="n"/>
      <c r="S170" s="170" t="n"/>
    </row>
    <row r="171">
      <c r="R171" s="170" t="n"/>
      <c r="S171" s="170" t="n"/>
    </row>
    <row r="172">
      <c r="R172" s="170" t="n"/>
      <c r="S172" s="170" t="n"/>
    </row>
    <row r="173">
      <c r="R173" s="170" t="n"/>
      <c r="S173" s="170" t="n"/>
    </row>
    <row r="174">
      <c r="R174" s="170" t="n"/>
      <c r="S174" s="170" t="n"/>
    </row>
    <row r="175">
      <c r="R175" s="170" t="n"/>
      <c r="S175" s="170" t="n"/>
    </row>
    <row r="176">
      <c r="R176" s="170" t="n"/>
      <c r="S176" s="170" t="n"/>
    </row>
    <row r="177">
      <c r="R177" s="170" t="n"/>
      <c r="S177" s="170" t="n"/>
    </row>
    <row r="178">
      <c r="R178" s="170" t="n"/>
      <c r="S178" s="170" t="n"/>
    </row>
    <row r="179">
      <c r="R179" s="170" t="n"/>
      <c r="S179" s="170" t="n"/>
    </row>
    <row r="180">
      <c r="R180" s="170" t="n"/>
      <c r="S180" s="170" t="n"/>
    </row>
    <row r="181">
      <c r="R181" s="170" t="n"/>
      <c r="S181" s="170" t="n"/>
    </row>
    <row r="182">
      <c r="R182" s="170" t="n"/>
      <c r="S182" s="170" t="n"/>
    </row>
    <row r="183">
      <c r="R183" s="170" t="n"/>
      <c r="S183" s="170" t="n"/>
    </row>
    <row r="184">
      <c r="R184" s="170" t="n"/>
      <c r="S184" s="170" t="n"/>
    </row>
    <row r="185">
      <c r="R185" s="170" t="n"/>
      <c r="S185" s="170" t="n"/>
    </row>
    <row r="186">
      <c r="R186" s="170" t="n"/>
      <c r="S186" s="170" t="n"/>
    </row>
    <row r="187">
      <c r="R187" s="170" t="n"/>
      <c r="S187" s="170" t="n"/>
    </row>
    <row r="188">
      <c r="R188" s="170" t="n"/>
      <c r="S188" s="170" t="n"/>
    </row>
    <row r="189">
      <c r="R189" s="170" t="n"/>
      <c r="S189" s="170" t="n"/>
    </row>
    <row r="190">
      <c r="R190" s="170" t="n"/>
      <c r="S190" s="170" t="n"/>
    </row>
    <row r="191">
      <c r="R191" s="170" t="n"/>
      <c r="S191" s="170" t="n"/>
    </row>
    <row r="192">
      <c r="R192" s="170" t="n"/>
      <c r="S192" s="170" t="n"/>
    </row>
    <row r="193">
      <c r="R193" s="170" t="n"/>
      <c r="S193" s="170" t="n"/>
    </row>
    <row r="194">
      <c r="R194" s="170" t="n"/>
      <c r="S194" s="170" t="n"/>
    </row>
    <row r="195">
      <c r="R195" s="170" t="n"/>
      <c r="S195" s="170" t="n"/>
    </row>
    <row r="196">
      <c r="R196" s="170" t="n"/>
      <c r="S196" s="170" t="n"/>
    </row>
    <row r="197">
      <c r="R197" s="170" t="n"/>
      <c r="S197" s="170" t="n"/>
    </row>
    <row r="198">
      <c r="R198" s="170" t="n"/>
      <c r="S198" s="170" t="n"/>
    </row>
    <row r="199">
      <c r="R199" s="170" t="n"/>
      <c r="S199" s="170" t="n"/>
    </row>
    <row r="200">
      <c r="R200" s="170" t="n"/>
      <c r="S200" s="170" t="n"/>
    </row>
    <row r="201">
      <c r="R201" s="170" t="n"/>
      <c r="S201" s="170" t="n"/>
    </row>
    <row r="202">
      <c r="R202" s="170" t="n"/>
      <c r="S202" s="170" t="n"/>
    </row>
    <row r="203">
      <c r="R203" s="170" t="n"/>
      <c r="S203" s="170" t="n"/>
    </row>
    <row r="204">
      <c r="R204" s="170" t="n"/>
      <c r="S204" s="170" t="n"/>
    </row>
    <row r="205">
      <c r="R205" s="170" t="n"/>
      <c r="S205" s="170" t="n"/>
    </row>
    <row r="206">
      <c r="R206" s="170" t="n"/>
      <c r="S206" s="170" t="n"/>
    </row>
    <row r="207">
      <c r="R207" s="170" t="n"/>
      <c r="S207" s="170" t="n"/>
    </row>
    <row r="208">
      <c r="R208" s="170" t="n"/>
      <c r="S208" s="170" t="n"/>
    </row>
    <row r="209">
      <c r="R209" s="170" t="n"/>
      <c r="S209" s="170" t="n"/>
    </row>
    <row r="210">
      <c r="R210" s="170" t="n"/>
      <c r="S210" s="170" t="n"/>
    </row>
    <row r="211">
      <c r="R211" s="170" t="n"/>
      <c r="S211" s="170" t="n"/>
    </row>
    <row r="212">
      <c r="R212" s="170" t="n"/>
      <c r="S212" s="170" t="n"/>
    </row>
    <row r="213">
      <c r="R213" s="170" t="n"/>
      <c r="S213" s="170" t="n"/>
    </row>
    <row r="214">
      <c r="R214" s="170" t="n"/>
      <c r="S214" s="170" t="n"/>
    </row>
    <row r="215">
      <c r="R215" s="170" t="n"/>
      <c r="S215" s="170" t="n"/>
    </row>
    <row r="216">
      <c r="R216" s="170" t="n"/>
      <c r="S216" s="170" t="n"/>
    </row>
    <row r="217">
      <c r="R217" s="170" t="n"/>
      <c r="S217" s="170" t="n"/>
    </row>
    <row r="218">
      <c r="R218" s="170" t="n"/>
      <c r="S218" s="170" t="n"/>
    </row>
    <row r="219">
      <c r="R219" s="170" t="n"/>
      <c r="S219" s="170" t="n"/>
    </row>
    <row r="220">
      <c r="R220" s="170" t="n"/>
      <c r="S220" s="170" t="n"/>
    </row>
    <row r="221">
      <c r="R221" s="170" t="n"/>
      <c r="S221" s="170" t="n"/>
    </row>
    <row r="222">
      <c r="R222" s="170" t="n"/>
      <c r="S222" s="170" t="n"/>
    </row>
    <row r="223">
      <c r="R223" s="170" t="n"/>
      <c r="S223" s="170" t="n"/>
    </row>
    <row r="224">
      <c r="R224" s="170" t="n"/>
      <c r="S224" s="170" t="n"/>
    </row>
    <row r="225">
      <c r="R225" s="170" t="n"/>
      <c r="S225" s="170" t="n"/>
    </row>
    <row r="226">
      <c r="R226" s="170" t="n"/>
      <c r="S226" s="170" t="n"/>
    </row>
    <row r="227">
      <c r="R227" s="170" t="n"/>
      <c r="S227" s="170" t="n"/>
    </row>
    <row r="228">
      <c r="R228" s="170" t="n"/>
      <c r="S228" s="170" t="n"/>
    </row>
    <row r="229">
      <c r="R229" s="170" t="n"/>
      <c r="S229" s="170" t="n"/>
    </row>
    <row r="230">
      <c r="R230" s="170" t="n"/>
      <c r="S230" s="170" t="n"/>
    </row>
    <row r="231">
      <c r="R231" s="170" t="n"/>
      <c r="S231" s="170" t="n"/>
    </row>
    <row r="232">
      <c r="R232" s="170" t="n"/>
      <c r="S232" s="170" t="n"/>
    </row>
    <row r="233">
      <c r="R233" s="170" t="n"/>
      <c r="S233" s="170" t="n"/>
    </row>
    <row r="234">
      <c r="R234" s="170" t="n"/>
      <c r="S234" s="170" t="n"/>
    </row>
    <row r="235">
      <c r="R235" s="170" t="n"/>
      <c r="S235" s="170" t="n"/>
    </row>
    <row r="236">
      <c r="R236" s="170" t="n"/>
      <c r="S236" s="170" t="n"/>
    </row>
    <row r="237">
      <c r="R237" s="170" t="n"/>
      <c r="S237" s="170" t="n"/>
    </row>
    <row r="238">
      <c r="R238" s="170" t="n"/>
      <c r="S238" s="170" t="n"/>
    </row>
    <row r="239">
      <c r="R239" s="170" t="n"/>
      <c r="S239" s="170" t="n"/>
    </row>
    <row r="240">
      <c r="R240" s="170" t="n"/>
      <c r="S240" s="170" t="n"/>
    </row>
    <row r="241">
      <c r="R241" s="170" t="n"/>
      <c r="S241" s="170" t="n"/>
    </row>
    <row r="242">
      <c r="R242" s="170" t="n"/>
      <c r="S242" s="170" t="n"/>
    </row>
    <row r="243">
      <c r="R243" s="170" t="n"/>
      <c r="S243" s="170" t="n"/>
    </row>
    <row r="244">
      <c r="R244" s="170" t="n"/>
      <c r="S244" s="170" t="n"/>
    </row>
    <row r="245">
      <c r="R245" s="170" t="n"/>
      <c r="S245" s="170" t="n"/>
    </row>
    <row r="246">
      <c r="R246" s="170" t="n"/>
      <c r="S246" s="170" t="n"/>
    </row>
    <row r="247">
      <c r="R247" s="170" t="n"/>
      <c r="S247" s="170" t="n"/>
    </row>
    <row r="248">
      <c r="R248" s="170" t="n"/>
      <c r="S248" s="170" t="n"/>
    </row>
    <row r="249">
      <c r="R249" s="170" t="n"/>
      <c r="S249" s="170" t="n"/>
    </row>
    <row r="250">
      <c r="R250" s="170" t="n"/>
      <c r="S250" s="170" t="n"/>
    </row>
    <row r="251">
      <c r="R251" s="170" t="n"/>
      <c r="S251" s="170" t="n"/>
    </row>
    <row r="252">
      <c r="R252" s="170" t="n"/>
      <c r="S252" s="170" t="n"/>
    </row>
    <row r="253">
      <c r="R253" s="170" t="n"/>
      <c r="S253" s="170" t="n"/>
    </row>
    <row r="254">
      <c r="R254" s="170" t="n"/>
      <c r="S254" s="170" t="n"/>
    </row>
    <row r="255">
      <c r="R255" s="170" t="n"/>
      <c r="S255" s="170" t="n"/>
    </row>
    <row r="256">
      <c r="R256" s="170" t="n"/>
      <c r="S256" s="170" t="n"/>
    </row>
    <row r="257">
      <c r="R257" s="170" t="n"/>
      <c r="S257" s="170" t="n"/>
    </row>
    <row r="258">
      <c r="R258" s="170" t="n"/>
      <c r="S258" s="170" t="n"/>
    </row>
    <row r="259">
      <c r="R259" s="170" t="n"/>
      <c r="S259" s="170" t="n"/>
    </row>
    <row r="260">
      <c r="R260" s="170" t="n"/>
      <c r="S260" s="170" t="n"/>
    </row>
    <row r="261">
      <c r="R261" s="170" t="n"/>
      <c r="S261" s="170" t="n"/>
    </row>
    <row r="262">
      <c r="R262" s="170" t="n"/>
      <c r="S262" s="170" t="n"/>
    </row>
    <row r="263">
      <c r="R263" s="170" t="n"/>
      <c r="S263" s="170" t="n"/>
    </row>
    <row r="264">
      <c r="R264" s="170" t="n"/>
      <c r="S264" s="170" t="n"/>
    </row>
    <row r="265">
      <c r="R265" s="170" t="n"/>
      <c r="S265" s="170" t="n"/>
    </row>
    <row r="266">
      <c r="R266" s="170" t="n"/>
      <c r="S266" s="170" t="n"/>
    </row>
    <row r="267">
      <c r="R267" s="170" t="n"/>
      <c r="S267" s="170" t="n"/>
    </row>
    <row r="268">
      <c r="R268" s="170" t="n"/>
      <c r="S268" s="170" t="n"/>
    </row>
    <row r="269">
      <c r="R269" s="170" t="n"/>
      <c r="S269" s="170" t="n"/>
    </row>
    <row r="270">
      <c r="R270" s="170" t="n"/>
      <c r="S270" s="170" t="n"/>
    </row>
    <row r="271">
      <c r="R271" s="170" t="n"/>
      <c r="S271" s="170" t="n"/>
    </row>
    <row r="272">
      <c r="R272" s="170" t="n"/>
      <c r="S272" s="170" t="n"/>
    </row>
    <row r="273">
      <c r="R273" s="170" t="n"/>
      <c r="S273" s="170" t="n"/>
    </row>
    <row r="274">
      <c r="R274" s="170" t="n"/>
      <c r="S274" s="170" t="n"/>
    </row>
    <row r="275">
      <c r="R275" s="170" t="n"/>
      <c r="S275" s="170" t="n"/>
    </row>
    <row r="276">
      <c r="R276" s="170" t="n"/>
      <c r="S276" s="170" t="n"/>
    </row>
    <row r="277">
      <c r="R277" s="170" t="n"/>
      <c r="S277" s="170" t="n"/>
    </row>
    <row r="278">
      <c r="R278" s="170" t="n"/>
      <c r="S278" s="170" t="n"/>
    </row>
    <row r="279">
      <c r="R279" s="170" t="n"/>
      <c r="S279" s="170" t="n"/>
    </row>
    <row r="280">
      <c r="R280" s="170" t="n"/>
      <c r="S280" s="170" t="n"/>
    </row>
    <row r="281">
      <c r="R281" s="170" t="n"/>
      <c r="S281" s="170" t="n"/>
    </row>
    <row r="282">
      <c r="R282" s="170" t="n"/>
      <c r="S282" s="170" t="n"/>
    </row>
    <row r="283">
      <c r="R283" s="170" t="n"/>
      <c r="S283" s="170" t="n"/>
    </row>
    <row r="284">
      <c r="R284" s="170" t="n"/>
      <c r="S284" s="170" t="n"/>
    </row>
    <row r="285">
      <c r="R285" s="170" t="n"/>
      <c r="S285" s="170" t="n"/>
    </row>
    <row r="286">
      <c r="R286" s="170" t="n"/>
      <c r="S286" s="170" t="n"/>
    </row>
    <row r="287">
      <c r="R287" s="170" t="n"/>
      <c r="S287" s="170" t="n"/>
    </row>
    <row r="288">
      <c r="R288" s="170" t="n"/>
      <c r="S288" s="170" t="n"/>
    </row>
    <row r="289">
      <c r="R289" s="170" t="n"/>
      <c r="S289" s="170" t="n"/>
    </row>
    <row r="290">
      <c r="R290" s="170" t="n"/>
      <c r="S290" s="170" t="n"/>
    </row>
    <row r="291">
      <c r="R291" s="170" t="n"/>
      <c r="S291" s="170" t="n"/>
    </row>
    <row r="292">
      <c r="R292" s="170" t="n"/>
      <c r="S292" s="170" t="n"/>
    </row>
    <row r="293">
      <c r="R293" s="170" t="n"/>
      <c r="S293" s="170" t="n"/>
    </row>
    <row r="294">
      <c r="R294" s="170" t="n"/>
      <c r="S294" s="170" t="n"/>
    </row>
    <row r="295">
      <c r="R295" s="170" t="n"/>
      <c r="S295" s="170" t="n"/>
    </row>
    <row r="296">
      <c r="R296" s="170" t="n"/>
      <c r="S296" s="170" t="n"/>
    </row>
    <row r="297">
      <c r="R297" s="170" t="n"/>
      <c r="S297" s="170" t="n"/>
    </row>
    <row r="298">
      <c r="R298" s="170" t="n"/>
      <c r="S298" s="170" t="n"/>
    </row>
    <row r="299">
      <c r="R299" s="170" t="n"/>
      <c r="S299" s="170" t="n"/>
    </row>
    <row r="300">
      <c r="R300" s="170" t="n"/>
      <c r="S300" s="170" t="n"/>
    </row>
    <row r="301">
      <c r="R301" s="170" t="n"/>
      <c r="S301" s="170" t="n"/>
    </row>
    <row r="302">
      <c r="R302" s="170" t="n"/>
      <c r="S302" s="170" t="n"/>
    </row>
    <row r="303">
      <c r="R303" s="170" t="n"/>
      <c r="S303" s="170" t="n"/>
    </row>
    <row r="304">
      <c r="R304" s="170" t="n"/>
      <c r="S304" s="170" t="n"/>
    </row>
    <row r="305">
      <c r="R305" s="170" t="n"/>
      <c r="S305" s="170" t="n"/>
    </row>
    <row r="306">
      <c r="R306" s="170" t="n"/>
      <c r="S306" s="170" t="n"/>
    </row>
    <row r="307">
      <c r="R307" s="170" t="n"/>
      <c r="S307" s="170" t="n"/>
    </row>
    <row r="308">
      <c r="R308" s="170" t="n"/>
      <c r="S308" s="170" t="n"/>
    </row>
    <row r="309">
      <c r="R309" s="170" t="n"/>
      <c r="S309" s="170" t="n"/>
    </row>
    <row r="310">
      <c r="R310" s="170" t="n"/>
      <c r="S310" s="170" t="n"/>
    </row>
    <row r="311">
      <c r="R311" s="170" t="n"/>
      <c r="S311" s="170" t="n"/>
    </row>
    <row r="312">
      <c r="R312" s="170" t="n"/>
      <c r="S312" s="170" t="n"/>
    </row>
    <row r="313">
      <c r="R313" s="170" t="n"/>
      <c r="S313" s="170" t="n"/>
    </row>
    <row r="314">
      <c r="R314" s="170" t="n"/>
      <c r="S314" s="170" t="n"/>
    </row>
    <row r="315">
      <c r="R315" s="170" t="n"/>
      <c r="S315" s="170" t="n"/>
    </row>
    <row r="316">
      <c r="R316" s="170" t="n"/>
      <c r="S316" s="170" t="n"/>
    </row>
    <row r="317">
      <c r="R317" s="170" t="n"/>
      <c r="S317" s="170" t="n"/>
    </row>
    <row r="318">
      <c r="R318" s="170" t="n"/>
      <c r="S318" s="170" t="n"/>
    </row>
    <row r="319">
      <c r="R319" s="170" t="n"/>
      <c r="S319" s="170" t="n"/>
    </row>
    <row r="320">
      <c r="R320" s="170" t="n"/>
      <c r="S320" s="170" t="n"/>
    </row>
    <row r="321">
      <c r="R321" s="170" t="n"/>
      <c r="S321" s="170" t="n"/>
    </row>
    <row r="322">
      <c r="R322" s="170" t="n"/>
      <c r="S322" s="170" t="n"/>
    </row>
    <row r="323">
      <c r="R323" s="170" t="n"/>
      <c r="S323" s="170" t="n"/>
    </row>
    <row r="324">
      <c r="R324" s="170" t="n"/>
      <c r="S324" s="170" t="n"/>
    </row>
    <row r="325">
      <c r="R325" s="170" t="n"/>
      <c r="S325" s="170" t="n"/>
    </row>
    <row r="326">
      <c r="R326" s="170" t="n"/>
      <c r="S326" s="170" t="n"/>
    </row>
    <row r="327">
      <c r="R327" s="170" t="n"/>
      <c r="S327" s="170" t="n"/>
    </row>
    <row r="328">
      <c r="R328" s="170" t="n"/>
      <c r="S328" s="170" t="n"/>
    </row>
    <row r="329">
      <c r="R329" s="170" t="n"/>
      <c r="S329" s="170" t="n"/>
    </row>
    <row r="330">
      <c r="R330" s="170" t="n"/>
      <c r="S330" s="170" t="n"/>
    </row>
    <row r="331">
      <c r="R331" s="170" t="n"/>
      <c r="S331" s="170" t="n"/>
    </row>
    <row r="332">
      <c r="R332" s="170" t="n"/>
      <c r="S332" s="170" t="n"/>
    </row>
    <row r="333">
      <c r="R333" s="170" t="n"/>
      <c r="S333" s="170" t="n"/>
    </row>
    <row r="334">
      <c r="R334" s="170" t="n"/>
      <c r="S334" s="170" t="n"/>
    </row>
    <row r="335">
      <c r="R335" s="170" t="n"/>
      <c r="S335" s="170" t="n"/>
    </row>
    <row r="336">
      <c r="R336" s="170" t="n"/>
      <c r="S336" s="170" t="n"/>
    </row>
    <row r="337">
      <c r="R337" s="170" t="n"/>
      <c r="S337" s="170" t="n"/>
    </row>
    <row r="338">
      <c r="R338" s="170" t="n"/>
      <c r="S338" s="170" t="n"/>
    </row>
    <row r="339">
      <c r="R339" s="170" t="n"/>
      <c r="S339" s="170" t="n"/>
    </row>
    <row r="340">
      <c r="R340" s="170" t="n"/>
      <c r="S340" s="170" t="n"/>
    </row>
    <row r="341">
      <c r="R341" s="170" t="n"/>
      <c r="S341" s="170" t="n"/>
    </row>
    <row r="342">
      <c r="R342" s="170" t="n"/>
      <c r="S342" s="170" t="n"/>
    </row>
    <row r="343">
      <c r="R343" s="170" t="n"/>
      <c r="S343" s="170" t="n"/>
    </row>
    <row r="344">
      <c r="R344" s="170" t="n"/>
      <c r="S344" s="170" t="n"/>
    </row>
    <row r="345">
      <c r="R345" s="170" t="n"/>
      <c r="S345" s="170" t="n"/>
    </row>
    <row r="346">
      <c r="R346" s="170" t="n"/>
      <c r="S346" s="170" t="n"/>
    </row>
    <row r="347">
      <c r="R347" s="170" t="n"/>
      <c r="S347" s="170" t="n"/>
    </row>
    <row r="348">
      <c r="R348" s="170" t="n"/>
      <c r="S348" s="170" t="n"/>
    </row>
    <row r="349">
      <c r="R349" s="170" t="n"/>
      <c r="S349" s="170" t="n"/>
    </row>
    <row r="350">
      <c r="R350" s="170" t="n"/>
      <c r="S350" s="170" t="n"/>
    </row>
    <row r="351">
      <c r="R351" s="170" t="n"/>
      <c r="S351" s="170" t="n"/>
    </row>
    <row r="352">
      <c r="R352" s="170" t="n"/>
      <c r="S352" s="170" t="n"/>
    </row>
    <row r="353">
      <c r="R353" s="170" t="n"/>
      <c r="S353" s="170" t="n"/>
    </row>
    <row r="354">
      <c r="R354" s="170" t="n"/>
      <c r="S354" s="170" t="n"/>
    </row>
    <row r="355">
      <c r="R355" s="170" t="n"/>
      <c r="S355" s="170" t="n"/>
    </row>
    <row r="356">
      <c r="R356" s="170" t="n"/>
      <c r="S356" s="170" t="n"/>
    </row>
    <row r="357">
      <c r="R357" s="170" t="n"/>
      <c r="S357" s="170" t="n"/>
    </row>
    <row r="358">
      <c r="R358" s="170" t="n"/>
      <c r="S358" s="170" t="n"/>
    </row>
    <row r="359">
      <c r="R359" s="170" t="n"/>
      <c r="S359" s="170" t="n"/>
    </row>
    <row r="360">
      <c r="R360" s="170" t="n"/>
      <c r="S360" s="170" t="n"/>
    </row>
    <row r="361">
      <c r="R361" s="170" t="n"/>
      <c r="S361" s="170" t="n"/>
    </row>
    <row r="362">
      <c r="R362" s="170" t="n"/>
      <c r="S362" s="170" t="n"/>
    </row>
    <row r="363">
      <c r="R363" s="170" t="n"/>
      <c r="S363" s="170" t="n"/>
    </row>
    <row r="364">
      <c r="R364" s="170" t="n"/>
      <c r="S364" s="170" t="n"/>
    </row>
    <row r="365">
      <c r="R365" s="170" t="n"/>
      <c r="S365" s="170" t="n"/>
    </row>
    <row r="366">
      <c r="R366" s="170" t="n"/>
      <c r="S366" s="170" t="n"/>
    </row>
    <row r="367">
      <c r="R367" s="170" t="n"/>
      <c r="S367" s="170" t="n"/>
    </row>
    <row r="368">
      <c r="R368" s="170" t="n"/>
      <c r="S368" s="170" t="n"/>
    </row>
    <row r="369">
      <c r="R369" s="170" t="n"/>
      <c r="S369" s="170" t="n"/>
    </row>
    <row r="370">
      <c r="R370" s="170" t="n"/>
      <c r="S370" s="170" t="n"/>
    </row>
    <row r="371">
      <c r="R371" s="170" t="n"/>
      <c r="S371" s="170" t="n"/>
    </row>
    <row r="372">
      <c r="R372" s="170" t="n"/>
      <c r="S372" s="170" t="n"/>
    </row>
    <row r="373">
      <c r="R373" s="170" t="n"/>
      <c r="S373" s="170" t="n"/>
    </row>
    <row r="374">
      <c r="R374" s="170" t="n"/>
      <c r="S374" s="170" t="n"/>
    </row>
    <row r="375">
      <c r="R375" s="170" t="n"/>
      <c r="S375" s="170" t="n"/>
    </row>
    <row r="376">
      <c r="R376" s="170" t="n"/>
      <c r="S376" s="170" t="n"/>
    </row>
    <row r="377">
      <c r="R377" s="170" t="n"/>
      <c r="S377" s="170" t="n"/>
    </row>
    <row r="378">
      <c r="R378" s="170" t="n"/>
      <c r="S378" s="170" t="n"/>
    </row>
    <row r="379">
      <c r="R379" s="170" t="n"/>
      <c r="S379" s="170" t="n"/>
    </row>
    <row r="380">
      <c r="R380" s="170" t="n"/>
      <c r="S380" s="170" t="n"/>
    </row>
    <row r="381">
      <c r="R381" s="170" t="n"/>
      <c r="S381" s="170" t="n"/>
    </row>
    <row r="382">
      <c r="R382" s="170" t="n"/>
      <c r="S382" s="170" t="n"/>
    </row>
    <row r="383">
      <c r="R383" s="170" t="n"/>
      <c r="S383" s="170" t="n"/>
    </row>
    <row r="384">
      <c r="R384" s="170" t="n"/>
      <c r="S384" s="170" t="n"/>
    </row>
    <row r="385">
      <c r="R385" s="170" t="n"/>
      <c r="S385" s="170" t="n"/>
    </row>
    <row r="386">
      <c r="R386" s="170" t="n"/>
      <c r="S386" s="170" t="n"/>
    </row>
    <row r="387">
      <c r="R387" s="170" t="n"/>
      <c r="S387" s="170" t="n"/>
    </row>
    <row r="388">
      <c r="R388" s="170" t="n"/>
      <c r="S388" s="170" t="n"/>
    </row>
    <row r="389">
      <c r="R389" s="170" t="n"/>
      <c r="S389" s="170" t="n"/>
    </row>
    <row r="390">
      <c r="R390" s="170" t="n"/>
      <c r="S390" s="170" t="n"/>
    </row>
    <row r="391">
      <c r="R391" s="170" t="n"/>
      <c r="S391" s="170" t="n"/>
    </row>
    <row r="392">
      <c r="R392" s="170" t="n"/>
      <c r="S392" s="170" t="n"/>
    </row>
    <row r="393">
      <c r="R393" s="170" t="n"/>
      <c r="S393" s="170" t="n"/>
    </row>
    <row r="394">
      <c r="R394" s="170" t="n"/>
      <c r="S394" s="170" t="n"/>
    </row>
    <row r="395">
      <c r="R395" s="170" t="n"/>
      <c r="S395" s="170" t="n"/>
    </row>
    <row r="396">
      <c r="R396" s="170" t="n"/>
      <c r="S396" s="170" t="n"/>
    </row>
    <row r="397">
      <c r="R397" s="170" t="n"/>
      <c r="S397" s="170" t="n"/>
    </row>
    <row r="398">
      <c r="R398" s="170" t="n"/>
      <c r="S398" s="170" t="n"/>
    </row>
    <row r="399">
      <c r="R399" s="170" t="n"/>
      <c r="S399" s="170" t="n"/>
    </row>
    <row r="400">
      <c r="R400" s="170" t="n"/>
      <c r="S400" s="170" t="n"/>
    </row>
    <row r="401">
      <c r="R401" s="170" t="n"/>
      <c r="S401" s="170" t="n"/>
    </row>
    <row r="402">
      <c r="R402" s="170" t="n"/>
      <c r="S402" s="170" t="n"/>
    </row>
    <row r="403">
      <c r="R403" s="170" t="n"/>
      <c r="S403" s="170" t="n"/>
    </row>
    <row r="404">
      <c r="R404" s="170" t="n"/>
      <c r="S404" s="170" t="n"/>
    </row>
    <row r="405">
      <c r="R405" s="170" t="n"/>
      <c r="S405" s="170" t="n"/>
    </row>
    <row r="406">
      <c r="R406" s="170" t="n"/>
      <c r="S406" s="170" t="n"/>
    </row>
    <row r="407">
      <c r="R407" s="170" t="n"/>
      <c r="S407" s="170" t="n"/>
    </row>
    <row r="408">
      <c r="R408" s="170" t="n"/>
      <c r="S408" s="170" t="n"/>
    </row>
    <row r="409">
      <c r="R409" s="170" t="n"/>
      <c r="S409" s="170" t="n"/>
    </row>
    <row r="410">
      <c r="R410" s="170" t="n"/>
      <c r="S410" s="170" t="n"/>
    </row>
    <row r="411">
      <c r="R411" s="170" t="n"/>
      <c r="S411" s="170" t="n"/>
    </row>
    <row r="412">
      <c r="R412" s="170" t="n"/>
      <c r="S412" s="170" t="n"/>
    </row>
    <row r="413">
      <c r="R413" s="170" t="n"/>
      <c r="S413" s="170" t="n"/>
    </row>
    <row r="414">
      <c r="R414" s="170" t="n"/>
      <c r="S414" s="170" t="n"/>
    </row>
    <row r="415">
      <c r="R415" s="170" t="n"/>
      <c r="S415" s="170" t="n"/>
    </row>
    <row r="416">
      <c r="R416" s="170" t="n"/>
      <c r="S416" s="170" t="n"/>
    </row>
    <row r="417">
      <c r="R417" s="170" t="n"/>
      <c r="S417" s="170" t="n"/>
    </row>
    <row r="418">
      <c r="R418" s="170" t="n"/>
      <c r="S418" s="170" t="n"/>
    </row>
    <row r="419">
      <c r="R419" s="170" t="n"/>
      <c r="S419" s="170" t="n"/>
    </row>
    <row r="420">
      <c r="R420" s="170" t="n"/>
      <c r="S420" s="170" t="n"/>
    </row>
    <row r="421">
      <c r="R421" s="170" t="n"/>
      <c r="S421" s="170" t="n"/>
    </row>
    <row r="422">
      <c r="R422" s="170" t="n"/>
      <c r="S422" s="170" t="n"/>
    </row>
    <row r="423">
      <c r="R423" s="170" t="n"/>
      <c r="S423" s="170" t="n"/>
    </row>
    <row r="424">
      <c r="R424" s="170" t="n"/>
      <c r="S424" s="170" t="n"/>
    </row>
    <row r="425">
      <c r="R425" s="170" t="n"/>
      <c r="S425" s="170" t="n"/>
    </row>
    <row r="426">
      <c r="R426" s="170" t="n"/>
      <c r="S426" s="170" t="n"/>
    </row>
    <row r="427">
      <c r="R427" s="170" t="n"/>
      <c r="S427" s="170" t="n"/>
    </row>
    <row r="428">
      <c r="R428" s="170" t="n"/>
      <c r="S428" s="170" t="n"/>
    </row>
    <row r="429">
      <c r="R429" s="170" t="n"/>
      <c r="S429" s="170" t="n"/>
    </row>
    <row r="430">
      <c r="R430" s="170" t="n"/>
      <c r="S430" s="170" t="n"/>
    </row>
    <row r="431">
      <c r="R431" s="170" t="n"/>
      <c r="S431" s="170" t="n"/>
    </row>
    <row r="432">
      <c r="R432" s="170" t="n"/>
      <c r="S432" s="170" t="n"/>
    </row>
    <row r="433">
      <c r="R433" s="170" t="n"/>
      <c r="S433" s="170" t="n"/>
    </row>
    <row r="434">
      <c r="R434" s="170" t="n"/>
      <c r="S434" s="170" t="n"/>
    </row>
    <row r="435">
      <c r="R435" s="170" t="n"/>
      <c r="S435" s="170" t="n"/>
    </row>
    <row r="436">
      <c r="R436" s="170" t="n"/>
      <c r="S436" s="170" t="n"/>
    </row>
    <row r="437">
      <c r="R437" s="170" t="n"/>
      <c r="S437" s="170" t="n"/>
    </row>
    <row r="438">
      <c r="R438" s="170" t="n"/>
      <c r="S438" s="170" t="n"/>
    </row>
    <row r="439">
      <c r="R439" s="170" t="n"/>
      <c r="S439" s="170" t="n"/>
    </row>
    <row r="440">
      <c r="R440" s="170" t="n"/>
      <c r="S440" s="170" t="n"/>
    </row>
    <row r="441">
      <c r="R441" s="170" t="n"/>
      <c r="S441" s="170" t="n"/>
    </row>
    <row r="442">
      <c r="R442" s="170" t="n"/>
      <c r="S442" s="170" t="n"/>
    </row>
    <row r="443">
      <c r="R443" s="170" t="n"/>
      <c r="S443" s="170" t="n"/>
    </row>
    <row r="444">
      <c r="R444" s="170" t="n"/>
      <c r="S444" s="170" t="n"/>
    </row>
    <row r="445">
      <c r="R445" s="170" t="n"/>
      <c r="S445" s="170" t="n"/>
    </row>
    <row r="446">
      <c r="R446" s="170" t="n"/>
      <c r="S446" s="170" t="n"/>
    </row>
    <row r="447">
      <c r="R447" s="170" t="n"/>
      <c r="S447" s="170" t="n"/>
    </row>
    <row r="448">
      <c r="R448" s="170" t="n"/>
      <c r="S448" s="170" t="n"/>
    </row>
    <row r="449">
      <c r="R449" s="170" t="n"/>
      <c r="S449" s="170" t="n"/>
    </row>
    <row r="450">
      <c r="R450" s="170" t="n"/>
      <c r="S450" s="170" t="n"/>
    </row>
    <row r="451">
      <c r="R451" s="170" t="n"/>
      <c r="S451" s="170" t="n"/>
    </row>
    <row r="452">
      <c r="R452" s="170" t="n"/>
      <c r="S452" s="170" t="n"/>
    </row>
    <row r="453">
      <c r="R453" s="170" t="n"/>
      <c r="S453" s="170" t="n"/>
    </row>
    <row r="454">
      <c r="R454" s="170" t="n"/>
      <c r="S454" s="170" t="n"/>
    </row>
    <row r="455">
      <c r="R455" s="170" t="n"/>
      <c r="S455" s="170" t="n"/>
    </row>
    <row r="456">
      <c r="R456" s="170" t="n"/>
      <c r="S456" s="170" t="n"/>
    </row>
    <row r="457">
      <c r="R457" s="170" t="n"/>
      <c r="S457" s="170" t="n"/>
    </row>
    <row r="458">
      <c r="R458" s="170" t="n"/>
      <c r="S458" s="170" t="n"/>
    </row>
    <row r="459">
      <c r="R459" s="170" t="n"/>
      <c r="S459" s="170" t="n"/>
    </row>
    <row r="460">
      <c r="R460" s="170" t="n"/>
      <c r="S460" s="170" t="n"/>
    </row>
    <row r="461">
      <c r="R461" s="170" t="n"/>
      <c r="S461" s="170" t="n"/>
    </row>
    <row r="462">
      <c r="R462" s="170" t="n"/>
      <c r="S462" s="170" t="n"/>
    </row>
    <row r="463">
      <c r="R463" s="170" t="n"/>
      <c r="S463" s="170" t="n"/>
    </row>
    <row r="464">
      <c r="R464" s="170" t="n"/>
      <c r="S464" s="170" t="n"/>
    </row>
    <row r="465">
      <c r="R465" s="170" t="n"/>
      <c r="S465" s="170" t="n"/>
    </row>
    <row r="466">
      <c r="R466" s="170" t="n"/>
      <c r="S466" s="170" t="n"/>
    </row>
    <row r="467">
      <c r="R467" s="170" t="n"/>
      <c r="S467" s="170" t="n"/>
    </row>
    <row r="468">
      <c r="R468" s="170" t="n"/>
      <c r="S468" s="170" t="n"/>
    </row>
    <row r="469">
      <c r="R469" s="170" t="n"/>
      <c r="S469" s="170" t="n"/>
    </row>
    <row r="470">
      <c r="R470" s="170" t="n"/>
      <c r="S470" s="170" t="n"/>
    </row>
    <row r="471">
      <c r="R471" s="170" t="n"/>
      <c r="S471" s="170" t="n"/>
    </row>
    <row r="472">
      <c r="R472" s="170" t="n"/>
      <c r="S472" s="170" t="n"/>
    </row>
    <row r="473">
      <c r="R473" s="170" t="n"/>
      <c r="S473" s="170" t="n"/>
    </row>
    <row r="474">
      <c r="R474" s="170" t="n"/>
      <c r="S474" s="170" t="n"/>
    </row>
    <row r="475">
      <c r="R475" s="170" t="n"/>
      <c r="S475" s="170" t="n"/>
    </row>
    <row r="476">
      <c r="R476" s="170" t="n"/>
      <c r="S476" s="170" t="n"/>
    </row>
    <row r="477">
      <c r="R477" s="170" t="n"/>
      <c r="S477" s="170" t="n"/>
    </row>
    <row r="478">
      <c r="R478" s="170" t="n"/>
      <c r="S478" s="170" t="n"/>
    </row>
    <row r="479">
      <c r="R479" s="170" t="n"/>
      <c r="S479" s="170" t="n"/>
    </row>
    <row r="480">
      <c r="R480" s="170" t="n"/>
      <c r="S480" s="170" t="n"/>
    </row>
    <row r="481">
      <c r="R481" s="170" t="n"/>
      <c r="S481" s="170" t="n"/>
    </row>
    <row r="482">
      <c r="R482" s="170" t="n"/>
      <c r="S482" s="170" t="n"/>
    </row>
    <row r="483">
      <c r="R483" s="170" t="n"/>
      <c r="S483" s="170" t="n"/>
    </row>
    <row r="484">
      <c r="R484" s="170" t="n"/>
      <c r="S484" s="170" t="n"/>
    </row>
    <row r="485">
      <c r="R485" s="170" t="n"/>
      <c r="S485" s="170" t="n"/>
    </row>
    <row r="486">
      <c r="R486" s="170" t="n"/>
      <c r="S486" s="170" t="n"/>
    </row>
    <row r="487">
      <c r="R487" s="170" t="n"/>
      <c r="S487" s="170" t="n"/>
    </row>
    <row r="488">
      <c r="R488" s="170" t="n"/>
      <c r="S488" s="170" t="n"/>
    </row>
    <row r="489">
      <c r="R489" s="170" t="n"/>
      <c r="S489" s="170" t="n"/>
    </row>
    <row r="490">
      <c r="R490" s="170" t="n"/>
      <c r="S490" s="170" t="n"/>
    </row>
    <row r="491">
      <c r="R491" s="170" t="n"/>
      <c r="S491" s="170" t="n"/>
    </row>
    <row r="492">
      <c r="R492" s="170" t="n"/>
      <c r="S492" s="170" t="n"/>
    </row>
    <row r="493">
      <c r="R493" s="170" t="n"/>
      <c r="S493" s="170" t="n"/>
    </row>
    <row r="494">
      <c r="R494" s="170" t="n"/>
      <c r="S494" s="170" t="n"/>
    </row>
    <row r="495">
      <c r="R495" s="170" t="n"/>
      <c r="S495" s="170" t="n"/>
    </row>
    <row r="496">
      <c r="R496" s="170" t="n"/>
      <c r="S496" s="170" t="n"/>
    </row>
    <row r="497">
      <c r="R497" s="170" t="n"/>
      <c r="S497" s="170" t="n"/>
    </row>
    <row r="498">
      <c r="R498" s="170" t="n"/>
      <c r="S498" s="170" t="n"/>
    </row>
    <row r="499">
      <c r="R499" s="170" t="n"/>
      <c r="S499" s="170" t="n"/>
    </row>
    <row r="500">
      <c r="R500" s="170" t="n"/>
      <c r="S500" s="170" t="n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priority="5" dxfId="15">
      <formula>LEFT(U7,1)="⚠"</formula>
    </cfRule>
  </conditionalFormatting>
  <conditionalFormatting sqref="T7:T500">
    <cfRule type="cellIs" priority="6" operator="equal" dxfId="2">
      <formula>"DEMURRAGE"</formula>
    </cfRule>
    <cfRule type="cellIs" priority="7" operator="equal" dxfId="4">
      <formula>"ON-TIME"</formula>
    </cfRule>
    <cfRule type="cellIs" priority="8" operator="equal" dxfId="6">
      <formula>"Open"</formula>
    </cfRule>
    <cfRule type="cellIs" priority="9" operator="equal" dxfId="5">
      <formula>"Claimed"</formula>
    </cfRule>
    <cfRule type="cellIs" priority="10" operator="equal" dxfId="4">
      <formula>"Invoiced"</formula>
    </cfRule>
    <cfRule type="cellIs" priority="11" operator="equal" dxfId="3">
      <formula>"Paid"</formula>
    </cfRule>
    <cfRule type="cellIs" priority="12" operator="equal" dxfId="2">
      <formula>"Disputed"</formula>
    </cfRule>
    <cfRule type="cellIs" priority="13" operator="equal" dxfId="1">
      <formula>"Cancelled"</formula>
    </cfRule>
  </conditionalFormatting>
  <dataValidations count="5">
    <dataValidation sqref="B7:B500" showDropDown="0" showInputMessage="0" showErrorMessage="1" allowBlank="1" errorTitle="Check entry" error="Deal No. not found in Deals master." type="list" errorStyle="warning">
      <formula1>LIST_DealNo</formula1>
    </dataValidation>
    <dataValidation sqref="C7:C500" showDropDown="0" showInputMessage="0" showErrorMessage="1" allowBlank="1" errorTitle="Check entry" error="Claim No. not in Claims tab." type="list" errorStyle="warning">
      <formula1>LIST_ClaimNo</formula1>
    </dataValidation>
    <dataValidation sqref="D7:D500" showDropDown="0" showInputMessage="0" showErrorMessage="1" allowBlank="1" errorTitle="Check entry" error="Consignee not in Deals master." type="list" errorStyle="warning">
      <formula1>LIST_Consignee</formula1>
    </dataValidation>
    <dataValidation sqref="K7:K500" showDropDown="0" showInputMessage="0" showErrorMessage="1" allowBlank="1" errorTitle="Check entry" error="Transporter not in Deals master." type="list" errorStyle="warning">
      <formula1>LIST_Transporter</formula1>
    </dataValidation>
    <dataValidation sqref="T7:T500" showDropDown="0" showInputMessage="0" showErrorMessage="1" allowBlank="1" errorTitle="Check entry" error="Status must be one of: Draft, Sent, Paid, Partial, Cancelled." type="list" errorStyle="warning">
      <formula1>LIST_Status</formula1>
    </dataValidation>
  </dataValidation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  <pageSetup orientation="landscape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7">
    <tabColor rgb="FF1F3D8E"/>
    <outlinePr summaryBelow="1" summaryRight="1"/>
    <pageSetUpPr/>
  </sheetPr>
  <dimension ref="B2:K30"/>
  <sheetViews>
    <sheetView showGridLines="0" workbookViewId="0">
      <pane xSplit="1" ySplit="6" topLeftCell="B7" activePane="bottomRight" state="frozen"/>
      <selection pane="topRight" activeCell="A1" sqref="A1"/>
      <selection pane="bottomLeft" activeCell="A1" sqref="A1"/>
      <selection pane="bottomRight" activeCell="D25" sqref="D25"/>
    </sheetView>
  </sheetViews>
  <sheetFormatPr baseColWidth="8" defaultRowHeight="15"/>
  <cols>
    <col width="2" customWidth="1" style="106" min="1" max="1"/>
    <col width="12" customWidth="1" style="106" min="2" max="2"/>
    <col width="30" customWidth="1" style="106" min="3" max="3"/>
    <col width="20" customWidth="1" style="106" min="4" max="4"/>
    <col width="16" customWidth="1" style="106" min="5" max="6"/>
    <col width="12" customWidth="1" style="106" min="7" max="8"/>
    <col width="18" customWidth="1" style="106" min="9" max="10"/>
    <col width="16" customWidth="1" style="106" min="11" max="11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4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</row>
    <row r="3">
      <c r="B3" s="37" t="inlineStr">
        <is>
          <t>Register of all demurrage deals.</t>
        </is>
      </c>
    </row>
    <row r="4">
      <c r="B4" s="5" t="n"/>
      <c r="C4" s="5" t="n"/>
      <c r="D4" s="5" t="n"/>
      <c r="E4" s="5" t="n"/>
      <c r="F4" s="5" t="n"/>
      <c r="G4" s="5" t="n"/>
      <c r="H4" s="5" t="n"/>
      <c r="I4" s="5" t="n"/>
      <c r="J4" s="5" t="n"/>
      <c r="K4" s="5" t="n"/>
    </row>
    <row r="6" ht="36" customHeight="1" s="106">
      <c r="B6" s="15" t="inlineStr">
        <is>
          <t>Deal No.</t>
        </is>
      </c>
      <c r="C6" s="15" t="inlineStr">
        <is>
          <t>Consignee</t>
        </is>
      </c>
      <c r="D6" s="15" t="inlineStr">
        <is>
          <t>Route</t>
        </is>
      </c>
      <c r="E6" s="15" t="inlineStr">
        <is>
          <t>Loading Port</t>
        </is>
      </c>
      <c r="F6" s="15" t="inlineStr">
        <is>
          <t>Destination</t>
        </is>
      </c>
      <c r="G6" s="15" t="inlineStr">
        <is>
          <t>Product</t>
        </is>
      </c>
      <c r="H6" s="15" t="inlineStr">
        <is>
          <t>Laytime (days)</t>
        </is>
      </c>
      <c r="I6" s="15" t="inlineStr">
        <is>
          <t>Rate (USD/day)</t>
        </is>
      </c>
      <c r="J6" s="15" t="inlineStr">
        <is>
          <t>Transport (USD/m³)</t>
        </is>
      </c>
      <c r="K6" s="15" t="inlineStr">
        <is>
          <t>Transporter</t>
        </is>
      </c>
    </row>
    <row r="7">
      <c r="B7" s="21" t="n">
        <v>183574</v>
      </c>
      <c r="C7" s="22" t="inlineStr">
        <is>
          <t>Rubis Energy Zambia</t>
        </is>
      </c>
      <c r="D7" s="22" t="inlineStr">
        <is>
          <t>Beira → Lusaka</t>
        </is>
      </c>
      <c r="E7" s="22" t="inlineStr">
        <is>
          <t>Beira</t>
        </is>
      </c>
      <c r="F7" s="22" t="inlineStr">
        <is>
          <t>Lusaka</t>
        </is>
      </c>
      <c r="G7" s="22" t="inlineStr">
        <is>
          <t>PMS</t>
        </is>
      </c>
      <c r="H7" s="192" t="n">
        <v>2</v>
      </c>
      <c r="I7" s="193" t="n">
        <v>250</v>
      </c>
      <c r="J7" s="194" t="n"/>
      <c r="K7" s="22" t="n"/>
    </row>
    <row r="8">
      <c r="B8" s="16" t="n">
        <v>184119</v>
      </c>
      <c r="C8" s="20" t="inlineStr">
        <is>
          <t>Rubis Energy Zambia</t>
        </is>
      </c>
      <c r="D8" s="20" t="inlineStr">
        <is>
          <t>Beira → Lusaka</t>
        </is>
      </c>
      <c r="E8" s="20" t="inlineStr">
        <is>
          <t>Beira</t>
        </is>
      </c>
      <c r="F8" s="20" t="inlineStr">
        <is>
          <t>Lusaka</t>
        </is>
      </c>
      <c r="G8" s="20" t="inlineStr">
        <is>
          <t>PMS</t>
        </is>
      </c>
      <c r="H8" s="187" t="n">
        <v>2</v>
      </c>
      <c r="I8" s="195" t="n">
        <v>250</v>
      </c>
      <c r="J8" s="196" t="n"/>
      <c r="K8" s="20" t="n"/>
    </row>
    <row r="9">
      <c r="B9" s="21" t="n">
        <v>184752</v>
      </c>
      <c r="C9" s="22" t="inlineStr">
        <is>
          <t>Rubis Energy Zambia</t>
        </is>
      </c>
      <c r="D9" s="22" t="inlineStr">
        <is>
          <t>Beira → Lusaka</t>
        </is>
      </c>
      <c r="E9" s="22" t="inlineStr">
        <is>
          <t>Beira</t>
        </is>
      </c>
      <c r="F9" s="22" t="inlineStr">
        <is>
          <t>Lusaka</t>
        </is>
      </c>
      <c r="G9" s="22" t="inlineStr">
        <is>
          <t>PMS</t>
        </is>
      </c>
      <c r="H9" s="192" t="n">
        <v>2</v>
      </c>
      <c r="I9" s="193" t="n">
        <v>250</v>
      </c>
      <c r="J9" s="194" t="n"/>
      <c r="K9" s="22" t="n"/>
    </row>
    <row r="10">
      <c r="B10" s="16" t="n">
        <v>184834</v>
      </c>
      <c r="C10" s="20" t="inlineStr">
        <is>
          <t>Reliance Energy Zambia</t>
        </is>
      </c>
      <c r="D10" s="20" t="inlineStr">
        <is>
          <t>Beira → Lusaka</t>
        </is>
      </c>
      <c r="E10" s="20" t="inlineStr">
        <is>
          <t>Beira</t>
        </is>
      </c>
      <c r="F10" s="20" t="inlineStr">
        <is>
          <t>Lusaka</t>
        </is>
      </c>
      <c r="G10" s="20" t="inlineStr">
        <is>
          <t>PMS</t>
        </is>
      </c>
      <c r="H10" s="187" t="n">
        <v>2</v>
      </c>
      <c r="I10" s="195" t="n">
        <v>250</v>
      </c>
      <c r="J10" s="196" t="n"/>
      <c r="K10" s="20" t="n"/>
    </row>
    <row r="11">
      <c r="B11" s="21" t="n">
        <v>185260</v>
      </c>
      <c r="C11" s="22" t="inlineStr">
        <is>
          <t>Rubis Energy Zambia</t>
        </is>
      </c>
      <c r="D11" s="22" t="inlineStr">
        <is>
          <t>Beira → Lusaka</t>
        </is>
      </c>
      <c r="E11" s="22" t="inlineStr">
        <is>
          <t>Beira</t>
        </is>
      </c>
      <c r="F11" s="22" t="inlineStr">
        <is>
          <t>Lusaka</t>
        </is>
      </c>
      <c r="G11" s="22" t="inlineStr">
        <is>
          <t>PMS</t>
        </is>
      </c>
      <c r="H11" s="192" t="n">
        <v>2</v>
      </c>
      <c r="I11" s="193" t="n">
        <v>250</v>
      </c>
      <c r="J11" s="194" t="n"/>
      <c r="K11" s="22" t="n"/>
    </row>
    <row r="12">
      <c r="B12" s="16" t="n">
        <v>185732</v>
      </c>
      <c r="C12" s="20" t="inlineStr">
        <is>
          <t>Rubis Energy Zambia</t>
        </is>
      </c>
      <c r="D12" s="20" t="inlineStr">
        <is>
          <t>Beira → Lusaka</t>
        </is>
      </c>
      <c r="E12" s="20" t="inlineStr">
        <is>
          <t>Beira</t>
        </is>
      </c>
      <c r="F12" s="20" t="inlineStr">
        <is>
          <t>Lusaka</t>
        </is>
      </c>
      <c r="G12" s="20" t="inlineStr">
        <is>
          <t>PMS</t>
        </is>
      </c>
      <c r="H12" s="187" t="n">
        <v>2</v>
      </c>
      <c r="I12" s="195" t="n">
        <v>250</v>
      </c>
      <c r="J12" s="196" t="n"/>
      <c r="K12" s="20" t="n"/>
    </row>
    <row r="13">
      <c r="B13" s="21" t="n">
        <v>186216</v>
      </c>
      <c r="C13" s="22" t="inlineStr">
        <is>
          <t>Rubis Energy Zambia</t>
        </is>
      </c>
      <c r="D13" s="22" t="inlineStr">
        <is>
          <t>Beira → Lusaka</t>
        </is>
      </c>
      <c r="E13" s="22" t="inlineStr">
        <is>
          <t>Beira</t>
        </is>
      </c>
      <c r="F13" s="22" t="inlineStr">
        <is>
          <t>Lusaka</t>
        </is>
      </c>
      <c r="G13" s="22" t="inlineStr">
        <is>
          <t>PMS</t>
        </is>
      </c>
      <c r="H13" s="192" t="n">
        <v>2</v>
      </c>
      <c r="I13" s="193" t="n">
        <v>250</v>
      </c>
      <c r="J13" s="194" t="n"/>
      <c r="K13" s="22" t="n"/>
    </row>
    <row r="14">
      <c r="B14" s="16" t="n">
        <v>186326</v>
      </c>
      <c r="C14" s="20" t="inlineStr">
        <is>
          <t>La Grace De Dieu Avec Nous Sarl</t>
        </is>
      </c>
      <c r="D14" s="20" t="inlineStr">
        <is>
          <t>Beira → Lusaka</t>
        </is>
      </c>
      <c r="E14" s="20" t="inlineStr">
        <is>
          <t>Beira</t>
        </is>
      </c>
      <c r="F14" s="20" t="inlineStr">
        <is>
          <t>Lusaka</t>
        </is>
      </c>
      <c r="G14" s="20" t="inlineStr">
        <is>
          <t>PMS</t>
        </is>
      </c>
      <c r="H14" s="187" t="n">
        <v>2</v>
      </c>
      <c r="I14" s="195" t="n">
        <v>250</v>
      </c>
      <c r="J14" s="196" t="n"/>
      <c r="K14" s="20" t="n"/>
    </row>
    <row r="15">
      <c r="B15" s="21" t="n">
        <v>187293</v>
      </c>
      <c r="C15" s="22" t="inlineStr">
        <is>
          <t>Lake Petroleum Zambia</t>
        </is>
      </c>
      <c r="D15" s="22" t="inlineStr">
        <is>
          <t>Beira → Lusaka</t>
        </is>
      </c>
      <c r="E15" s="22" t="inlineStr">
        <is>
          <t>Beira</t>
        </is>
      </c>
      <c r="F15" s="22" t="inlineStr">
        <is>
          <t>Lusaka</t>
        </is>
      </c>
      <c r="G15" s="22" t="inlineStr">
        <is>
          <t>PMS</t>
        </is>
      </c>
      <c r="H15" s="192" t="n">
        <v>2</v>
      </c>
      <c r="I15" s="193" t="n">
        <v>250</v>
      </c>
      <c r="J15" s="194" t="n">
        <v>122</v>
      </c>
      <c r="K15" s="22" t="inlineStr">
        <is>
          <t>Truckeaze</t>
        </is>
      </c>
    </row>
    <row r="16">
      <c r="B16" s="16" t="n">
        <v>187296</v>
      </c>
      <c r="C16" s="20" t="inlineStr">
        <is>
          <t>Rubis Energy Zambia</t>
        </is>
      </c>
      <c r="D16" s="20" t="inlineStr">
        <is>
          <t>Beira → Lusaka</t>
        </is>
      </c>
      <c r="E16" s="20" t="inlineStr">
        <is>
          <t>Beira</t>
        </is>
      </c>
      <c r="F16" s="20" t="inlineStr">
        <is>
          <t>Lusaka</t>
        </is>
      </c>
      <c r="G16" s="20" t="inlineStr">
        <is>
          <t>PMS</t>
        </is>
      </c>
      <c r="H16" s="187" t="n">
        <v>2</v>
      </c>
      <c r="I16" s="195" t="n">
        <v>250</v>
      </c>
      <c r="J16" s="196" t="n"/>
      <c r="K16" s="20" t="n"/>
    </row>
    <row r="17">
      <c r="B17" s="21" t="n">
        <v>189084</v>
      </c>
      <c r="C17" s="22" t="inlineStr">
        <is>
          <t>Rubis Energy Zambia</t>
        </is>
      </c>
      <c r="D17" s="22" t="inlineStr">
        <is>
          <t>Beira → Lusaka</t>
        </is>
      </c>
      <c r="E17" s="22" t="inlineStr">
        <is>
          <t>Beira</t>
        </is>
      </c>
      <c r="F17" s="22" t="inlineStr">
        <is>
          <t>Lusaka</t>
        </is>
      </c>
      <c r="G17" s="22" t="inlineStr">
        <is>
          <t>PMS</t>
        </is>
      </c>
      <c r="H17" s="192" t="n">
        <v>2</v>
      </c>
      <c r="I17" s="193" t="n">
        <v>250</v>
      </c>
      <c r="J17" s="194" t="n"/>
      <c r="K17" s="22" t="n"/>
    </row>
    <row r="18">
      <c r="B18" s="16" t="n">
        <v>190261</v>
      </c>
      <c r="C18" s="20" t="inlineStr">
        <is>
          <t>Lake Petroleum Zambia</t>
        </is>
      </c>
      <c r="D18" s="20" t="inlineStr">
        <is>
          <t>Beira → Lusaka</t>
        </is>
      </c>
      <c r="E18" s="20" t="inlineStr">
        <is>
          <t>Beira</t>
        </is>
      </c>
      <c r="F18" s="20" t="inlineStr">
        <is>
          <t>Lusaka</t>
        </is>
      </c>
      <c r="G18" s="20" t="inlineStr">
        <is>
          <t>PMS</t>
        </is>
      </c>
      <c r="H18" s="187" t="n">
        <v>2</v>
      </c>
      <c r="I18" s="195" t="n">
        <v>250</v>
      </c>
      <c r="J18" s="196" t="n"/>
      <c r="K18" s="20" t="n"/>
    </row>
    <row r="19">
      <c r="B19" s="21" t="n">
        <v>190664</v>
      </c>
      <c r="C19" s="22" t="inlineStr">
        <is>
          <t>Rubis Energy Zambia</t>
        </is>
      </c>
      <c r="D19" s="22" t="inlineStr">
        <is>
          <t>Beira → Lusaka</t>
        </is>
      </c>
      <c r="E19" s="22" t="inlineStr">
        <is>
          <t>Beira</t>
        </is>
      </c>
      <c r="F19" s="22" t="inlineStr">
        <is>
          <t>Lusaka</t>
        </is>
      </c>
      <c r="G19" s="22" t="inlineStr">
        <is>
          <t>PMS</t>
        </is>
      </c>
      <c r="H19" s="192" t="n">
        <v>2</v>
      </c>
      <c r="I19" s="193" t="n">
        <v>250</v>
      </c>
      <c r="J19" s="194" t="n"/>
      <c r="K19" s="22" t="n"/>
    </row>
    <row r="20">
      <c r="B20" s="16" t="n">
        <v>191609</v>
      </c>
      <c r="C20" s="20" t="inlineStr">
        <is>
          <t>Rubis Energy Zambia</t>
        </is>
      </c>
      <c r="D20" s="20" t="inlineStr">
        <is>
          <t>Beira → Lusaka</t>
        </is>
      </c>
      <c r="E20" s="20" t="inlineStr">
        <is>
          <t>Beira</t>
        </is>
      </c>
      <c r="F20" s="20" t="inlineStr">
        <is>
          <t>Lusaka</t>
        </is>
      </c>
      <c r="G20" s="20" t="inlineStr">
        <is>
          <t>PMS</t>
        </is>
      </c>
      <c r="H20" s="187" t="n">
        <v>2</v>
      </c>
      <c r="I20" s="195" t="n">
        <v>250</v>
      </c>
      <c r="J20" s="196" t="n"/>
      <c r="K20" s="20" t="n"/>
    </row>
    <row r="21">
      <c r="B21" s="21" t="n">
        <v>191610</v>
      </c>
      <c r="C21" s="22" t="inlineStr">
        <is>
          <t>Rubis Energy Zambia</t>
        </is>
      </c>
      <c r="D21" s="22" t="inlineStr">
        <is>
          <t>Beira → Lusaka</t>
        </is>
      </c>
      <c r="E21" s="22" t="inlineStr">
        <is>
          <t>Beira</t>
        </is>
      </c>
      <c r="F21" s="22" t="inlineStr">
        <is>
          <t>Lusaka</t>
        </is>
      </c>
      <c r="G21" s="22" t="inlineStr">
        <is>
          <t>PMS</t>
        </is>
      </c>
      <c r="H21" s="192" t="n">
        <v>2</v>
      </c>
      <c r="I21" s="193" t="n">
        <v>250</v>
      </c>
      <c r="J21" s="194" t="n"/>
      <c r="K21" s="22" t="n"/>
    </row>
    <row r="22">
      <c r="B22" s="16" t="n">
        <v>184182</v>
      </c>
      <c r="C22" s="20" t="inlineStr">
        <is>
          <t>Rubis Energy Zambia</t>
        </is>
      </c>
      <c r="D22" s="20" t="inlineStr">
        <is>
          <t>Beira → Lusaka</t>
        </is>
      </c>
      <c r="E22" s="20" t="inlineStr">
        <is>
          <t>Beira</t>
        </is>
      </c>
      <c r="F22" s="20" t="inlineStr">
        <is>
          <t>Lusaka</t>
        </is>
      </c>
      <c r="G22" s="20" t="inlineStr">
        <is>
          <t>AGO</t>
        </is>
      </c>
      <c r="H22" s="187" t="n">
        <v>2</v>
      </c>
      <c r="I22" s="195" t="n">
        <v>250</v>
      </c>
      <c r="J22" s="196" t="n"/>
      <c r="K22" s="20" t="n"/>
    </row>
    <row r="23">
      <c r="B23" s="21" t="n">
        <v>184663</v>
      </c>
      <c r="C23" s="22" t="inlineStr">
        <is>
          <t>Reliance Energy Zambia</t>
        </is>
      </c>
      <c r="D23" s="22" t="inlineStr">
        <is>
          <t>Beira → Lusaka</t>
        </is>
      </c>
      <c r="E23" s="22" t="inlineStr">
        <is>
          <t>Beira</t>
        </is>
      </c>
      <c r="F23" s="22" t="inlineStr">
        <is>
          <t>Lusaka</t>
        </is>
      </c>
      <c r="G23" s="22" t="inlineStr">
        <is>
          <t>AGO</t>
        </is>
      </c>
      <c r="H23" s="192" t="n">
        <v>2</v>
      </c>
      <c r="I23" s="193" t="n">
        <v>250</v>
      </c>
      <c r="J23" s="194" t="n"/>
      <c r="K23" s="22" t="n"/>
    </row>
    <row r="24">
      <c r="B24" s="16" t="n">
        <v>184978</v>
      </c>
      <c r="C24" s="20" t="inlineStr">
        <is>
          <t>Reliance Energy Zambia</t>
        </is>
      </c>
      <c r="D24" s="20" t="inlineStr">
        <is>
          <t>Beira → Lusaka</t>
        </is>
      </c>
      <c r="E24" s="20" t="inlineStr">
        <is>
          <t>Beira</t>
        </is>
      </c>
      <c r="F24" s="20" t="inlineStr">
        <is>
          <t>Lusaka</t>
        </is>
      </c>
      <c r="G24" s="20" t="inlineStr">
        <is>
          <t>AGO</t>
        </is>
      </c>
      <c r="H24" s="187" t="n">
        <v>2</v>
      </c>
      <c r="I24" s="195" t="n">
        <v>250</v>
      </c>
      <c r="J24" s="196" t="n"/>
      <c r="K24" s="20" t="n"/>
    </row>
    <row r="25">
      <c r="B25" s="21" t="n">
        <v>185350</v>
      </c>
      <c r="C25" s="22" t="inlineStr">
        <is>
          <t>ARV Energy</t>
        </is>
      </c>
      <c r="D25" s="22" t="inlineStr">
        <is>
          <t>Beira → Lusaka</t>
        </is>
      </c>
      <c r="E25" s="22" t="inlineStr">
        <is>
          <t>Beira</t>
        </is>
      </c>
      <c r="F25" s="22" t="inlineStr">
        <is>
          <t>Lusaka</t>
        </is>
      </c>
      <c r="G25" s="22" t="inlineStr">
        <is>
          <t>AGO</t>
        </is>
      </c>
      <c r="H25" s="192" t="n">
        <v>2</v>
      </c>
      <c r="I25" s="193" t="n">
        <v>250</v>
      </c>
      <c r="J25" s="194" t="n"/>
      <c r="K25" s="22" t="n"/>
    </row>
    <row r="26">
      <c r="B26" s="16" t="n">
        <v>189548</v>
      </c>
      <c r="C26" s="20" t="inlineStr">
        <is>
          <t>La Grace De Dieu Avec Nous Sarl</t>
        </is>
      </c>
      <c r="D26" s="20" t="inlineStr">
        <is>
          <t>Beira → Lusaka</t>
        </is>
      </c>
      <c r="E26" s="20" t="inlineStr">
        <is>
          <t>Beira</t>
        </is>
      </c>
      <c r="F26" s="20" t="inlineStr">
        <is>
          <t>Lusaka</t>
        </is>
      </c>
      <c r="G26" s="20" t="inlineStr">
        <is>
          <t>AGO</t>
        </is>
      </c>
      <c r="H26" s="187" t="n">
        <v>2</v>
      </c>
      <c r="I26" s="195" t="n">
        <v>250</v>
      </c>
      <c r="J26" s="196" t="n"/>
      <c r="K26" s="20" t="n"/>
    </row>
    <row r="27">
      <c r="B27" s="21" t="n">
        <v>190666</v>
      </c>
      <c r="C27" s="22" t="inlineStr">
        <is>
          <t>Rubis Energy Zambia</t>
        </is>
      </c>
      <c r="D27" s="22" t="inlineStr">
        <is>
          <t>Beira → Lusaka</t>
        </is>
      </c>
      <c r="E27" s="22" t="inlineStr">
        <is>
          <t>Beira</t>
        </is>
      </c>
      <c r="F27" s="22" t="inlineStr">
        <is>
          <t>Lusaka</t>
        </is>
      </c>
      <c r="G27" s="22" t="inlineStr">
        <is>
          <t>AGO</t>
        </is>
      </c>
      <c r="H27" s="192" t="n">
        <v>2</v>
      </c>
      <c r="I27" s="193" t="n">
        <v>250</v>
      </c>
      <c r="J27" s="194" t="n"/>
      <c r="K27" s="22" t="n"/>
    </row>
    <row r="28">
      <c r="B28" s="16" t="n">
        <v>190778</v>
      </c>
      <c r="C28" s="20" t="inlineStr">
        <is>
          <t>Lake Petroleum Zambia</t>
        </is>
      </c>
      <c r="D28" s="20" t="inlineStr">
        <is>
          <t>Beira → Lusaka</t>
        </is>
      </c>
      <c r="E28" s="20" t="inlineStr">
        <is>
          <t>Beira</t>
        </is>
      </c>
      <c r="F28" s="20" t="inlineStr">
        <is>
          <t>Lusaka</t>
        </is>
      </c>
      <c r="G28" s="20" t="inlineStr">
        <is>
          <t>AGO</t>
        </is>
      </c>
      <c r="H28" s="187" t="n">
        <v>2</v>
      </c>
      <c r="I28" s="195" t="n">
        <v>250</v>
      </c>
      <c r="J28" s="196" t="n">
        <v>135</v>
      </c>
      <c r="K28" s="20" t="inlineStr">
        <is>
          <t>Petroda</t>
        </is>
      </c>
    </row>
    <row r="29">
      <c r="B29" s="21" t="n">
        <v>190839</v>
      </c>
      <c r="C29" s="22" t="inlineStr">
        <is>
          <t>La Grace De Dieu Avec Nous Sarl</t>
        </is>
      </c>
      <c r="D29" s="22" t="inlineStr">
        <is>
          <t>Beira → Lusaka</t>
        </is>
      </c>
      <c r="E29" s="22" t="inlineStr">
        <is>
          <t>Beira</t>
        </is>
      </c>
      <c r="F29" s="22" t="inlineStr">
        <is>
          <t>Lusaka</t>
        </is>
      </c>
      <c r="G29" s="22" t="inlineStr">
        <is>
          <t>AGO</t>
        </is>
      </c>
      <c r="H29" s="192" t="n">
        <v>2</v>
      </c>
      <c r="I29" s="193" t="n">
        <v>250</v>
      </c>
      <c r="J29" s="194" t="n"/>
      <c r="K29" s="22" t="n"/>
    </row>
    <row r="30">
      <c r="B30" s="16" t="n">
        <v>191685</v>
      </c>
      <c r="C30" s="20" t="inlineStr">
        <is>
          <t>Monaluxe</t>
        </is>
      </c>
      <c r="D30" s="20" t="inlineStr">
        <is>
          <t>Beira → Lusaka</t>
        </is>
      </c>
      <c r="E30" s="20" t="inlineStr">
        <is>
          <t>Beira</t>
        </is>
      </c>
      <c r="F30" s="20" t="inlineStr">
        <is>
          <t>Lusaka</t>
        </is>
      </c>
      <c r="G30" s="20" t="inlineStr">
        <is>
          <t>AGO</t>
        </is>
      </c>
      <c r="H30" s="187" t="n">
        <v>2</v>
      </c>
      <c r="I30" s="195" t="n">
        <v>250</v>
      </c>
      <c r="J30" s="196" t="n"/>
      <c r="K30" s="20" t="n"/>
    </row>
  </sheetData>
  <mergeCells count="1">
    <mergeCell ref="B3:K3"/>
  </mergeCell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8">
    <tabColor rgb="FF6B7280"/>
    <outlinePr summaryBelow="1" summaryRight="1"/>
    <pageSetUpPr/>
  </sheetPr>
  <dimension ref="B2:H19"/>
  <sheetViews>
    <sheetView showGridLines="0" workbookViewId="0">
      <selection activeCell="D23" sqref="D23"/>
    </sheetView>
  </sheetViews>
  <sheetFormatPr baseColWidth="8" defaultRowHeight="15"/>
  <cols>
    <col width="2" customWidth="1" style="106" min="1" max="1"/>
    <col width="34" customWidth="1" style="106" min="2" max="2"/>
    <col width="22" customWidth="1" style="106" min="3" max="3"/>
    <col width="50" customWidth="1" style="106" min="4" max="4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</row>
    <row r="3">
      <c r="B3" s="37" t="inlineStr">
        <is>
          <t>Edit gold cells to update the entire workbook.</t>
        </is>
      </c>
    </row>
    <row r="4">
      <c r="B4" s="5" t="n"/>
      <c r="C4" s="5" t="n"/>
      <c r="D4" s="5" t="n"/>
    </row>
    <row r="6" ht="21.95" customHeight="1" s="106">
      <c r="B6" s="61" t="inlineStr">
        <is>
          <t>COMMERCIAL DEFAULTS</t>
        </is>
      </c>
    </row>
    <row r="7" ht="20.1" customHeight="1" s="106">
      <c r="B7" s="28" t="inlineStr">
        <is>
          <t>Default laytime (days)</t>
        </is>
      </c>
      <c r="C7" s="29" t="n">
        <v>2</v>
      </c>
      <c r="D7" s="30" t="inlineStr">
        <is>
          <t>Free time at offloading before demurrage accrues.</t>
        </is>
      </c>
    </row>
    <row r="8" ht="20.1" customHeight="1" s="106">
      <c r="B8" s="28" t="inlineStr">
        <is>
          <t>Default demurrage rate (USD/day)</t>
        </is>
      </c>
      <c r="C8" s="29" t="n">
        <v>250</v>
      </c>
      <c r="D8" s="30" t="inlineStr">
        <is>
          <t>Per-truck per-day charge once laytime exceeded.</t>
        </is>
      </c>
    </row>
    <row r="9" ht="20.1" customHeight="1" s="106">
      <c r="B9" s="28" t="inlineStr">
        <is>
          <t>Currency</t>
        </is>
      </c>
      <c r="C9" s="29" t="inlineStr">
        <is>
          <t>USD</t>
        </is>
      </c>
      <c r="D9" s="30" t="inlineStr">
        <is>
          <t>Reporting currency.</t>
        </is>
      </c>
    </row>
    <row r="10" ht="20.1" customHeight="1" s="106">
      <c r="B10" s="28" t="inlineStr">
        <is>
          <t>FX rate (local → USD)</t>
        </is>
      </c>
      <c r="C10" s="197" t="n">
        <v>1</v>
      </c>
      <c r="D10" s="30" t="inlineStr">
        <is>
          <t>1.00 if invoices already in USD.</t>
        </is>
      </c>
    </row>
    <row r="12" ht="21.95" customHeight="1" s="106">
      <c r="B12" s="61" t="inlineStr">
        <is>
          <t>REPORTING PERIOD</t>
        </is>
      </c>
    </row>
    <row r="13" ht="20.1" customHeight="1" s="106">
      <c r="B13" s="28" t="inlineStr">
        <is>
          <t>Period start</t>
        </is>
      </c>
      <c r="C13" s="198" t="n">
        <v>46023</v>
      </c>
      <c r="D13" s="30" t="inlineStr">
        <is>
          <t>Inclusive.</t>
        </is>
      </c>
    </row>
    <row r="14" ht="20.1" customHeight="1" s="106">
      <c r="B14" s="28" t="inlineStr">
        <is>
          <t>Period end</t>
        </is>
      </c>
      <c r="C14" s="198" t="n">
        <v>46142</v>
      </c>
      <c r="D14" s="30" t="inlineStr">
        <is>
          <t>Inclusive.</t>
        </is>
      </c>
    </row>
    <row r="15" ht="20.1" customHeight="1" s="106">
      <c r="B15" s="28" t="inlineStr">
        <is>
          <t>Report issued</t>
        </is>
      </c>
      <c r="C15" s="198" t="n">
        <v>46157</v>
      </c>
      <c r="D15" s="30" t="n"/>
    </row>
    <row r="17" ht="21.95" customHeight="1" s="106">
      <c r="B17" s="61" t="inlineStr">
        <is>
          <t>TOLERANCES &amp; FLAGS</t>
        </is>
      </c>
    </row>
    <row r="18" ht="20.1" customHeight="1" s="106">
      <c r="B18" s="28" t="inlineStr">
        <is>
          <t>Outlier threshold (waiting days)</t>
        </is>
      </c>
      <c r="C18" s="29" t="n">
        <v>7</v>
      </c>
      <c r="D18" s="30" t="inlineStr">
        <is>
          <t>Trips above this are highlighted.</t>
        </is>
      </c>
    </row>
    <row r="19" ht="20.1" customHeight="1" s="106">
      <c r="B19" s="28" t="inlineStr">
        <is>
          <t>Sanity tolerance (days)</t>
        </is>
      </c>
      <c r="C19" s="29" t="n">
        <v>0</v>
      </c>
      <c r="D19" s="30" t="inlineStr">
        <is>
          <t>Days of grace before flagging.</t>
        </is>
      </c>
    </row>
  </sheetData>
  <mergeCells count="4">
    <mergeCell ref="B17:D17"/>
    <mergeCell ref="B6:D6"/>
    <mergeCell ref="B12:D12"/>
    <mergeCell ref="B3:D3"/>
  </mergeCell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tabColor rgb="FF6B7280"/>
    <outlinePr summaryBelow="1" summaryRight="1"/>
    <pageSetUpPr/>
  </sheetPr>
  <dimension ref="B2:H33"/>
  <sheetViews>
    <sheetView showGridLines="0" workbookViewId="0">
      <selection activeCell="L12" sqref="L12"/>
    </sheetView>
  </sheetViews>
  <sheetFormatPr baseColWidth="8" defaultRowHeight="15"/>
  <cols>
    <col width="2" customWidth="1" style="106" min="1" max="1"/>
    <col width="34" customWidth="1" style="106" min="2" max="2"/>
    <col width="55" customWidth="1" style="106" min="3" max="3"/>
    <col width="38.140625" customWidth="1" style="106" min="4" max="4"/>
    <col width="52" customWidth="1" style="106" min="5" max="5"/>
  </cols>
  <sheetData>
    <row r="2" ht="21.95" customHeight="1" s="106">
      <c r="B2" s="125" t="inlineStr">
        <is>
          <t>📋 Cover</t>
        </is>
      </c>
      <c r="C2" s="125" t="inlineStr">
        <is>
          <t>📊 Dashboard</t>
        </is>
      </c>
      <c r="D2" s="125" t="inlineStr">
        <is>
          <t>🚚 Trips</t>
        </is>
      </c>
      <c r="E2" s="125" t="inlineStr">
        <is>
          <t>🧾 Claims</t>
        </is>
      </c>
      <c r="F2" s="125" t="inlineStr">
        <is>
          <t>📑 Deals</t>
        </is>
      </c>
      <c r="G2" s="125" t="inlineStr">
        <is>
          <t>💰 Invoice</t>
        </is>
      </c>
      <c r="H2" s="125" t="inlineStr">
        <is>
          <t>📎 Annex</t>
        </is>
      </c>
    </row>
    <row r="3">
      <c r="B3" s="37" t="inlineStr">
        <is>
          <t>Set once. Everything in invoices is pulled from here.</t>
        </is>
      </c>
    </row>
    <row r="4">
      <c r="B4" s="5" t="n"/>
      <c r="C4" s="5" t="n"/>
      <c r="D4" s="5" t="n"/>
    </row>
    <row r="6" ht="21.95" customHeight="1" s="106">
      <c r="B6" s="61" t="inlineStr">
        <is>
          <t>COMPANY (issuer)</t>
        </is>
      </c>
    </row>
    <row r="7" ht="21.95" customHeight="1" s="106">
      <c r="B7" s="28" t="inlineStr">
        <is>
          <t>Legal name</t>
        </is>
      </c>
      <c r="C7" s="33" t="inlineStr">
        <is>
          <t>MOCOH SA</t>
        </is>
      </c>
    </row>
    <row r="8" ht="21.95" customHeight="1" s="106">
      <c r="B8" s="28" t="inlineStr">
        <is>
          <t>Trading name</t>
        </is>
      </c>
      <c r="C8" s="33" t="inlineStr">
        <is>
          <t>MOCOHSA</t>
        </is>
      </c>
    </row>
    <row r="9" ht="36" customHeight="1" s="106">
      <c r="B9" s="28" t="inlineStr">
        <is>
          <t>Address</t>
        </is>
      </c>
      <c r="C9" s="34" t="inlineStr">
        <is>
          <t>Rue de la Corraterie 5-7, 1204 Geneva, Switzerland</t>
        </is>
      </c>
    </row>
    <row r="10" ht="21.95" customHeight="1" s="106">
      <c r="B10" s="28" t="inlineStr">
        <is>
          <t>VAT / TIN / Reg.</t>
        </is>
      </c>
      <c r="C10" s="33" t="inlineStr">
        <is>
          <t>CHE-110.540.819</t>
        </is>
      </c>
    </row>
    <row r="11" ht="21.95" customHeight="1" s="106">
      <c r="B11" s="28" t="inlineStr">
        <is>
          <t>Phone</t>
        </is>
      </c>
      <c r="C11" s="33" t="inlineStr">
        <is>
          <t>+41 22 000 0000</t>
        </is>
      </c>
    </row>
    <row r="12" ht="21.95" customHeight="1" s="106">
      <c r="B12" s="28" t="inlineStr">
        <is>
          <t>Email</t>
        </is>
      </c>
      <c r="C12" s="33" t="inlineStr">
        <is>
          <t>invoicing@mocoh.com</t>
        </is>
      </c>
    </row>
    <row r="14" ht="21.95" customHeight="1" s="106">
      <c r="B14" s="61" t="inlineStr">
        <is>
          <t>BANK DETAILS (USD)</t>
        </is>
      </c>
    </row>
    <row r="15" ht="21.95" customHeight="1" s="106">
      <c r="B15" s="28" t="inlineStr">
        <is>
          <t>Beneficiary bank</t>
        </is>
      </c>
      <c r="C15" s="33" t="inlineStr">
        <is>
          <t>BANQUE INTERNATIONALE DE COMMERCE - BRED (SUISSE) SA</t>
        </is>
      </c>
    </row>
    <row r="16" ht="21.95" customHeight="1" s="106">
      <c r="B16" s="28" t="inlineStr">
        <is>
          <t>Account name</t>
        </is>
      </c>
      <c r="C16" s="33" t="inlineStr">
        <is>
          <t>MOCOHSA</t>
        </is>
      </c>
    </row>
    <row r="17" ht="21.95" customHeight="1" s="106">
      <c r="B17" s="28" t="inlineStr">
        <is>
          <t>IBAN</t>
        </is>
      </c>
      <c r="C17" s="33" t="inlineStr">
        <is>
          <t>CH79 0853 7603 0748 0040 0</t>
        </is>
      </c>
    </row>
    <row r="18" ht="21.95" customHeight="1" s="106">
      <c r="B18" s="28" t="inlineStr">
        <is>
          <t>SWIFT / BIC</t>
        </is>
      </c>
      <c r="C18" s="33" t="inlineStr">
        <is>
          <t>BICFCHGGXXX</t>
        </is>
      </c>
    </row>
    <row r="19" ht="21.95" customHeight="1" s="106">
      <c r="B19" s="28" t="inlineStr">
        <is>
          <t>Correspondent bank</t>
        </is>
      </c>
      <c r="C19" s="33" t="inlineStr">
        <is>
          <t>JP MORGAN CHASE NY</t>
        </is>
      </c>
    </row>
    <row r="20" ht="21.95" customHeight="1" s="106">
      <c r="B20" s="28" t="inlineStr">
        <is>
          <t>Correspondent SWIFT</t>
        </is>
      </c>
      <c r="C20" s="33" t="inlineStr">
        <is>
          <t>CHASUS33XXX</t>
        </is>
      </c>
    </row>
    <row r="22" ht="21.95" customHeight="1" s="106">
      <c r="B22" s="61" t="inlineStr">
        <is>
          <t>INVOICING</t>
        </is>
      </c>
    </row>
    <row r="23" ht="21.95" customHeight="1" s="106">
      <c r="B23" s="28" t="inlineStr">
        <is>
          <t>Invoice prefix</t>
        </is>
      </c>
      <c r="C23" s="33" t="inlineStr">
        <is>
          <t>MOC-DEM-2026-</t>
        </is>
      </c>
    </row>
    <row r="24" ht="21.95" customHeight="1" s="106">
      <c r="B24" s="28" t="inlineStr">
        <is>
          <t>Next invoice number</t>
        </is>
      </c>
      <c r="C24" s="199" t="n">
        <v>1</v>
      </c>
    </row>
    <row r="25" ht="21.95" customHeight="1" s="106">
      <c r="B25" s="28" t="inlineStr">
        <is>
          <t>Payment terms (days)</t>
        </is>
      </c>
      <c r="C25" s="199" t="n">
        <v>14</v>
      </c>
    </row>
    <row r="26" ht="21.95" customHeight="1" s="106">
      <c r="B26" s="28" t="inlineStr">
        <is>
          <t>VAT rate</t>
        </is>
      </c>
      <c r="C26" s="200" t="n">
        <v>0</v>
      </c>
    </row>
    <row r="27" ht="56.1" customHeight="1" s="106">
      <c r="B27" s="28" t="inlineStr">
        <is>
          <t>Footer note</t>
        </is>
      </c>
      <c r="C27" s="34" t="inlineStr">
        <is>
          <t>Payment with liberating effect can only be made to this account held with the above mentioned bank, as assignee of the proceeds. Open account payable as per agreed terms.</t>
        </is>
      </c>
    </row>
    <row r="28">
      <c r="B28" s="201" t="inlineStr">
        <is>
          <t>Tip: put extra recipients (e.g. transporter ops, internal AR) in the new Cc Emails column, comma- or semicolon-separated. They will be added to every claim email for that consignee.</t>
        </is>
      </c>
    </row>
    <row r="29">
      <c r="B29" s="128" t="inlineStr">
        <is>
          <t>CONSIGNEES — Bill-To Addresses</t>
        </is>
      </c>
    </row>
    <row r="30">
      <c r="B30" s="129" t="inlineStr">
        <is>
          <t>Consignee</t>
        </is>
      </c>
      <c r="C30" s="79" t="inlineStr">
        <is>
          <t>Bill-To Address</t>
        </is>
      </c>
      <c r="D30" s="79" t="inlineStr">
        <is>
          <t>Email</t>
        </is>
      </c>
      <c r="E30" s="79" t="inlineStr">
        <is>
          <t>Cc Emails</t>
        </is>
      </c>
    </row>
    <row r="31" ht="48" customHeight="1" s="106">
      <c r="B31" s="101" t="inlineStr">
        <is>
          <t>Rubis Energy Zambia</t>
        </is>
      </c>
      <c r="C31" s="130" t="inlineStr">
        <is>
          <t>PLOT NO. 1630, MALAMBO ROAD
LUSAKA, ZAMBIA
[VAT / TIN]</t>
        </is>
      </c>
      <c r="D31" s="131" t="inlineStr">
        <is>
          <t>(awaiting Rubis Energy email)</t>
        </is>
      </c>
    </row>
    <row r="32" ht="48" customHeight="1" s="106">
      <c r="B32" s="101" t="inlineStr">
        <is>
          <t>Lake Petroleum Zambia</t>
        </is>
      </c>
      <c r="C32" s="130" t="inlineStr">
        <is>
          <t>PLOT NO. 10958, CORNER OF LIMA / LUANSHYA ROAD
P.O. BOX 71030, NDOLA, ZAMBIA
[VAT / TIN]</t>
        </is>
      </c>
      <c r="D32" s="131" t="inlineStr">
        <is>
          <t>(awaiting Lake Petroleum email)</t>
        </is>
      </c>
    </row>
    <row r="33" ht="48" customHeight="1" s="106">
      <c r="B33" s="101" t="inlineStr">
        <is>
          <t>Reliance Energy Zambia</t>
        </is>
      </c>
      <c r="C33" s="131" t="inlineStr">
        <is>
          <t>[Plot / Street]
[City], ZAMBIA
[VAT / TIN]</t>
        </is>
      </c>
      <c r="D33" s="131" t="inlineStr">
        <is>
          <t>(awaiting email)</t>
        </is>
      </c>
    </row>
  </sheetData>
  <mergeCells count="4">
    <mergeCell ref="B6:D6"/>
    <mergeCell ref="B14:D14"/>
    <mergeCell ref="B22:D22"/>
    <mergeCell ref="B3:D3"/>
  </mergeCells>
  <hyperlinks>
    <hyperlink ref="B2" location="Cover!A1" tooltip="Go to 📋 Cover" display="📋 Cover"/>
    <hyperlink ref="C2" location="Dashboard!A1" tooltip="Go to 📊 Dashboard" display="📊 Dashboard"/>
    <hyperlink ref="D2" location="'Trips Ledger'!A1" tooltip="Go to 🚚 Trips" display="🚚 Trips"/>
    <hyperlink ref="E2" location="Claims!A1" tooltip="Go to 🧾 Claims" display="🧾 Claims"/>
    <hyperlink ref="F2" location="Deals!A1" tooltip="Go to 📑 Deals" display="📑 Deals"/>
    <hyperlink ref="G2" location="Invoice!A1" tooltip="Go to 💰 Invoice" display="💰 Invoice"/>
    <hyperlink ref="H2" location="Annex!A1" tooltip="Go to 📎 Annex" display="📎 Annex"/>
  </hyperlink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0">
    <tabColor rgb="FF6B7280"/>
    <outlinePr summaryBelow="1" summaryRight="1"/>
    <pageSetUpPr/>
  </sheetPr>
  <dimension ref="B2:I5"/>
  <sheetViews>
    <sheetView workbookViewId="0">
      <selection activeCell="F3" sqref="F3:J3"/>
    </sheetView>
  </sheetViews>
  <sheetFormatPr baseColWidth="8" defaultRowHeight="15"/>
  <cols>
    <col width="2.28515625" customWidth="1" style="106" min="1" max="1"/>
    <col width="28.5703125" customWidth="1" style="106" min="2" max="2"/>
    <col width="17.140625" customWidth="1" style="106" min="3" max="4"/>
    <col width="11.42578125" customWidth="1" style="106" min="5" max="5"/>
    <col width="19" customWidth="1" style="106" min="6" max="6"/>
    <col width="24.7109375" customWidth="1" style="106" min="7" max="8"/>
    <col width="19" customWidth="1" style="106" min="9" max="9"/>
  </cols>
  <sheetData>
    <row r="2" ht="21" customHeight="1" s="106">
      <c r="B2" s="143" t="inlineStr">
        <is>
          <t>AUDIT LOG</t>
        </is>
      </c>
    </row>
    <row r="3">
      <c r="B3" s="144" t="inlineStr">
        <is>
          <t>Immutable record of status changes and key edits. Do not modify entries.</t>
        </is>
      </c>
    </row>
    <row r="5">
      <c r="B5" s="145" t="inlineStr">
        <is>
          <t>Timestamp</t>
        </is>
      </c>
      <c r="C5" s="145" t="inlineStr">
        <is>
          <t>User</t>
        </is>
      </c>
      <c r="D5" s="145" t="inlineStr">
        <is>
          <t>Sheet</t>
        </is>
      </c>
      <c r="E5" s="145" t="inlineStr">
        <is>
          <t>Cell</t>
        </is>
      </c>
      <c r="F5" s="145" t="inlineStr">
        <is>
          <t>Field</t>
        </is>
      </c>
      <c r="G5" s="145" t="inlineStr">
        <is>
          <t>Old Value</t>
        </is>
      </c>
      <c r="H5" s="145" t="inlineStr">
        <is>
          <t>New Value</t>
        </is>
      </c>
      <c r="I5" s="145" t="inlineStr">
        <is>
          <t>Action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1">
    <tabColor rgb="FFF59E0B"/>
    <outlinePr summaryBelow="1" summaryRight="1"/>
    <pageSetUpPr/>
  </sheetPr>
  <dimension ref="A1:E40"/>
  <sheetViews>
    <sheetView tabSelected="1" workbookViewId="0">
      <selection activeCell="B6" sqref="B6"/>
    </sheetView>
  </sheetViews>
  <sheetFormatPr baseColWidth="8" defaultRowHeight="15"/>
  <cols>
    <col width="2.28515625" customWidth="1" style="106" min="1" max="1"/>
    <col width="120" customWidth="1" style="106" min="2" max="2"/>
  </cols>
  <sheetData>
    <row r="1">
      <c r="B1" s="202" t="inlineStr">
        <is>
          <t>&lt;- Back to Cover</t>
        </is>
      </c>
    </row>
    <row r="2" ht="21" customHeight="1" s="106">
      <c r="B2" s="203" t="inlineStr">
        <is>
          <t>ONE-TIME VBA SETUP</t>
        </is>
      </c>
    </row>
    <row r="3" ht="180" customHeight="1" s="106">
      <c r="B3" s="204" t="inlineStr">
        <is>
          <t>1. Press Alt+F11 to open the VBA editor.
2. In the Project tree on the left, find this workbook -&gt; Modules. If 'Module1' doesn't exist, right-click the project -&gt; Insert -&gt; Module.
3. Double-click Module1, delete anything inside, and paste the WORKFLOW MODULE code from row 6 below.
4. Double-click 'ThisWorkbook' (under 'Microsoft Excel Objects'), delete anything inside, and paste the THISWORKBOOK code from row 8 below.
5. File -&gt; Save (Ctrl+S).  The Print PDF + Email buttons now work.
Without this setup, you can still:
  - Use the Invoice 'Open email draft' link (purely formula-based, no VBA needed) to send claims.
  - Print to PDF by selecting Invoice + Annex tabs (Ctrl+click) and pressing Ctrl+P -&gt; Microsoft Print to PDF.</t>
        </is>
      </c>
    </row>
    <row r="4"/>
    <row r="5">
      <c r="B5" s="205" t="inlineStr">
        <is>
          <t>WORKFLOW MODULE  --  paste into Module1</t>
        </is>
      </c>
    </row>
    <row r="6" ht="600" customHeight="1" s="106">
      <c r="B6" s="147" t="inlineStr">
        <is>
          <t xml:space="preserve">Option Explicit
' ============================================================
'  MOCOH Demurrage 2026 -- Workflow macros
'  Paste this entire module into a NEW Module (Alt+F11 -&gt; Insert -&gt; Module).
'  Then assign macros to the matching buttons on the sheets.
' ============================================================
Public Sub IssueClaim()
    Dim ws As Worksheet: Set ws = ThisWorkbook.Worksheets("Claims")
    Dim r As Long: r = ActiveCell.Row
    If ActiveSheet.Name &lt;&gt; "Claims" Or r &lt; 7 Or r &gt; 15 Then
        MsgBox "Select a claim row (7-15) on the Claims sheet first.", vbExclamation: Exit Sub
    End If
    Dim old As String: old = CStr(ws.Cells(r, "L").Value)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the Claims sheet first.", vbExclamation: Exit Sub
    End If
    Dim old As String: old = CStr(ws.Cells(r, "L").Value)
    ws.Cells(r, "L").Value = "Paid"
    ws.Cells(r, "N").Value = Date
    Call LogAudit("Claims", "L" &amp; r, "Status", old, "Paid", "Mark Paid")
End Sub
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' ------------------------------------------------------------
'  PublishInvoicePDF
'    Exports Invoice + Annex tabs to a single PDF.
'    Fixes vs. the old version:
'      - validates that a claim number is selected on Invoice!B20
'      - OpenAfterPublish:=False (no dependency on Adobe Reader)
'      - reselects the Invoice tab cleanly afterwards
' ------------------------------------------------------------
Public Sub PublishInvoicePDF()
    Dim claimNo As String
    claimNo = CStr(ThisWorkbook.Worksheets("Invoice").Range("B20").Value)
    If Trim(claimNo) = "" Then
        MsgBox "Pick a Claim No. on Invoice!B20 first.", vbExclamation: Exit Sub
    End If
    Dim defaultName As String
    defaultName = "Invoice_" &amp; Replace(claimNo, "/", "-") &amp; ".pdf"
    Dim savePath As Variant
    savePath = Application.GetSaveAsFilename( _
        InitialFileName:=defaultName, _
        FileFilter:="PDF Files (*.pdf), *.pdf")
    If savePath = False Then Exit Sub
    Application.ScreenUpdating = False
    On Error GoTo cleanup
    ThisWorkbook.Worksheets(Array("Invoice", "Annex")).Select
    ActiveSheet.ExportAsFixedFormat Type:=xlTypePDF, _
        Filename:=CStr(savePath), Quality:=xlQualityStandard, _
        IgnorePrintAreas:=False, OpenAfterPublish:=False
cleanup:
    ThisWorkbook.Worksheets("Invoice").Select
    Application.ScreenUpdating = True
    If Err.Number = 0 Then
        Call LogAudit("Invoice", "B20", "PDF", "", claimNo, "Publish PDF")
        MsgBox "PDF saved to:" &amp; vbCrLf &amp; savePath, vbInformation
    Else
        MsgBox "PDF export failed: " &amp; Err.Description, vbExclamation
    End If
End Sub
' ------------------------------------------------------------
'  EmailClaim
'    Opens Outlook with To / Cc / Subject / Body pre-filled
'    AND attaches the freshly-exported Invoice PDF.
'    The mail is DISPLAYED (not sent) so you can review first.
'    Recipients:
'      To  = Consignees[Email]      (looked up from Claims[Consignee])
'      Cc  = Consignees[Cc Emails]  (free-text list, semicolon or comma)
' ------------------------------------------------------------
Public Sub EmailClaim()
    Dim wsInv As Worksheet: Set wsInv = ThisWorkbook.Worksheets("Invoice")
    Dim wsCo As Worksheet:  Set wsCo  = ThisWorkbook.Worksheets("Company")
    Dim claimNo As String:  claimNo   = CStr(wsInv.Range("B20").Value)
    If Trim(claimNo) = "" Then
        MsgBox "Pick a Claim No. on Invoice!B20 first.", vbExclamation: Exit Sub
    End If
    ' Resolve the To/Cc by walking the Consignees table.
    Dim consignee As String, billTo As String
    consignee = CStr(wsInv.Range("F10").Value)   ' formula already resolves it
    Dim toAddr As String, ccAddr As String
    toAddr = LookupConsignee(consignee, "Email")
    ccAddr = LookupConsignee(consignee, "Cc Emails")
    If Left$(toAddr, 1) = "(" Then toAddr = ""   ' "(awaiting email)" -&gt; blank
    ' Numbers shown to the user.
    Dim amount As Double
    amount = Application.WorksheetFunction.Round( _
        Application.WorksheetFunction.SumIf( _
            ThisWorkbook.Worksheets("Trips Ledger").ListObjects("Trips").ListColumns("Claim No.").DataBodyRange, _
            claimNo, _
            ThisWorkbook.Worksheets("Trips Ledger").ListObjects("Trips").ListColumns("Demurrage (USD)").DataBodyRange), 2)
    Dim dealNo As String: dealNo = CStr(wsInv.Range("F17").Value)
    Dim companyName As String: companyName = CStr(wsCo.Range("C7").Value)
    Dim subj As String
    subj = "Demurrage Invoice " &amp; claimNo &amp; " - Deal " &amp; dealNo
    Dim body As String
    body = "Dear all," &amp; vbCrLf &amp; vbCrLf &amp; _
           "Please find attached our demurrage invoice for deal " &amp; dealNo &amp; _
           " for USD " &amp; Format$(amount, "#,##0.00") &amp; "." &amp; vbCrLf &amp; vbCrLf &amp; _
           "Kindly confirm receipt and share the swift once available." &amp; vbCrLf &amp; vbCrLf &amp; _
           "Thank you very much." &amp; vbCrLf &amp; vbCrLf &amp; _
           "Kind regards," &amp; vbCrLf &amp; companyName
    ' Optionally export the PDF first so we can attach it.
    Dim attachPath As String: attachPath = ""
    If MsgBox("Attach PDF of Invoice + Annex to the email?", vbYesNo + vbQuestion, _
              "Attach PDF?") = vbYes Then
        attachPath = Environ$("TEMP") &amp; "\Invoice_" &amp; Replace(claimNo, "/", "-") &amp; ".pdf"
        Application.ScreenUpdating = False
        ThisWorkbook.Worksheets(Array("Invoice", "Annex")).Select
        ActiveSheet.ExportAsFixedFormat Type:=xlTypePDF, _
            Filename:=attachPath, Quality:=xlQualityStandard, _
            IgnorePrintAreas:=False, OpenAfterPublish:=False
        ThisWorkbook.Worksheets("Invoice").Select
        Application.ScreenUpdating = True
    End If
    ' Open the Outlook draft.
    On Error Resume Next
    Dim ol As Object: Set ol = CreateObject("Outlook.Application")
    If ol Is Nothing Then
        MsgBox "Outlook is not available. The body and recipients are shown below" &amp; _
               vbCrLf &amp; vbCrLf &amp; "TO:  " &amp; toAddr &amp; vbCrLf &amp; "CC:  " &amp; ccAddr &amp; _
               vbCrLf &amp; "SUBJECT: " &amp; subj &amp; vbCrLf &amp; vbCrLf &amp; body, vbInformation
        Exit Sub
    End If
    Dim mi As Object: Set mi = ol.CreateItem(0)   ' 0 = olMailItem
    mi.To = toAddr
    mi.Cc = ccAddr
    mi.Subject = subj
    mi.Body = body
    If attachPath &lt;&gt; "" Then mi.Attachments.Add attachPath
    mi.Display      ' SHOW the draft -- do not auto-Send
    On Error GoTo 0
    Call LogAudit("Invoice", "B20", "Email", "", claimNo, "Open Outlook draft")
End Sub
' Lookup helper for the Consignees table on Company.
Private Function LookupConsignee(ByVal name As String, ByVal col As String) As String
    On Error Resume Next
    Dim tbl As ListObject
    Set tbl = ThisWorkbook.Worksheets("Company").ListObjects("Consignees")
    Dim v As Variant
    v = Application.WorksheetFunction.VLookup( _
        name, tbl.Range, _
        Application.WorksheetFunction.Match(col, tbl.HeaderRowRange, 0), False)
    If IsError(v) Then
        LookupConsignee = ""
    Else
        LookupConsignee = CStr(v)
    End If
End Function
Public Sub LogAudit(sht As String, addr As String, fld As String, _
                    oldV As String, newV As String, act As String)
    On Error Resume Next
    Dim tbl As ListObject
    Set tbl = ThisWorkbook.Worksheets("AuditLog").ListObjects("AuditLog")
    Dim r As ListRow: Set r = tbl.ListRows.Add
    r.Range.Cells(1, 1).Value = Now
    r.Range.Cells(1, 2).Value = Environ$("USERNAME")
    r.Range.Cells(1, 3).Value = sht
    r.Range.Cells(1, 4).Value = addr
    r.Range.Cells(1, 5).Value = fld
    r.Range.Cells(1, 6).Value = oldV
    r.Range.Cells(1, 7).Value = newV
    r.Range.Cells(1, 8).Value = act
End Sub
</t>
        </is>
      </c>
    </row>
    <row r="7" ht="320.1" customHeight="1" s="106">
      <c r="B7" s="206" t="inlineStr">
        <is>
          <t>THISWORKBOOK  --  paste into the ThisWorkbook object</t>
        </is>
      </c>
    </row>
    <row r="8" ht="140" customHeight="1" s="106">
      <c r="B8" s="147" t="inlineStr">
        <is>
          <t xml:space="preserve">Option Explicit
' Paste into the ThisWorkbook object (NOT a module).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
</t>
        </is>
      </c>
    </row>
    <row r="9"/>
    <row r="10" ht="108" customHeight="1" s="106">
      <c r="B10" s="148" t="n"/>
    </row>
    <row r="11" ht="159.95" customHeight="1" s="106">
      <c r="B11" s="147" t="n"/>
    </row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</sheetData>
  <hyperlinks>
    <hyperlink xmlns:r="http://schemas.openxmlformats.org/officeDocument/2006/relationships" ref="B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2026-05-15T19:50:18Z</dcterms:created>
  <dcterms:modified xsi:type="dcterms:W3CDTF">2026-05-16T13:08:22Z</dcterms:modified>
  <cp:lastModifiedBy>Theo Tasset</cp:lastModifiedBy>
  <cp:lastPrinted>2026-05-16T12:35:07Z</cp:lastPrinted>
</cp:coreProperties>
</file>