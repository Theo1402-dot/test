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ocoh-my.sharepoint.com/personal/theo_tasset_mocoh_ch/Documents/Desktop/"/>
    </mc:Choice>
  </mc:AlternateContent>
  <xr:revisionPtr revIDLastSave="273" documentId="8_{9E56828D-CF37-4951-A95B-36B20BD5CA8B}" xr6:coauthVersionLast="47" xr6:coauthVersionMax="47" xr10:uidLastSave="{6BCC48DD-A73E-45F3-96C4-1B3ACFC62948}"/>
  <bookViews>
    <workbookView xWindow="28680" yWindow="-120" windowWidth="29040" windowHeight="15720" firstSheet="4" activeTab="10" xr2:uid="{00000000-000D-0000-FFFF-FFFF00000000}"/>
  </bookViews>
  <sheets>
    <sheet name="Cover" sheetId="1" r:id="rId1"/>
    <sheet name="Dashboard" sheetId="2" r:id="rId2"/>
    <sheet name="Invoice" sheetId="3" r:id="rId3"/>
    <sheet name="Annex" sheetId="9" r:id="rId4"/>
    <sheet name="Claims" sheetId="4" r:id="rId5"/>
    <sheet name="Trips Ledger" sheetId="5" r:id="rId6"/>
    <sheet name="Deals" sheetId="6" r:id="rId7"/>
    <sheet name="Assumptions" sheetId="7" r:id="rId8"/>
    <sheet name="Company" sheetId="8" r:id="rId9"/>
    <sheet name="AuditLog" sheetId="11" r:id="rId10"/>
    <sheet name="Macros" sheetId="14" r:id="rId11"/>
  </sheets>
  <definedNames>
    <definedName name="BANK_CORR">Company!$C$19</definedName>
    <definedName name="BANK_CORR_SWIFT">Company!$C$20</definedName>
    <definedName name="BANK_HOLDER">Company!$C$16</definedName>
    <definedName name="BANK_IBAN">Company!$C$17</definedName>
    <definedName name="BANK_NAME">Company!$C$15</definedName>
    <definedName name="BANK_SWIFT">Company!$C$18</definedName>
    <definedName name="CCY">Assumptions!$C$9</definedName>
    <definedName name="COMPANY_ADDR">Company!$C$9</definedName>
    <definedName name="COMPANY_EMAIL">Company!$C$12</definedName>
    <definedName name="COMPANY_NAME">Company!$C$7</definedName>
    <definedName name="COMPANY_PHONE">Company!$C$11</definedName>
    <definedName name="COMPANY_TRADING">Company!$C$8</definedName>
    <definedName name="COMPANY_VAT">Company!$C$10</definedName>
    <definedName name="DEF_LAYTIME">Assumptions!$C$7</definedName>
    <definedName name="DEF_RATE">Assumptions!$C$8</definedName>
    <definedName name="FX">Assumptions!$C$10</definedName>
    <definedName name="INV_CLAIM">Invoice!$B$20</definedName>
    <definedName name="INV_FOOTER">Company!$C$27</definedName>
    <definedName name="INV_NEXT">Company!$C$24</definedName>
    <definedName name="INV_PREFIX">Company!$C$23</definedName>
    <definedName name="LIST_ClaimNo">Claims[Claim No.]</definedName>
    <definedName name="LIST_Consignee">Deals[Consignee]</definedName>
    <definedName name="LIST_DealNo">Deals[Deal No.]</definedName>
    <definedName name="LIST_Status">{"Draft";"Sent";"Paid";"Partial";"Cancelled"}</definedName>
    <definedName name="LIST_Transporter">Deals[Transporter]</definedName>
    <definedName name="OUTLIER_DAYS">Assumptions!$C$18</definedName>
    <definedName name="PAY_TERMS">Company!$C$25</definedName>
    <definedName name="PERIOD_END">Assumptions!$C$14</definedName>
    <definedName name="PERIOD_START">Assumptions!$C$13</definedName>
    <definedName name="_xlnm.Print_Area" localSheetId="3">Annex!$B$2:$K$62</definedName>
    <definedName name="_xlnm.Print_Area" localSheetId="2">Invoice!$B$2:$J$52</definedName>
    <definedName name="_xlnm.Print_Titles" localSheetId="3">Annex!$5:$11</definedName>
    <definedName name="VAT_RATE">Company!$C$26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9" i="3" l="1"/>
  <c r="B36" i="3"/>
  <c r="C4" i="5" a="1"/>
  <c r="C4" i="5" s="1"/>
  <c r="K4" i="5"/>
  <c r="I4" i="5"/>
  <c r="G4" i="5"/>
  <c r="E4" i="5"/>
  <c r="Q8" i="4"/>
  <c r="Q9" i="4"/>
  <c r="Q10" i="4"/>
  <c r="Q11" i="4"/>
  <c r="Q12" i="4"/>
  <c r="Q13" i="4"/>
  <c r="Q14" i="4"/>
  <c r="Q15" i="4"/>
  <c r="B8" i="4"/>
  <c r="B9" i="4"/>
  <c r="B10" i="4"/>
  <c r="B11" i="4"/>
  <c r="B12" i="4"/>
  <c r="B13" i="4"/>
  <c r="B14" i="4"/>
  <c r="B15" i="4"/>
  <c r="Q7" i="4"/>
  <c r="B7" i="4"/>
  <c r="F15" i="4"/>
  <c r="F14" i="4"/>
  <c r="F13" i="4"/>
  <c r="C46" i="3"/>
  <c r="C45" i="3"/>
  <c r="C44" i="3"/>
  <c r="C43" i="3"/>
  <c r="B49" i="3"/>
  <c r="C42" i="3"/>
  <c r="I34" i="3"/>
  <c r="I32" i="3"/>
  <c r="F32" i="3"/>
  <c r="I31" i="3"/>
  <c r="H28" i="3"/>
  <c r="F28" i="3"/>
  <c r="D28" i="3"/>
  <c r="B28" i="3"/>
  <c r="K62" i="9"/>
  <c r="J62" i="9"/>
  <c r="H62" i="9"/>
  <c r="K61" i="9" a="1"/>
  <c r="K61" i="9" s="1"/>
  <c r="J61" i="9" a="1"/>
  <c r="J61" i="9" s="1"/>
  <c r="I61" i="9" a="1"/>
  <c r="I61" i="9" s="1"/>
  <c r="H61" i="9" a="1"/>
  <c r="H61" i="9" s="1"/>
  <c r="G61" i="9" a="1"/>
  <c r="G61" i="9" s="1"/>
  <c r="F61" i="9" a="1"/>
  <c r="F61" i="9" s="1"/>
  <c r="E61" i="9" a="1"/>
  <c r="E61" i="9" s="1"/>
  <c r="D61" i="9" a="1"/>
  <c r="D61" i="9" s="1"/>
  <c r="C61" i="9" a="1"/>
  <c r="C61" i="9" s="1"/>
  <c r="B61" i="9" a="1"/>
  <c r="B61" i="9" s="1"/>
  <c r="K60" i="9" a="1"/>
  <c r="K60" i="9" s="1"/>
  <c r="J60" i="9" a="1"/>
  <c r="J60" i="9" s="1"/>
  <c r="I60" i="9" a="1"/>
  <c r="I60" i="9" s="1"/>
  <c r="H60" i="9" a="1"/>
  <c r="H60" i="9" s="1"/>
  <c r="G60" i="9" a="1"/>
  <c r="G60" i="9" s="1"/>
  <c r="F60" i="9" a="1"/>
  <c r="F60" i="9" s="1"/>
  <c r="E60" i="9" a="1"/>
  <c r="E60" i="9" s="1"/>
  <c r="D60" i="9" a="1"/>
  <c r="D60" i="9" s="1"/>
  <c r="C60" i="9" a="1"/>
  <c r="C60" i="9" s="1"/>
  <c r="B60" i="9" a="1"/>
  <c r="B60" i="9" s="1"/>
  <c r="K59" i="9" a="1"/>
  <c r="K59" i="9" s="1"/>
  <c r="J59" i="9" a="1"/>
  <c r="J59" i="9" s="1"/>
  <c r="I59" i="9" a="1"/>
  <c r="I59" i="9" s="1"/>
  <c r="H59" i="9" a="1"/>
  <c r="H59" i="9" s="1"/>
  <c r="G59" i="9" a="1"/>
  <c r="G59" i="9" s="1"/>
  <c r="F59" i="9" a="1"/>
  <c r="F59" i="9" s="1"/>
  <c r="E59" i="9" a="1"/>
  <c r="E59" i="9" s="1"/>
  <c r="D59" i="9" a="1"/>
  <c r="D59" i="9" s="1"/>
  <c r="C59" i="9" a="1"/>
  <c r="C59" i="9" s="1"/>
  <c r="B59" i="9" a="1"/>
  <c r="B59" i="9" s="1"/>
  <c r="K58" i="9" a="1"/>
  <c r="K58" i="9" s="1"/>
  <c r="J58" i="9" a="1"/>
  <c r="J58" i="9" s="1"/>
  <c r="I58" i="9" a="1"/>
  <c r="I58" i="9" s="1"/>
  <c r="H58" i="9" a="1"/>
  <c r="H58" i="9" s="1"/>
  <c r="G58" i="9" a="1"/>
  <c r="G58" i="9" s="1"/>
  <c r="F58" i="9" a="1"/>
  <c r="F58" i="9" s="1"/>
  <c r="E58" i="9" a="1"/>
  <c r="E58" i="9" s="1"/>
  <c r="D58" i="9" a="1"/>
  <c r="D58" i="9" s="1"/>
  <c r="C58" i="9" a="1"/>
  <c r="C58" i="9" s="1"/>
  <c r="B58" i="9" a="1"/>
  <c r="B58" i="9" s="1"/>
  <c r="K57" i="9" a="1"/>
  <c r="K57" i="9" s="1"/>
  <c r="J57" i="9" a="1"/>
  <c r="J57" i="9" s="1"/>
  <c r="I57" i="9" a="1"/>
  <c r="I57" i="9" s="1"/>
  <c r="H57" i="9" a="1"/>
  <c r="H57" i="9" s="1"/>
  <c r="G57" i="9" a="1"/>
  <c r="G57" i="9" s="1"/>
  <c r="F57" i="9" a="1"/>
  <c r="F57" i="9" s="1"/>
  <c r="E57" i="9" a="1"/>
  <c r="E57" i="9" s="1"/>
  <c r="D57" i="9" a="1"/>
  <c r="D57" i="9" s="1"/>
  <c r="C57" i="9" a="1"/>
  <c r="C57" i="9" s="1"/>
  <c r="B57" i="9" a="1"/>
  <c r="B57" i="9" s="1"/>
  <c r="K56" i="9" a="1"/>
  <c r="K56" i="9" s="1"/>
  <c r="J56" i="9" a="1"/>
  <c r="J56" i="9" s="1"/>
  <c r="I56" i="9" a="1"/>
  <c r="I56" i="9" s="1"/>
  <c r="H56" i="9" a="1"/>
  <c r="H56" i="9" s="1"/>
  <c r="G56" i="9" a="1"/>
  <c r="G56" i="9" s="1"/>
  <c r="F56" i="9" a="1"/>
  <c r="F56" i="9" s="1"/>
  <c r="E56" i="9" a="1"/>
  <c r="E56" i="9" s="1"/>
  <c r="D56" i="9" a="1"/>
  <c r="D56" i="9" s="1"/>
  <c r="C56" i="9" a="1"/>
  <c r="C56" i="9" s="1"/>
  <c r="B56" i="9" a="1"/>
  <c r="B56" i="9" s="1"/>
  <c r="K55" i="9" a="1"/>
  <c r="K55" i="9" s="1"/>
  <c r="J55" i="9" a="1"/>
  <c r="J55" i="9" s="1"/>
  <c r="I55" i="9" a="1"/>
  <c r="I55" i="9" s="1"/>
  <c r="H55" i="9" a="1"/>
  <c r="H55" i="9" s="1"/>
  <c r="G55" i="9" a="1"/>
  <c r="G55" i="9" s="1"/>
  <c r="F55" i="9" a="1"/>
  <c r="F55" i="9" s="1"/>
  <c r="E55" i="9" a="1"/>
  <c r="E55" i="9" s="1"/>
  <c r="D55" i="9" a="1"/>
  <c r="D55" i="9" s="1"/>
  <c r="C55" i="9" a="1"/>
  <c r="C55" i="9" s="1"/>
  <c r="B55" i="9" a="1"/>
  <c r="B55" i="9" s="1"/>
  <c r="K54" i="9" a="1"/>
  <c r="K54" i="9" s="1"/>
  <c r="J54" i="9" a="1"/>
  <c r="J54" i="9" s="1"/>
  <c r="I54" i="9" a="1"/>
  <c r="I54" i="9" s="1"/>
  <c r="H54" i="9" a="1"/>
  <c r="H54" i="9" s="1"/>
  <c r="G54" i="9" a="1"/>
  <c r="G54" i="9" s="1"/>
  <c r="F54" i="9" a="1"/>
  <c r="F54" i="9" s="1"/>
  <c r="E54" i="9" a="1"/>
  <c r="E54" i="9" s="1"/>
  <c r="D54" i="9" a="1"/>
  <c r="D54" i="9" s="1"/>
  <c r="C54" i="9" a="1"/>
  <c r="C54" i="9" s="1"/>
  <c r="B54" i="9" a="1"/>
  <c r="B54" i="9" s="1"/>
  <c r="K53" i="9" a="1"/>
  <c r="K53" i="9" s="1"/>
  <c r="J53" i="9" a="1"/>
  <c r="J53" i="9" s="1"/>
  <c r="I53" i="9" a="1"/>
  <c r="I53" i="9" s="1"/>
  <c r="H53" i="9" a="1"/>
  <c r="H53" i="9" s="1"/>
  <c r="G53" i="9" a="1"/>
  <c r="G53" i="9" s="1"/>
  <c r="F53" i="9" a="1"/>
  <c r="F53" i="9" s="1"/>
  <c r="E53" i="9" a="1"/>
  <c r="E53" i="9" s="1"/>
  <c r="D53" i="9" a="1"/>
  <c r="D53" i="9" s="1"/>
  <c r="C53" i="9" a="1"/>
  <c r="C53" i="9" s="1"/>
  <c r="B53" i="9" a="1"/>
  <c r="B53" i="9" s="1"/>
  <c r="K52" i="9" a="1"/>
  <c r="K52" i="9" s="1"/>
  <c r="J52" i="9" a="1"/>
  <c r="J52" i="9" s="1"/>
  <c r="I52" i="9" a="1"/>
  <c r="I52" i="9" s="1"/>
  <c r="H52" i="9" a="1"/>
  <c r="H52" i="9" s="1"/>
  <c r="G52" i="9" a="1"/>
  <c r="G52" i="9" s="1"/>
  <c r="F52" i="9" a="1"/>
  <c r="F52" i="9" s="1"/>
  <c r="E52" i="9" a="1"/>
  <c r="E52" i="9" s="1"/>
  <c r="D52" i="9" a="1"/>
  <c r="D52" i="9" s="1"/>
  <c r="C52" i="9" a="1"/>
  <c r="C52" i="9" s="1"/>
  <c r="B52" i="9" a="1"/>
  <c r="B52" i="9" s="1"/>
  <c r="K51" i="9" a="1"/>
  <c r="K51" i="9" s="1"/>
  <c r="J51" i="9" a="1"/>
  <c r="J51" i="9" s="1"/>
  <c r="I51" i="9" a="1"/>
  <c r="I51" i="9" s="1"/>
  <c r="H51" i="9" a="1"/>
  <c r="H51" i="9" s="1"/>
  <c r="G51" i="9" a="1"/>
  <c r="G51" i="9" s="1"/>
  <c r="F51" i="9" a="1"/>
  <c r="F51" i="9" s="1"/>
  <c r="E51" i="9" a="1"/>
  <c r="E51" i="9" s="1"/>
  <c r="D51" i="9" a="1"/>
  <c r="D51" i="9" s="1"/>
  <c r="C51" i="9" a="1"/>
  <c r="C51" i="9" s="1"/>
  <c r="B51" i="9" a="1"/>
  <c r="B51" i="9" s="1"/>
  <c r="K50" i="9" a="1"/>
  <c r="K50" i="9" s="1"/>
  <c r="J50" i="9" a="1"/>
  <c r="J50" i="9" s="1"/>
  <c r="I50" i="9" a="1"/>
  <c r="I50" i="9" s="1"/>
  <c r="H50" i="9" a="1"/>
  <c r="H50" i="9" s="1"/>
  <c r="G50" i="9" a="1"/>
  <c r="G50" i="9" s="1"/>
  <c r="F50" i="9" a="1"/>
  <c r="F50" i="9" s="1"/>
  <c r="E50" i="9" a="1"/>
  <c r="E50" i="9" s="1"/>
  <c r="D50" i="9" a="1"/>
  <c r="D50" i="9" s="1"/>
  <c r="C50" i="9" a="1"/>
  <c r="C50" i="9" s="1"/>
  <c r="B50" i="9" a="1"/>
  <c r="B50" i="9" s="1"/>
  <c r="K49" i="9" a="1"/>
  <c r="K49" i="9" s="1"/>
  <c r="J49" i="9" a="1"/>
  <c r="J49" i="9" s="1"/>
  <c r="I49" i="9" a="1"/>
  <c r="I49" i="9" s="1"/>
  <c r="H49" i="9" a="1"/>
  <c r="H49" i="9" s="1"/>
  <c r="G49" i="9" a="1"/>
  <c r="G49" i="9" s="1"/>
  <c r="F49" i="9" a="1"/>
  <c r="F49" i="9" s="1"/>
  <c r="E49" i="9" a="1"/>
  <c r="E49" i="9" s="1"/>
  <c r="D49" i="9" a="1"/>
  <c r="D49" i="9" s="1"/>
  <c r="C49" i="9" a="1"/>
  <c r="C49" i="9" s="1"/>
  <c r="B49" i="9" a="1"/>
  <c r="B49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B48" i="9" a="1"/>
  <c r="B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B47" i="9" a="1"/>
  <c r="B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B46" i="9" a="1"/>
  <c r="B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B45" i="9" a="1"/>
  <c r="B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B44" i="9" a="1"/>
  <c r="B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B43" i="9" a="1"/>
  <c r="B43" i="9" s="1"/>
  <c r="K42" i="9" a="1"/>
  <c r="K42" i="9" s="1"/>
  <c r="J42" i="9" a="1"/>
  <c r="J42" i="9" s="1"/>
  <c r="I42" i="9" a="1"/>
  <c r="I42" i="9" s="1"/>
  <c r="H42" i="9" a="1"/>
  <c r="H42" i="9" s="1"/>
  <c r="G42" i="9" a="1"/>
  <c r="G42" i="9" s="1"/>
  <c r="F42" i="9" a="1"/>
  <c r="F42" i="9" s="1"/>
  <c r="E42" i="9" a="1"/>
  <c r="E42" i="9" s="1"/>
  <c r="D42" i="9" a="1"/>
  <c r="D42" i="9" s="1"/>
  <c r="C42" i="9" a="1"/>
  <c r="C42" i="9" s="1"/>
  <c r="B42" i="9" a="1"/>
  <c r="B42" i="9" s="1"/>
  <c r="K41" i="9" a="1"/>
  <c r="K41" i="9" s="1"/>
  <c r="J41" i="9" a="1"/>
  <c r="J41" i="9" s="1"/>
  <c r="I41" i="9" a="1"/>
  <c r="I41" i="9" s="1"/>
  <c r="H41" i="9" a="1"/>
  <c r="H41" i="9" s="1"/>
  <c r="G41" i="9" a="1"/>
  <c r="G41" i="9" s="1"/>
  <c r="F41" i="9" a="1"/>
  <c r="F41" i="9" s="1"/>
  <c r="E41" i="9" a="1"/>
  <c r="E41" i="9" s="1"/>
  <c r="D41" i="9" a="1"/>
  <c r="D41" i="9" s="1"/>
  <c r="C41" i="9" a="1"/>
  <c r="C41" i="9" s="1"/>
  <c r="B41" i="9" a="1"/>
  <c r="B41" i="9" s="1"/>
  <c r="K40" i="9" a="1"/>
  <c r="K40" i="9" s="1"/>
  <c r="J40" i="9" a="1"/>
  <c r="J40" i="9" s="1"/>
  <c r="I40" i="9" a="1"/>
  <c r="I40" i="9" s="1"/>
  <c r="H40" i="9" a="1"/>
  <c r="H40" i="9" s="1"/>
  <c r="G40" i="9" a="1"/>
  <c r="G40" i="9" s="1"/>
  <c r="F40" i="9" a="1"/>
  <c r="F40" i="9" s="1"/>
  <c r="E40" i="9" a="1"/>
  <c r="E40" i="9" s="1"/>
  <c r="D40" i="9" a="1"/>
  <c r="D40" i="9" s="1"/>
  <c r="C40" i="9" a="1"/>
  <c r="C40" i="9" s="1"/>
  <c r="B40" i="9" a="1"/>
  <c r="B40" i="9" s="1"/>
  <c r="K39" i="9" a="1"/>
  <c r="K39" i="9" s="1"/>
  <c r="J39" i="9" a="1"/>
  <c r="J39" i="9" s="1"/>
  <c r="I39" i="9" a="1"/>
  <c r="I39" i="9" s="1"/>
  <c r="H39" i="9" a="1"/>
  <c r="H39" i="9" s="1"/>
  <c r="G39" i="9" a="1"/>
  <c r="G39" i="9" s="1"/>
  <c r="F39" i="9" a="1"/>
  <c r="F39" i="9" s="1"/>
  <c r="E39" i="9" a="1"/>
  <c r="E39" i="9" s="1"/>
  <c r="D39" i="9" a="1"/>
  <c r="D39" i="9" s="1"/>
  <c r="C39" i="9" a="1"/>
  <c r="C39" i="9" s="1"/>
  <c r="B39" i="9" a="1"/>
  <c r="B39" i="9" s="1"/>
  <c r="K38" i="9" a="1"/>
  <c r="K38" i="9" s="1"/>
  <c r="J38" i="9" a="1"/>
  <c r="J38" i="9" s="1"/>
  <c r="I38" i="9" a="1"/>
  <c r="I38" i="9" s="1"/>
  <c r="H38" i="9" a="1"/>
  <c r="H38" i="9" s="1"/>
  <c r="G38" i="9" a="1"/>
  <c r="G38" i="9" s="1"/>
  <c r="F38" i="9" a="1"/>
  <c r="F38" i="9" s="1"/>
  <c r="E38" i="9" a="1"/>
  <c r="E38" i="9" s="1"/>
  <c r="D38" i="9" a="1"/>
  <c r="D38" i="9" s="1"/>
  <c r="C38" i="9" a="1"/>
  <c r="C38" i="9" s="1"/>
  <c r="B38" i="9" a="1"/>
  <c r="B38" i="9" s="1"/>
  <c r="K37" i="9" a="1"/>
  <c r="K37" i="9" s="1"/>
  <c r="J37" i="9" a="1"/>
  <c r="J37" i="9" s="1"/>
  <c r="I37" i="9" a="1"/>
  <c r="I37" i="9" s="1"/>
  <c r="H37" i="9" a="1"/>
  <c r="H37" i="9" s="1"/>
  <c r="G37" i="9" a="1"/>
  <c r="G37" i="9" s="1"/>
  <c r="F37" i="9" a="1"/>
  <c r="F37" i="9" s="1"/>
  <c r="E37" i="9" a="1"/>
  <c r="E37" i="9" s="1"/>
  <c r="D37" i="9" a="1"/>
  <c r="D37" i="9" s="1"/>
  <c r="C37" i="9" a="1"/>
  <c r="C37" i="9" s="1"/>
  <c r="B37" i="9" a="1"/>
  <c r="B37" i="9" s="1"/>
  <c r="K36" i="9" a="1"/>
  <c r="K36" i="9" s="1"/>
  <c r="J36" i="9" a="1"/>
  <c r="J36" i="9" s="1"/>
  <c r="I36" i="9" a="1"/>
  <c r="I36" i="9" s="1"/>
  <c r="H36" i="9" a="1"/>
  <c r="H36" i="9" s="1"/>
  <c r="G36" i="9" a="1"/>
  <c r="G36" i="9" s="1"/>
  <c r="F36" i="9" a="1"/>
  <c r="F36" i="9" s="1"/>
  <c r="E36" i="9" a="1"/>
  <c r="E36" i="9" s="1"/>
  <c r="D36" i="9" a="1"/>
  <c r="D36" i="9" s="1"/>
  <c r="C36" i="9" a="1"/>
  <c r="C36" i="9" s="1"/>
  <c r="B36" i="9" a="1"/>
  <c r="B36" i="9" s="1"/>
  <c r="K35" i="9" a="1"/>
  <c r="K35" i="9" s="1"/>
  <c r="J35" i="9" a="1"/>
  <c r="J35" i="9" s="1"/>
  <c r="I35" i="9" a="1"/>
  <c r="I35" i="9" s="1"/>
  <c r="H35" i="9" a="1"/>
  <c r="H35" i="9" s="1"/>
  <c r="G35" i="9" a="1"/>
  <c r="G35" i="9" s="1"/>
  <c r="F35" i="9" a="1"/>
  <c r="F35" i="9" s="1"/>
  <c r="E35" i="9" a="1"/>
  <c r="E35" i="9" s="1"/>
  <c r="D35" i="9" a="1"/>
  <c r="D35" i="9" s="1"/>
  <c r="C35" i="9" a="1"/>
  <c r="C35" i="9" s="1"/>
  <c r="B35" i="9" a="1"/>
  <c r="B35" i="9" s="1"/>
  <c r="K34" i="9" a="1"/>
  <c r="K34" i="9" s="1"/>
  <c r="J34" i="9" a="1"/>
  <c r="J34" i="9" s="1"/>
  <c r="I34" i="9" a="1"/>
  <c r="I34" i="9" s="1"/>
  <c r="H34" i="9" a="1"/>
  <c r="H34" i="9" s="1"/>
  <c r="G34" i="9" a="1"/>
  <c r="G34" i="9" s="1"/>
  <c r="F34" i="9" a="1"/>
  <c r="F34" i="9" s="1"/>
  <c r="E34" i="9" a="1"/>
  <c r="E34" i="9" s="1"/>
  <c r="D34" i="9" a="1"/>
  <c r="D34" i="9" s="1"/>
  <c r="C34" i="9" a="1"/>
  <c r="C34" i="9" s="1"/>
  <c r="B34" i="9" a="1"/>
  <c r="B34" i="9" s="1"/>
  <c r="K33" i="9" a="1"/>
  <c r="K33" i="9" s="1"/>
  <c r="J33" i="9" a="1"/>
  <c r="J33" i="9" s="1"/>
  <c r="I33" i="9" a="1"/>
  <c r="I33" i="9" s="1"/>
  <c r="H33" i="9" a="1"/>
  <c r="H33" i="9" s="1"/>
  <c r="G33" i="9" a="1"/>
  <c r="G33" i="9" s="1"/>
  <c r="F33" i="9" a="1"/>
  <c r="F33" i="9" s="1"/>
  <c r="E33" i="9" a="1"/>
  <c r="E33" i="9" s="1"/>
  <c r="D33" i="9" a="1"/>
  <c r="D33" i="9" s="1"/>
  <c r="C33" i="9" a="1"/>
  <c r="C33" i="9" s="1"/>
  <c r="B33" i="9" a="1"/>
  <c r="B33" i="9" s="1"/>
  <c r="K32" i="9" a="1"/>
  <c r="K32" i="9" s="1"/>
  <c r="J32" i="9" a="1"/>
  <c r="J32" i="9" s="1"/>
  <c r="I32" i="9" a="1"/>
  <c r="I32" i="9" s="1"/>
  <c r="H32" i="9" a="1"/>
  <c r="H32" i="9" s="1"/>
  <c r="G32" i="9" a="1"/>
  <c r="G32" i="9" s="1"/>
  <c r="F32" i="9" a="1"/>
  <c r="F32" i="9" s="1"/>
  <c r="E32" i="9" a="1"/>
  <c r="E32" i="9" s="1"/>
  <c r="D32" i="9" a="1"/>
  <c r="D32" i="9" s="1"/>
  <c r="C32" i="9" a="1"/>
  <c r="C32" i="9" s="1"/>
  <c r="B32" i="9" a="1"/>
  <c r="B32" i="9" s="1"/>
  <c r="K31" i="9" a="1"/>
  <c r="K31" i="9" s="1"/>
  <c r="J31" i="9" a="1"/>
  <c r="J31" i="9" s="1"/>
  <c r="I31" i="9" a="1"/>
  <c r="I31" i="9" s="1"/>
  <c r="H31" i="9" a="1"/>
  <c r="H31" i="9" s="1"/>
  <c r="G31" i="9" a="1"/>
  <c r="G31" i="9" s="1"/>
  <c r="F31" i="9" a="1"/>
  <c r="F31" i="9" s="1"/>
  <c r="E31" i="9" a="1"/>
  <c r="E31" i="9" s="1"/>
  <c r="D31" i="9" a="1"/>
  <c r="D31" i="9" s="1"/>
  <c r="C31" i="9" a="1"/>
  <c r="C31" i="9" s="1"/>
  <c r="B31" i="9" a="1"/>
  <c r="B31" i="9" s="1"/>
  <c r="K30" i="9" a="1"/>
  <c r="K30" i="9" s="1"/>
  <c r="J30" i="9" a="1"/>
  <c r="J30" i="9" s="1"/>
  <c r="I30" i="9" a="1"/>
  <c r="I30" i="9" s="1"/>
  <c r="H30" i="9" a="1"/>
  <c r="H30" i="9" s="1"/>
  <c r="G30" i="9" a="1"/>
  <c r="G30" i="9" s="1"/>
  <c r="F30" i="9" a="1"/>
  <c r="F30" i="9" s="1"/>
  <c r="E30" i="9" a="1"/>
  <c r="E30" i="9" s="1"/>
  <c r="D30" i="9" a="1"/>
  <c r="D30" i="9" s="1"/>
  <c r="C30" i="9" a="1"/>
  <c r="C30" i="9" s="1"/>
  <c r="B30" i="9" a="1"/>
  <c r="B30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B29" i="9" a="1"/>
  <c r="B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B28" i="9" a="1"/>
  <c r="B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B27" i="9" a="1"/>
  <c r="B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B26" i="9" a="1"/>
  <c r="B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B25" i="9" a="1"/>
  <c r="B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B24" i="9" a="1"/>
  <c r="B24" i="9" s="1"/>
  <c r="K23" i="9" a="1"/>
  <c r="K23" i="9" s="1"/>
  <c r="J23" i="9" a="1"/>
  <c r="J23" i="9" s="1"/>
  <c r="I23" i="9" a="1"/>
  <c r="I23" i="9" s="1"/>
  <c r="H23" i="9" a="1"/>
  <c r="H23" i="9" s="1"/>
  <c r="G23" i="9" a="1"/>
  <c r="G23" i="9" s="1"/>
  <c r="F23" i="9" a="1"/>
  <c r="F23" i="9" s="1"/>
  <c r="E23" i="9" a="1"/>
  <c r="E23" i="9" s="1"/>
  <c r="D23" i="9" a="1"/>
  <c r="D23" i="9" s="1"/>
  <c r="C23" i="9" a="1"/>
  <c r="C23" i="9" s="1"/>
  <c r="B23" i="9" a="1"/>
  <c r="B23" i="9" s="1"/>
  <c r="K22" i="9" a="1"/>
  <c r="K22" i="9" s="1"/>
  <c r="J22" i="9" a="1"/>
  <c r="J22" i="9" s="1"/>
  <c r="I22" i="9" a="1"/>
  <c r="I22" i="9" s="1"/>
  <c r="H22" i="9" a="1"/>
  <c r="H22" i="9" s="1"/>
  <c r="G22" i="9" a="1"/>
  <c r="G22" i="9" s="1"/>
  <c r="F22" i="9" a="1"/>
  <c r="F22" i="9" s="1"/>
  <c r="E22" i="9" a="1"/>
  <c r="E22" i="9" s="1"/>
  <c r="D22" i="9" a="1"/>
  <c r="D22" i="9" s="1"/>
  <c r="C22" i="9" a="1"/>
  <c r="C22" i="9" s="1"/>
  <c r="B22" i="9" a="1"/>
  <c r="B22" i="9" s="1"/>
  <c r="K21" i="9" a="1"/>
  <c r="K21" i="9" s="1"/>
  <c r="J21" i="9" a="1"/>
  <c r="J21" i="9" s="1"/>
  <c r="I21" i="9" a="1"/>
  <c r="I21" i="9" s="1"/>
  <c r="H21" i="9" a="1"/>
  <c r="H21" i="9" s="1"/>
  <c r="G21" i="9" a="1"/>
  <c r="G21" i="9" s="1"/>
  <c r="F21" i="9" a="1"/>
  <c r="F21" i="9" s="1"/>
  <c r="E21" i="9" a="1"/>
  <c r="E21" i="9" s="1"/>
  <c r="D21" i="9" a="1"/>
  <c r="D21" i="9" s="1"/>
  <c r="C21" i="9" a="1"/>
  <c r="C21" i="9" s="1"/>
  <c r="B21" i="9" a="1"/>
  <c r="B21" i="9" s="1"/>
  <c r="K20" i="9" a="1"/>
  <c r="K20" i="9" s="1"/>
  <c r="J20" i="9" a="1"/>
  <c r="J20" i="9" s="1"/>
  <c r="I20" i="9" a="1"/>
  <c r="I20" i="9" s="1"/>
  <c r="H20" i="9" a="1"/>
  <c r="H20" i="9" s="1"/>
  <c r="G20" i="9" a="1"/>
  <c r="G20" i="9" s="1"/>
  <c r="F20" i="9" a="1"/>
  <c r="F20" i="9" s="1"/>
  <c r="E20" i="9" a="1"/>
  <c r="E20" i="9" s="1"/>
  <c r="D20" i="9" a="1"/>
  <c r="D20" i="9" s="1"/>
  <c r="C20" i="9" a="1"/>
  <c r="C20" i="9" s="1"/>
  <c r="B20" i="9" a="1"/>
  <c r="B20" i="9" s="1"/>
  <c r="K19" i="9" a="1"/>
  <c r="K19" i="9" s="1"/>
  <c r="J19" i="9" a="1"/>
  <c r="J19" i="9" s="1"/>
  <c r="I19" i="9" a="1"/>
  <c r="I19" i="9" s="1"/>
  <c r="H19" i="9" a="1"/>
  <c r="H19" i="9" s="1"/>
  <c r="G19" i="9" a="1"/>
  <c r="G19" i="9" s="1"/>
  <c r="F19" i="9" a="1"/>
  <c r="F19" i="9" s="1"/>
  <c r="E19" i="9" a="1"/>
  <c r="E19" i="9" s="1"/>
  <c r="D19" i="9" a="1"/>
  <c r="D19" i="9" s="1"/>
  <c r="C19" i="9" a="1"/>
  <c r="C19" i="9" s="1"/>
  <c r="B19" i="9" a="1"/>
  <c r="B19" i="9" s="1"/>
  <c r="K18" i="9" a="1"/>
  <c r="K18" i="9" s="1"/>
  <c r="J18" i="9" a="1"/>
  <c r="J18" i="9" s="1"/>
  <c r="I18" i="9" a="1"/>
  <c r="I18" i="9" s="1"/>
  <c r="H18" i="9" a="1"/>
  <c r="H18" i="9" s="1"/>
  <c r="G18" i="9" a="1"/>
  <c r="G18" i="9" s="1"/>
  <c r="F18" i="9" a="1"/>
  <c r="F18" i="9" s="1"/>
  <c r="E18" i="9" a="1"/>
  <c r="E18" i="9" s="1"/>
  <c r="D18" i="9" a="1"/>
  <c r="D18" i="9" s="1"/>
  <c r="C18" i="9" a="1"/>
  <c r="C18" i="9" s="1"/>
  <c r="B18" i="9" a="1"/>
  <c r="B18" i="9" s="1"/>
  <c r="K17" i="9" a="1"/>
  <c r="K17" i="9" s="1"/>
  <c r="J17" i="9" a="1"/>
  <c r="J17" i="9" s="1"/>
  <c r="I17" i="9" a="1"/>
  <c r="I17" i="9" s="1"/>
  <c r="H17" i="9" a="1"/>
  <c r="H17" i="9" s="1"/>
  <c r="G17" i="9" a="1"/>
  <c r="G17" i="9" s="1"/>
  <c r="F17" i="9" a="1"/>
  <c r="F17" i="9" s="1"/>
  <c r="E17" i="9" a="1"/>
  <c r="E17" i="9" s="1"/>
  <c r="D17" i="9" a="1"/>
  <c r="D17" i="9" s="1"/>
  <c r="C17" i="9" a="1"/>
  <c r="C17" i="9" s="1"/>
  <c r="B17" i="9" a="1"/>
  <c r="B17" i="9" s="1"/>
  <c r="K16" i="9" a="1"/>
  <c r="K16" i="9" s="1"/>
  <c r="J16" i="9" a="1"/>
  <c r="J16" i="9" s="1"/>
  <c r="I16" i="9" a="1"/>
  <c r="I16" i="9" s="1"/>
  <c r="H16" i="9" a="1"/>
  <c r="H16" i="9" s="1"/>
  <c r="G16" i="9" a="1"/>
  <c r="G16" i="9" s="1"/>
  <c r="F16" i="9" a="1"/>
  <c r="F16" i="9" s="1"/>
  <c r="E16" i="9" a="1"/>
  <c r="E16" i="9" s="1"/>
  <c r="D16" i="9" a="1"/>
  <c r="D16" i="9" s="1"/>
  <c r="C16" i="9" a="1"/>
  <c r="C16" i="9" s="1"/>
  <c r="B16" i="9" a="1"/>
  <c r="B16" i="9" s="1"/>
  <c r="K15" i="9" a="1"/>
  <c r="K15" i="9" s="1"/>
  <c r="J15" i="9" a="1"/>
  <c r="J15" i="9" s="1"/>
  <c r="I15" i="9" a="1"/>
  <c r="I15" i="9" s="1"/>
  <c r="H15" i="9" a="1"/>
  <c r="H15" i="9" s="1"/>
  <c r="G15" i="9" a="1"/>
  <c r="G15" i="9" s="1"/>
  <c r="F15" i="9" a="1"/>
  <c r="F15" i="9" s="1"/>
  <c r="E15" i="9" a="1"/>
  <c r="E15" i="9" s="1"/>
  <c r="D15" i="9" a="1"/>
  <c r="D15" i="9" s="1"/>
  <c r="C15" i="9" a="1"/>
  <c r="C15" i="9" s="1"/>
  <c r="B15" i="9" a="1"/>
  <c r="B15" i="9" s="1"/>
  <c r="K14" i="9" a="1"/>
  <c r="K14" i="9" s="1"/>
  <c r="J14" i="9" a="1"/>
  <c r="J14" i="9" s="1"/>
  <c r="I14" i="9" a="1"/>
  <c r="I14" i="9" s="1"/>
  <c r="H14" i="9" a="1"/>
  <c r="H14" i="9" s="1"/>
  <c r="G14" i="9" a="1"/>
  <c r="G14" i="9" s="1"/>
  <c r="F14" i="9" a="1"/>
  <c r="F14" i="9" s="1"/>
  <c r="E14" i="9" a="1"/>
  <c r="E14" i="9" s="1"/>
  <c r="D14" i="9" a="1"/>
  <c r="D14" i="9" s="1"/>
  <c r="C14" i="9" a="1"/>
  <c r="C14" i="9" s="1"/>
  <c r="B14" i="9" a="1"/>
  <c r="B14" i="9" s="1"/>
  <c r="K13" i="9" a="1"/>
  <c r="K13" i="9" s="1"/>
  <c r="J13" i="9" a="1"/>
  <c r="J13" i="9" s="1"/>
  <c r="I13" i="9" a="1"/>
  <c r="I13" i="9" s="1"/>
  <c r="H13" i="9" a="1"/>
  <c r="H13" i="9" s="1"/>
  <c r="G13" i="9" a="1"/>
  <c r="G13" i="9" s="1"/>
  <c r="F13" i="9" a="1"/>
  <c r="F13" i="9" s="1"/>
  <c r="E13" i="9" a="1"/>
  <c r="E13" i="9" s="1"/>
  <c r="D13" i="9" a="1"/>
  <c r="D13" i="9" s="1"/>
  <c r="C13" i="9" a="1"/>
  <c r="C13" i="9" s="1"/>
  <c r="B13" i="9" a="1"/>
  <c r="B13" i="9" s="1"/>
  <c r="K12" i="9" a="1"/>
  <c r="K12" i="9" s="1"/>
  <c r="J12" i="9" a="1"/>
  <c r="J12" i="9" s="1"/>
  <c r="I12" i="9" a="1"/>
  <c r="I12" i="9" s="1"/>
  <c r="H12" i="9" a="1"/>
  <c r="H12" i="9" s="1"/>
  <c r="G12" i="9" a="1"/>
  <c r="G12" i="9" s="1"/>
  <c r="F12" i="9" a="1"/>
  <c r="F12" i="9" s="1"/>
  <c r="E12" i="9" a="1"/>
  <c r="E12" i="9" s="1"/>
  <c r="D12" i="9" a="1"/>
  <c r="D12" i="9" s="1"/>
  <c r="C12" i="9" a="1"/>
  <c r="C12" i="9" s="1"/>
  <c r="B12" i="9" a="1"/>
  <c r="B12" i="9" s="1"/>
  <c r="J8" i="9"/>
  <c r="C8" i="9"/>
  <c r="B17" i="3"/>
  <c r="P15" i="4"/>
  <c r="P14" i="4"/>
  <c r="P13" i="4"/>
  <c r="P12" i="4"/>
  <c r="P11" i="4"/>
  <c r="P10" i="4"/>
  <c r="P9" i="4"/>
  <c r="P8" i="4"/>
  <c r="P7" i="4"/>
  <c r="O138" i="5"/>
  <c r="H34" i="2"/>
  <c r="H33" i="2"/>
  <c r="H32" i="2"/>
  <c r="H31" i="2"/>
  <c r="H30" i="2"/>
  <c r="G34" i="2"/>
  <c r="G33" i="2"/>
  <c r="K3" i="2" a="1"/>
  <c r="B27" i="2" a="1"/>
  <c r="B16" i="2" a="1"/>
  <c r="F17" i="3"/>
  <c r="V137" i="5"/>
  <c r="U137" i="5"/>
  <c r="R137" i="5"/>
  <c r="P137" i="5"/>
  <c r="O137" i="5"/>
  <c r="V136" i="5"/>
  <c r="U136" i="5"/>
  <c r="R136" i="5"/>
  <c r="P136" i="5"/>
  <c r="O136" i="5"/>
  <c r="V135" i="5"/>
  <c r="U135" i="5"/>
  <c r="R135" i="5"/>
  <c r="P135" i="5"/>
  <c r="O135" i="5"/>
  <c r="V134" i="5"/>
  <c r="U134" i="5"/>
  <c r="R134" i="5"/>
  <c r="P134" i="5"/>
  <c r="O134" i="5"/>
  <c r="V133" i="5"/>
  <c r="U133" i="5"/>
  <c r="R133" i="5"/>
  <c r="P133" i="5"/>
  <c r="O133" i="5"/>
  <c r="V132" i="5"/>
  <c r="U132" i="5"/>
  <c r="R132" i="5"/>
  <c r="P132" i="5"/>
  <c r="O132" i="5"/>
  <c r="V131" i="5"/>
  <c r="U131" i="5"/>
  <c r="R131" i="5"/>
  <c r="P131" i="5"/>
  <c r="O131" i="5"/>
  <c r="V130" i="5"/>
  <c r="U130" i="5"/>
  <c r="R130" i="5"/>
  <c r="P130" i="5"/>
  <c r="O130" i="5"/>
  <c r="V129" i="5"/>
  <c r="U129" i="5"/>
  <c r="R129" i="5"/>
  <c r="P129" i="5"/>
  <c r="O129" i="5"/>
  <c r="V128" i="5"/>
  <c r="U128" i="5"/>
  <c r="R128" i="5"/>
  <c r="P128" i="5"/>
  <c r="O128" i="5"/>
  <c r="V127" i="5"/>
  <c r="U127" i="5"/>
  <c r="R127" i="5"/>
  <c r="P127" i="5"/>
  <c r="O127" i="5"/>
  <c r="V126" i="5"/>
  <c r="U126" i="5"/>
  <c r="R126" i="5"/>
  <c r="P126" i="5"/>
  <c r="O126" i="5"/>
  <c r="V125" i="5"/>
  <c r="U125" i="5"/>
  <c r="R125" i="5"/>
  <c r="P125" i="5"/>
  <c r="O125" i="5"/>
  <c r="V124" i="5"/>
  <c r="U124" i="5"/>
  <c r="R124" i="5"/>
  <c r="P124" i="5"/>
  <c r="O124" i="5"/>
  <c r="V123" i="5"/>
  <c r="U123" i="5"/>
  <c r="R123" i="5"/>
  <c r="P123" i="5"/>
  <c r="O123" i="5"/>
  <c r="V122" i="5"/>
  <c r="U122" i="5"/>
  <c r="R122" i="5"/>
  <c r="P122" i="5"/>
  <c r="O122" i="5"/>
  <c r="V121" i="5"/>
  <c r="U121" i="5"/>
  <c r="R121" i="5"/>
  <c r="P121" i="5"/>
  <c r="O121" i="5"/>
  <c r="V120" i="5"/>
  <c r="U120" i="5"/>
  <c r="R120" i="5"/>
  <c r="P120" i="5"/>
  <c r="O120" i="5"/>
  <c r="V119" i="5"/>
  <c r="U119" i="5"/>
  <c r="R119" i="5"/>
  <c r="P119" i="5"/>
  <c r="O119" i="5"/>
  <c r="V118" i="5"/>
  <c r="U118" i="5"/>
  <c r="R118" i="5"/>
  <c r="P118" i="5"/>
  <c r="O118" i="5"/>
  <c r="V117" i="5"/>
  <c r="U117" i="5"/>
  <c r="R117" i="5"/>
  <c r="P117" i="5"/>
  <c r="O117" i="5"/>
  <c r="V116" i="5"/>
  <c r="U116" i="5"/>
  <c r="R116" i="5"/>
  <c r="P116" i="5"/>
  <c r="O116" i="5"/>
  <c r="V115" i="5"/>
  <c r="U115" i="5"/>
  <c r="R115" i="5"/>
  <c r="P115" i="5"/>
  <c r="O115" i="5"/>
  <c r="V114" i="5"/>
  <c r="U114" i="5"/>
  <c r="R114" i="5"/>
  <c r="P114" i="5"/>
  <c r="O114" i="5"/>
  <c r="V113" i="5"/>
  <c r="U113" i="5"/>
  <c r="R113" i="5"/>
  <c r="P113" i="5"/>
  <c r="O113" i="5"/>
  <c r="V112" i="5"/>
  <c r="U112" i="5"/>
  <c r="R112" i="5"/>
  <c r="P112" i="5"/>
  <c r="O112" i="5"/>
  <c r="V111" i="5"/>
  <c r="U111" i="5"/>
  <c r="R111" i="5"/>
  <c r="P111" i="5"/>
  <c r="O111" i="5"/>
  <c r="V110" i="5"/>
  <c r="U110" i="5"/>
  <c r="R110" i="5"/>
  <c r="P110" i="5"/>
  <c r="O110" i="5"/>
  <c r="V109" i="5"/>
  <c r="U109" i="5"/>
  <c r="R109" i="5"/>
  <c r="P109" i="5"/>
  <c r="O109" i="5"/>
  <c r="V108" i="5"/>
  <c r="U108" i="5"/>
  <c r="R108" i="5"/>
  <c r="P108" i="5"/>
  <c r="O108" i="5"/>
  <c r="V107" i="5"/>
  <c r="U107" i="5"/>
  <c r="R107" i="5"/>
  <c r="P107" i="5"/>
  <c r="O107" i="5"/>
  <c r="V106" i="5"/>
  <c r="U106" i="5"/>
  <c r="R106" i="5"/>
  <c r="P106" i="5"/>
  <c r="O106" i="5"/>
  <c r="V105" i="5"/>
  <c r="U105" i="5"/>
  <c r="R105" i="5"/>
  <c r="P105" i="5"/>
  <c r="O105" i="5"/>
  <c r="V104" i="5"/>
  <c r="U104" i="5"/>
  <c r="R104" i="5"/>
  <c r="P104" i="5"/>
  <c r="O104" i="5"/>
  <c r="V103" i="5"/>
  <c r="U103" i="5"/>
  <c r="R103" i="5"/>
  <c r="P103" i="5"/>
  <c r="O103" i="5"/>
  <c r="V102" i="5"/>
  <c r="U102" i="5"/>
  <c r="R102" i="5"/>
  <c r="P102" i="5"/>
  <c r="O102" i="5"/>
  <c r="V101" i="5"/>
  <c r="U101" i="5"/>
  <c r="R101" i="5"/>
  <c r="P101" i="5"/>
  <c r="O101" i="5"/>
  <c r="V100" i="5"/>
  <c r="U100" i="5"/>
  <c r="R100" i="5"/>
  <c r="P100" i="5"/>
  <c r="O100" i="5"/>
  <c r="V99" i="5"/>
  <c r="U99" i="5"/>
  <c r="R99" i="5"/>
  <c r="P99" i="5"/>
  <c r="O99" i="5"/>
  <c r="V98" i="5"/>
  <c r="U98" i="5"/>
  <c r="R98" i="5"/>
  <c r="P98" i="5"/>
  <c r="O98" i="5"/>
  <c r="V97" i="5"/>
  <c r="U97" i="5"/>
  <c r="R97" i="5"/>
  <c r="P97" i="5"/>
  <c r="O97" i="5"/>
  <c r="V96" i="5"/>
  <c r="U96" i="5"/>
  <c r="R96" i="5"/>
  <c r="P96" i="5"/>
  <c r="O96" i="5"/>
  <c r="V95" i="5"/>
  <c r="U95" i="5"/>
  <c r="R95" i="5"/>
  <c r="P95" i="5"/>
  <c r="O95" i="5"/>
  <c r="V94" i="5"/>
  <c r="U94" i="5"/>
  <c r="R94" i="5"/>
  <c r="P94" i="5"/>
  <c r="O94" i="5"/>
  <c r="V93" i="5"/>
  <c r="U93" i="5"/>
  <c r="R93" i="5"/>
  <c r="P93" i="5"/>
  <c r="O93" i="5"/>
  <c r="V92" i="5"/>
  <c r="U92" i="5"/>
  <c r="R92" i="5"/>
  <c r="P92" i="5"/>
  <c r="O92" i="5"/>
  <c r="V91" i="5"/>
  <c r="U91" i="5"/>
  <c r="R91" i="5"/>
  <c r="P91" i="5"/>
  <c r="O91" i="5"/>
  <c r="V90" i="5"/>
  <c r="U90" i="5"/>
  <c r="R90" i="5"/>
  <c r="P90" i="5"/>
  <c r="O90" i="5"/>
  <c r="V89" i="5"/>
  <c r="U89" i="5"/>
  <c r="R89" i="5"/>
  <c r="P89" i="5"/>
  <c r="O89" i="5"/>
  <c r="V88" i="5"/>
  <c r="U88" i="5"/>
  <c r="R88" i="5"/>
  <c r="P88" i="5"/>
  <c r="O88" i="5"/>
  <c r="V87" i="5"/>
  <c r="U87" i="5"/>
  <c r="R87" i="5"/>
  <c r="P87" i="5"/>
  <c r="O87" i="5"/>
  <c r="V86" i="5"/>
  <c r="U86" i="5"/>
  <c r="R86" i="5"/>
  <c r="P86" i="5"/>
  <c r="O86" i="5"/>
  <c r="V85" i="5"/>
  <c r="U85" i="5"/>
  <c r="R85" i="5"/>
  <c r="P85" i="5"/>
  <c r="O85" i="5"/>
  <c r="V84" i="5"/>
  <c r="U84" i="5"/>
  <c r="R84" i="5"/>
  <c r="P84" i="5"/>
  <c r="O84" i="5"/>
  <c r="V83" i="5"/>
  <c r="U83" i="5"/>
  <c r="R83" i="5"/>
  <c r="P83" i="5"/>
  <c r="O83" i="5"/>
  <c r="V82" i="5"/>
  <c r="U82" i="5"/>
  <c r="R82" i="5"/>
  <c r="P82" i="5"/>
  <c r="O82" i="5"/>
  <c r="V81" i="5"/>
  <c r="U81" i="5"/>
  <c r="R81" i="5"/>
  <c r="P81" i="5"/>
  <c r="O81" i="5"/>
  <c r="V80" i="5"/>
  <c r="U80" i="5"/>
  <c r="R80" i="5"/>
  <c r="P80" i="5"/>
  <c r="O80" i="5"/>
  <c r="V79" i="5"/>
  <c r="U79" i="5"/>
  <c r="R79" i="5"/>
  <c r="P79" i="5"/>
  <c r="O79" i="5"/>
  <c r="V78" i="5"/>
  <c r="U78" i="5"/>
  <c r="R78" i="5"/>
  <c r="P78" i="5"/>
  <c r="O78" i="5"/>
  <c r="V77" i="5"/>
  <c r="U77" i="5"/>
  <c r="R77" i="5"/>
  <c r="P77" i="5"/>
  <c r="O77" i="5"/>
  <c r="V76" i="5"/>
  <c r="U76" i="5"/>
  <c r="R76" i="5"/>
  <c r="P76" i="5"/>
  <c r="O76" i="5"/>
  <c r="V75" i="5"/>
  <c r="U75" i="5"/>
  <c r="R75" i="5"/>
  <c r="P75" i="5"/>
  <c r="O75" i="5"/>
  <c r="V74" i="5"/>
  <c r="U74" i="5"/>
  <c r="R74" i="5"/>
  <c r="P74" i="5"/>
  <c r="O74" i="5"/>
  <c r="V73" i="5"/>
  <c r="U73" i="5"/>
  <c r="R73" i="5"/>
  <c r="P73" i="5"/>
  <c r="O73" i="5"/>
  <c r="V72" i="5"/>
  <c r="U72" i="5"/>
  <c r="R72" i="5"/>
  <c r="P72" i="5"/>
  <c r="O72" i="5"/>
  <c r="V71" i="5"/>
  <c r="U71" i="5"/>
  <c r="R71" i="5"/>
  <c r="P71" i="5"/>
  <c r="O71" i="5"/>
  <c r="V70" i="5"/>
  <c r="U70" i="5"/>
  <c r="R70" i="5"/>
  <c r="P70" i="5"/>
  <c r="O70" i="5"/>
  <c r="V69" i="5"/>
  <c r="U69" i="5"/>
  <c r="R69" i="5"/>
  <c r="P69" i="5"/>
  <c r="O69" i="5"/>
  <c r="V68" i="5"/>
  <c r="U68" i="5"/>
  <c r="R68" i="5"/>
  <c r="P68" i="5"/>
  <c r="O68" i="5"/>
  <c r="V67" i="5"/>
  <c r="U67" i="5"/>
  <c r="R67" i="5"/>
  <c r="P67" i="5"/>
  <c r="O67" i="5"/>
  <c r="V66" i="5"/>
  <c r="U66" i="5"/>
  <c r="R66" i="5"/>
  <c r="P66" i="5"/>
  <c r="O66" i="5"/>
  <c r="V65" i="5"/>
  <c r="U65" i="5"/>
  <c r="R65" i="5"/>
  <c r="P65" i="5"/>
  <c r="O65" i="5"/>
  <c r="V64" i="5"/>
  <c r="U64" i="5"/>
  <c r="R64" i="5"/>
  <c r="P64" i="5"/>
  <c r="O64" i="5"/>
  <c r="V63" i="5"/>
  <c r="U63" i="5"/>
  <c r="R63" i="5"/>
  <c r="P63" i="5"/>
  <c r="O63" i="5"/>
  <c r="V62" i="5"/>
  <c r="U62" i="5"/>
  <c r="R62" i="5"/>
  <c r="P62" i="5"/>
  <c r="O62" i="5"/>
  <c r="V61" i="5"/>
  <c r="U61" i="5"/>
  <c r="R61" i="5"/>
  <c r="P61" i="5"/>
  <c r="O61" i="5"/>
  <c r="V60" i="5"/>
  <c r="U60" i="5"/>
  <c r="R60" i="5"/>
  <c r="P60" i="5"/>
  <c r="O60" i="5"/>
  <c r="V59" i="5"/>
  <c r="U59" i="5"/>
  <c r="R59" i="5"/>
  <c r="P59" i="5"/>
  <c r="O59" i="5"/>
  <c r="V58" i="5"/>
  <c r="U58" i="5"/>
  <c r="R58" i="5"/>
  <c r="P58" i="5"/>
  <c r="O58" i="5"/>
  <c r="V57" i="5"/>
  <c r="U57" i="5"/>
  <c r="R57" i="5"/>
  <c r="P57" i="5"/>
  <c r="O57" i="5"/>
  <c r="V56" i="5"/>
  <c r="U56" i="5"/>
  <c r="R56" i="5"/>
  <c r="P56" i="5"/>
  <c r="O56" i="5"/>
  <c r="V55" i="5"/>
  <c r="U55" i="5"/>
  <c r="R55" i="5"/>
  <c r="P55" i="5"/>
  <c r="O55" i="5"/>
  <c r="V54" i="5"/>
  <c r="U54" i="5"/>
  <c r="R54" i="5"/>
  <c r="P54" i="5"/>
  <c r="O54" i="5"/>
  <c r="V53" i="5"/>
  <c r="U53" i="5"/>
  <c r="R53" i="5"/>
  <c r="P53" i="5"/>
  <c r="O53" i="5"/>
  <c r="V52" i="5"/>
  <c r="U52" i="5"/>
  <c r="R52" i="5"/>
  <c r="P52" i="5"/>
  <c r="O52" i="5"/>
  <c r="V51" i="5"/>
  <c r="U51" i="5"/>
  <c r="R51" i="5"/>
  <c r="P51" i="5"/>
  <c r="O51" i="5"/>
  <c r="V50" i="5"/>
  <c r="U50" i="5"/>
  <c r="R50" i="5"/>
  <c r="P50" i="5"/>
  <c r="O50" i="5"/>
  <c r="V49" i="5"/>
  <c r="U49" i="5"/>
  <c r="R49" i="5"/>
  <c r="P49" i="5"/>
  <c r="O49" i="5"/>
  <c r="V48" i="5"/>
  <c r="U48" i="5"/>
  <c r="R48" i="5"/>
  <c r="P48" i="5"/>
  <c r="O48" i="5"/>
  <c r="V47" i="5"/>
  <c r="U47" i="5"/>
  <c r="R47" i="5"/>
  <c r="P47" i="5"/>
  <c r="O47" i="5"/>
  <c r="V46" i="5"/>
  <c r="U46" i="5"/>
  <c r="R46" i="5"/>
  <c r="P46" i="5"/>
  <c r="O46" i="5"/>
  <c r="V45" i="5"/>
  <c r="U45" i="5"/>
  <c r="R45" i="5"/>
  <c r="P45" i="5"/>
  <c r="O45" i="5"/>
  <c r="V44" i="5"/>
  <c r="U44" i="5"/>
  <c r="R44" i="5"/>
  <c r="P44" i="5"/>
  <c r="O44" i="5"/>
  <c r="V43" i="5"/>
  <c r="U43" i="5"/>
  <c r="R43" i="5"/>
  <c r="P43" i="5"/>
  <c r="O43" i="5"/>
  <c r="V42" i="5"/>
  <c r="U42" i="5"/>
  <c r="R42" i="5"/>
  <c r="P42" i="5"/>
  <c r="O42" i="5"/>
  <c r="V41" i="5"/>
  <c r="U41" i="5"/>
  <c r="R41" i="5"/>
  <c r="P41" i="5"/>
  <c r="O41" i="5"/>
  <c r="V40" i="5"/>
  <c r="U40" i="5"/>
  <c r="R40" i="5"/>
  <c r="P40" i="5"/>
  <c r="O40" i="5"/>
  <c r="V39" i="5"/>
  <c r="U39" i="5"/>
  <c r="R39" i="5"/>
  <c r="P39" i="5"/>
  <c r="O39" i="5"/>
  <c r="V38" i="5"/>
  <c r="U38" i="5"/>
  <c r="R38" i="5"/>
  <c r="P38" i="5"/>
  <c r="O38" i="5"/>
  <c r="V37" i="5"/>
  <c r="U37" i="5"/>
  <c r="R37" i="5"/>
  <c r="P37" i="5"/>
  <c r="O37" i="5"/>
  <c r="V36" i="5"/>
  <c r="U36" i="5"/>
  <c r="R36" i="5"/>
  <c r="P36" i="5"/>
  <c r="O36" i="5"/>
  <c r="Q36" i="5" s="1"/>
  <c r="V35" i="5"/>
  <c r="U35" i="5"/>
  <c r="R35" i="5"/>
  <c r="P35" i="5"/>
  <c r="O35" i="5"/>
  <c r="V34" i="5"/>
  <c r="U34" i="5"/>
  <c r="R34" i="5"/>
  <c r="P34" i="5"/>
  <c r="O34" i="5"/>
  <c r="V33" i="5"/>
  <c r="U33" i="5"/>
  <c r="R33" i="5"/>
  <c r="P33" i="5"/>
  <c r="O33" i="5"/>
  <c r="V32" i="5"/>
  <c r="U32" i="5"/>
  <c r="R32" i="5"/>
  <c r="P32" i="5"/>
  <c r="O32" i="5"/>
  <c r="V31" i="5"/>
  <c r="U31" i="5"/>
  <c r="R31" i="5"/>
  <c r="P31" i="5"/>
  <c r="O31" i="5"/>
  <c r="V30" i="5"/>
  <c r="U30" i="5"/>
  <c r="R30" i="5"/>
  <c r="P30" i="5"/>
  <c r="O30" i="5"/>
  <c r="V29" i="5"/>
  <c r="U29" i="5"/>
  <c r="R29" i="5"/>
  <c r="P29" i="5"/>
  <c r="O29" i="5"/>
  <c r="V28" i="5"/>
  <c r="U28" i="5"/>
  <c r="R28" i="5"/>
  <c r="P28" i="5"/>
  <c r="O28" i="5"/>
  <c r="V27" i="5"/>
  <c r="U27" i="5"/>
  <c r="R27" i="5"/>
  <c r="P27" i="5"/>
  <c r="O27" i="5"/>
  <c r="V26" i="5"/>
  <c r="U26" i="5"/>
  <c r="R26" i="5"/>
  <c r="P26" i="5"/>
  <c r="O26" i="5"/>
  <c r="V25" i="5"/>
  <c r="U25" i="5"/>
  <c r="R25" i="5"/>
  <c r="P25" i="5"/>
  <c r="O25" i="5"/>
  <c r="V24" i="5"/>
  <c r="U24" i="5"/>
  <c r="R24" i="5"/>
  <c r="P24" i="5"/>
  <c r="O24" i="5"/>
  <c r="V23" i="5"/>
  <c r="U23" i="5"/>
  <c r="R23" i="5"/>
  <c r="P23" i="5"/>
  <c r="O23" i="5"/>
  <c r="V22" i="5"/>
  <c r="U22" i="5"/>
  <c r="R22" i="5"/>
  <c r="P22" i="5"/>
  <c r="O22" i="5"/>
  <c r="V21" i="5"/>
  <c r="U21" i="5"/>
  <c r="R21" i="5"/>
  <c r="P21" i="5"/>
  <c r="O21" i="5"/>
  <c r="V20" i="5"/>
  <c r="U20" i="5"/>
  <c r="R20" i="5"/>
  <c r="P20" i="5"/>
  <c r="O20" i="5"/>
  <c r="V19" i="5"/>
  <c r="U19" i="5"/>
  <c r="R19" i="5"/>
  <c r="P19" i="5"/>
  <c r="O19" i="5"/>
  <c r="V18" i="5"/>
  <c r="U18" i="5"/>
  <c r="R18" i="5"/>
  <c r="P18" i="5"/>
  <c r="O18" i="5"/>
  <c r="V17" i="5"/>
  <c r="U17" i="5"/>
  <c r="R17" i="5"/>
  <c r="P17" i="5"/>
  <c r="O17" i="5"/>
  <c r="V16" i="5"/>
  <c r="U16" i="5"/>
  <c r="R16" i="5"/>
  <c r="P16" i="5"/>
  <c r="O16" i="5"/>
  <c r="V15" i="5"/>
  <c r="U15" i="5"/>
  <c r="R15" i="5"/>
  <c r="P15" i="5"/>
  <c r="O15" i="5"/>
  <c r="V14" i="5"/>
  <c r="U14" i="5"/>
  <c r="R14" i="5"/>
  <c r="P14" i="5"/>
  <c r="O14" i="5"/>
  <c r="V13" i="5"/>
  <c r="U13" i="5"/>
  <c r="R13" i="5"/>
  <c r="P13" i="5"/>
  <c r="O13" i="5"/>
  <c r="V12" i="5"/>
  <c r="U12" i="5"/>
  <c r="R12" i="5"/>
  <c r="P12" i="5"/>
  <c r="O12" i="5"/>
  <c r="V11" i="5"/>
  <c r="U11" i="5"/>
  <c r="R11" i="5"/>
  <c r="P11" i="5"/>
  <c r="O11" i="5"/>
  <c r="V10" i="5"/>
  <c r="U10" i="5"/>
  <c r="R10" i="5"/>
  <c r="P10" i="5"/>
  <c r="O10" i="5"/>
  <c r="Q10" i="5" s="1"/>
  <c r="V9" i="5"/>
  <c r="U9" i="5"/>
  <c r="R9" i="5"/>
  <c r="P9" i="5"/>
  <c r="O9" i="5"/>
  <c r="V8" i="5"/>
  <c r="U8" i="5"/>
  <c r="R8" i="5"/>
  <c r="P8" i="5"/>
  <c r="O8" i="5"/>
  <c r="V7" i="5"/>
  <c r="B37" i="2" s="1" a="1"/>
  <c r="U7" i="5"/>
  <c r="R7" i="5"/>
  <c r="P7" i="5"/>
  <c r="O7" i="5"/>
  <c r="O15" i="4"/>
  <c r="M15" i="4"/>
  <c r="K15" i="4"/>
  <c r="E15" i="4"/>
  <c r="O14" i="4"/>
  <c r="M14" i="4"/>
  <c r="K14" i="4"/>
  <c r="E14" i="4"/>
  <c r="O13" i="4"/>
  <c r="M13" i="4"/>
  <c r="K13" i="4"/>
  <c r="I13" i="4"/>
  <c r="E13" i="4"/>
  <c r="O12" i="4"/>
  <c r="M12" i="4"/>
  <c r="K12" i="4"/>
  <c r="I12" i="4"/>
  <c r="E12" i="4"/>
  <c r="F12" i="4" s="1"/>
  <c r="O11" i="4"/>
  <c r="M11" i="4"/>
  <c r="K11" i="4"/>
  <c r="I11" i="4"/>
  <c r="E11" i="4"/>
  <c r="F11" i="4" s="1"/>
  <c r="F11" i="3" s="1"/>
  <c r="O10" i="4"/>
  <c r="M10" i="4"/>
  <c r="K10" i="4"/>
  <c r="I10" i="4"/>
  <c r="E10" i="4"/>
  <c r="F10" i="4" s="1"/>
  <c r="O9" i="4"/>
  <c r="M9" i="4"/>
  <c r="K9" i="4"/>
  <c r="I9" i="4"/>
  <c r="E9" i="4"/>
  <c r="F9" i="4" s="1"/>
  <c r="O8" i="4"/>
  <c r="M8" i="4"/>
  <c r="K8" i="4"/>
  <c r="I8" i="4"/>
  <c r="E8" i="4"/>
  <c r="F8" i="4" s="1"/>
  <c r="O7" i="4"/>
  <c r="M7" i="4"/>
  <c r="K7" i="4"/>
  <c r="I7" i="4"/>
  <c r="E7" i="4"/>
  <c r="F7" i="4" s="1"/>
  <c r="H20" i="3"/>
  <c r="H17" i="3"/>
  <c r="D17" i="3"/>
  <c r="B14" i="3"/>
  <c r="B11" i="3"/>
  <c r="B10" i="3"/>
  <c r="F3" i="3"/>
  <c r="H11" i="2"/>
  <c r="F11" i="2"/>
  <c r="D11" i="2"/>
  <c r="B11" i="2"/>
  <c r="D7" i="2"/>
  <c r="H25" i="1"/>
  <c r="F25" i="1"/>
  <c r="D25" i="1"/>
  <c r="H8" i="4" l="1"/>
  <c r="G8" i="4"/>
  <c r="H9" i="4"/>
  <c r="G9" i="4"/>
  <c r="H10" i="4"/>
  <c r="G10" i="4"/>
  <c r="H11" i="4"/>
  <c r="G11" i="4"/>
  <c r="F20" i="3" s="1"/>
  <c r="H12" i="4"/>
  <c r="G12" i="4"/>
  <c r="H13" i="4"/>
  <c r="G13" i="4"/>
  <c r="I14" i="4"/>
  <c r="H14" i="4"/>
  <c r="G14" i="4"/>
  <c r="I15" i="4"/>
  <c r="H15" i="4"/>
  <c r="G15" i="4"/>
  <c r="H7" i="4"/>
  <c r="G7" i="4"/>
  <c r="I16" i="4"/>
  <c r="F8" i="9"/>
  <c r="B6" i="9"/>
  <c r="G32" i="2"/>
  <c r="G31" i="2"/>
  <c r="G35" i="2" s="1"/>
  <c r="G30" i="2"/>
  <c r="K3" i="2"/>
  <c r="B27" i="2"/>
  <c r="C27" i="2" a="1"/>
  <c r="C27" i="2" s="1"/>
  <c r="B16" i="2"/>
  <c r="C16" i="2" a="1"/>
  <c r="C16" i="2" s="1"/>
  <c r="C37" i="2" a="1"/>
  <c r="C37" i="2" s="1"/>
  <c r="B37" i="2"/>
  <c r="B22" i="3"/>
  <c r="F10" i="3"/>
  <c r="H35" i="2"/>
  <c r="Q137" i="5"/>
  <c r="Q136" i="5"/>
  <c r="Q135" i="5"/>
  <c r="Q134" i="5"/>
  <c r="Q133" i="5"/>
  <c r="Q132" i="5"/>
  <c r="Q131" i="5"/>
  <c r="Q130" i="5"/>
  <c r="Q129" i="5"/>
  <c r="Q128" i="5"/>
  <c r="Q127" i="5"/>
  <c r="Q126" i="5"/>
  <c r="Q125" i="5"/>
  <c r="T124" i="5"/>
  <c r="Q124" i="5"/>
  <c r="S124" i="5" s="1"/>
  <c r="Q123" i="5"/>
  <c r="S123" i="5" s="1"/>
  <c r="T123" i="5"/>
  <c r="T122" i="5"/>
  <c r="Q122" i="5"/>
  <c r="S122" i="5" s="1"/>
  <c r="T121" i="5"/>
  <c r="Q121" i="5"/>
  <c r="S121" i="5" s="1"/>
  <c r="Q120" i="5"/>
  <c r="S120" i="5" s="1"/>
  <c r="T120" i="5"/>
  <c r="Q119" i="5"/>
  <c r="S119" i="5" s="1"/>
  <c r="T119" i="5"/>
  <c r="T118" i="5"/>
  <c r="Q118" i="5"/>
  <c r="S118" i="5" s="1"/>
  <c r="Q117" i="5"/>
  <c r="S117" i="5" s="1"/>
  <c r="T117" i="5"/>
  <c r="Q116" i="5"/>
  <c r="S116" i="5" s="1"/>
  <c r="T116" i="5"/>
  <c r="T115" i="5"/>
  <c r="Q115" i="5"/>
  <c r="S115" i="5" s="1"/>
  <c r="T114" i="5"/>
  <c r="Q114" i="5"/>
  <c r="S114" i="5" s="1"/>
  <c r="Q113" i="5"/>
  <c r="S113" i="5" s="1"/>
  <c r="T113" i="5"/>
  <c r="Q112" i="5"/>
  <c r="Q111" i="5"/>
  <c r="Q110" i="5"/>
  <c r="Q109" i="5"/>
  <c r="Q108" i="5"/>
  <c r="Q107" i="5"/>
  <c r="Q106" i="5"/>
  <c r="Q105" i="5"/>
  <c r="Q104" i="5"/>
  <c r="Q103" i="5"/>
  <c r="Q102" i="5"/>
  <c r="Q101" i="5"/>
  <c r="Q100" i="5"/>
  <c r="Q99" i="5"/>
  <c r="S99" i="5" s="1"/>
  <c r="T99" i="5"/>
  <c r="Q98" i="5"/>
  <c r="Q97" i="5"/>
  <c r="Q96" i="5"/>
  <c r="Q95" i="5"/>
  <c r="Q94" i="5"/>
  <c r="Q93" i="5"/>
  <c r="Q92" i="5"/>
  <c r="S92" i="5" s="1"/>
  <c r="T92" i="5"/>
  <c r="Q91" i="5"/>
  <c r="Q90" i="5"/>
  <c r="Q89" i="5"/>
  <c r="Q88" i="5"/>
  <c r="S88" i="5" s="1"/>
  <c r="T88" i="5"/>
  <c r="Q87" i="5"/>
  <c r="Q86" i="5"/>
  <c r="Q85" i="5"/>
  <c r="Q84" i="5"/>
  <c r="Q83" i="5"/>
  <c r="S83" i="5" s="1"/>
  <c r="T83" i="5"/>
  <c r="Q82" i="5"/>
  <c r="S82" i="5" s="1"/>
  <c r="T82" i="5"/>
  <c r="T81" i="5"/>
  <c r="Q81" i="5"/>
  <c r="S81" i="5" s="1"/>
  <c r="Q80" i="5"/>
  <c r="S80" i="5" s="1"/>
  <c r="T80" i="5"/>
  <c r="T79" i="5"/>
  <c r="Q79" i="5"/>
  <c r="S79" i="5" s="1"/>
  <c r="T78" i="5"/>
  <c r="Q78" i="5"/>
  <c r="S78" i="5" s="1"/>
  <c r="Q77" i="5"/>
  <c r="S77" i="5" s="1"/>
  <c r="T77" i="5"/>
  <c r="T76" i="5"/>
  <c r="Q76" i="5"/>
  <c r="S76" i="5" s="1"/>
  <c r="Q75" i="5"/>
  <c r="S75" i="5" s="1"/>
  <c r="T75" i="5"/>
  <c r="Q74" i="5"/>
  <c r="S74" i="5" s="1"/>
  <c r="T74" i="5"/>
  <c r="Q73" i="5"/>
  <c r="Q72" i="5"/>
  <c r="Q71" i="5"/>
  <c r="S71" i="5" s="1"/>
  <c r="T71" i="5"/>
  <c r="Q70" i="5"/>
  <c r="Q69" i="5"/>
  <c r="Q68" i="5"/>
  <c r="Q67" i="5"/>
  <c r="Q66" i="5"/>
  <c r="Q65" i="5"/>
  <c r="Q64" i="5"/>
  <c r="Q63" i="5"/>
  <c r="Q62" i="5"/>
  <c r="S62" i="5" s="1"/>
  <c r="T62" i="5"/>
  <c r="Q61" i="5"/>
  <c r="Q60" i="5"/>
  <c r="Q59" i="5"/>
  <c r="Q58" i="5"/>
  <c r="Q57" i="5"/>
  <c r="Q56" i="5"/>
  <c r="Q55" i="5"/>
  <c r="Q54" i="5"/>
  <c r="Q53" i="5"/>
  <c r="Q52" i="5"/>
  <c r="Q51" i="5"/>
  <c r="Q50" i="5"/>
  <c r="Q49" i="5"/>
  <c r="Q48" i="5"/>
  <c r="Q47" i="5"/>
  <c r="Q46" i="5"/>
  <c r="Q45" i="5"/>
  <c r="Q44" i="5"/>
  <c r="Q43" i="5"/>
  <c r="Q42" i="5"/>
  <c r="Q41" i="5"/>
  <c r="Q40" i="5"/>
  <c r="Q39" i="5"/>
  <c r="Q38" i="5"/>
  <c r="Q37" i="5"/>
  <c r="S36" i="5"/>
  <c r="T36" i="5"/>
  <c r="Q35" i="5"/>
  <c r="Q34" i="5"/>
  <c r="Q33" i="5"/>
  <c r="Q32" i="5"/>
  <c r="Q31" i="5"/>
  <c r="S31" i="5" s="1"/>
  <c r="T31" i="5"/>
  <c r="Q30" i="5"/>
  <c r="Q29" i="5"/>
  <c r="Q28" i="5"/>
  <c r="Q27" i="5"/>
  <c r="Q26" i="5"/>
  <c r="Q25" i="5"/>
  <c r="Q24" i="5"/>
  <c r="Q23" i="5"/>
  <c r="S23" i="5" s="1"/>
  <c r="T23" i="5"/>
  <c r="Q22" i="5"/>
  <c r="Q21" i="5"/>
  <c r="Q20" i="5"/>
  <c r="Q19" i="5"/>
  <c r="Q18" i="5"/>
  <c r="Q17" i="5"/>
  <c r="Q16" i="5"/>
  <c r="Q15" i="5"/>
  <c r="Q14" i="5"/>
  <c r="Q13" i="5"/>
  <c r="Q12" i="5"/>
  <c r="Q11" i="5"/>
  <c r="S10" i="5"/>
  <c r="T10" i="5"/>
  <c r="Q9" i="5"/>
  <c r="Q8" i="5"/>
  <c r="Q7" i="5"/>
  <c r="T7" i="5"/>
  <c r="S130" i="5" l="1"/>
  <c r="T130" i="5"/>
  <c r="S110" i="5"/>
  <c r="T110" i="5"/>
  <c r="S109" i="5"/>
  <c r="T109" i="5"/>
  <c r="S89" i="5"/>
  <c r="T89" i="5"/>
  <c r="S40" i="5"/>
  <c r="T40" i="5"/>
  <c r="S20" i="5"/>
  <c r="T20" i="5"/>
  <c r="Q138" i="5"/>
  <c r="S131" i="5"/>
  <c r="T131" i="5"/>
  <c r="S126" i="5"/>
  <c r="T126" i="5"/>
  <c r="S46" i="5"/>
  <c r="T46" i="5"/>
  <c r="S37" i="5"/>
  <c r="T37" i="5"/>
  <c r="S112" i="5"/>
  <c r="T112" i="5"/>
  <c r="S103" i="5"/>
  <c r="T103" i="5"/>
  <c r="S91" i="5"/>
  <c r="T91" i="5"/>
  <c r="S90" i="5"/>
  <c r="T90" i="5"/>
  <c r="S87" i="5"/>
  <c r="T87" i="5"/>
  <c r="S86" i="5"/>
  <c r="T86" i="5"/>
  <c r="S54" i="5"/>
  <c r="T54" i="5"/>
  <c r="S53" i="5"/>
  <c r="T53" i="5"/>
  <c r="S41" i="5"/>
  <c r="T41" i="5"/>
  <c r="S35" i="5"/>
  <c r="T35" i="5"/>
  <c r="S33" i="5"/>
  <c r="T33" i="5"/>
  <c r="S32" i="5"/>
  <c r="T32" i="5"/>
  <c r="S30" i="5"/>
  <c r="T30" i="5"/>
  <c r="S127" i="5"/>
  <c r="T127" i="5"/>
  <c r="S64" i="5"/>
  <c r="T64" i="5"/>
  <c r="S57" i="5"/>
  <c r="T57" i="5"/>
  <c r="S55" i="5"/>
  <c r="T55" i="5"/>
  <c r="S52" i="5"/>
  <c r="T52" i="5"/>
  <c r="S48" i="5"/>
  <c r="T48" i="5"/>
  <c r="S47" i="5"/>
  <c r="T47" i="5"/>
  <c r="S39" i="5"/>
  <c r="T39" i="5"/>
  <c r="S27" i="5"/>
  <c r="T27" i="5"/>
  <c r="J15" i="4"/>
  <c r="J13" i="4"/>
  <c r="S7" i="5"/>
  <c r="S137" i="5"/>
  <c r="T137" i="5"/>
  <c r="S136" i="5"/>
  <c r="T136" i="5"/>
  <c r="S135" i="5"/>
  <c r="T135" i="5"/>
  <c r="S134" i="5"/>
  <c r="T134" i="5"/>
  <c r="S133" i="5"/>
  <c r="T133" i="5"/>
  <c r="S132" i="5"/>
  <c r="T132" i="5"/>
  <c r="S129" i="5"/>
  <c r="T129" i="5"/>
  <c r="S128" i="5"/>
  <c r="T128" i="5"/>
  <c r="S125" i="5"/>
  <c r="L3" i="2" s="1" a="1"/>
  <c r="T125" i="5"/>
  <c r="S111" i="5"/>
  <c r="T111" i="5"/>
  <c r="S108" i="5"/>
  <c r="T108" i="5"/>
  <c r="S107" i="5"/>
  <c r="T107" i="5"/>
  <c r="S106" i="5"/>
  <c r="T106" i="5"/>
  <c r="S105" i="5"/>
  <c r="T105" i="5"/>
  <c r="S104" i="5"/>
  <c r="T104" i="5"/>
  <c r="S102" i="5"/>
  <c r="T102" i="5"/>
  <c r="S101" i="5"/>
  <c r="T101" i="5"/>
  <c r="S100" i="5"/>
  <c r="T100" i="5"/>
  <c r="S98" i="5"/>
  <c r="T98" i="5"/>
  <c r="S97" i="5"/>
  <c r="T97" i="5"/>
  <c r="S96" i="5"/>
  <c r="T96" i="5"/>
  <c r="S95" i="5"/>
  <c r="T95" i="5"/>
  <c r="S94" i="5"/>
  <c r="T94" i="5"/>
  <c r="S93" i="5"/>
  <c r="T93" i="5"/>
  <c r="S85" i="5"/>
  <c r="T85" i="5"/>
  <c r="S84" i="5"/>
  <c r="T84" i="5"/>
  <c r="S73" i="5"/>
  <c r="T73" i="5"/>
  <c r="S72" i="5"/>
  <c r="T72" i="5"/>
  <c r="S70" i="5"/>
  <c r="T70" i="5"/>
  <c r="S69" i="5"/>
  <c r="T69" i="5"/>
  <c r="S68" i="5"/>
  <c r="T68" i="5"/>
  <c r="S67" i="5"/>
  <c r="T67" i="5"/>
  <c r="S66" i="5"/>
  <c r="T66" i="5"/>
  <c r="S65" i="5"/>
  <c r="T65" i="5"/>
  <c r="S63" i="5"/>
  <c r="T63" i="5"/>
  <c r="S61" i="5"/>
  <c r="T61" i="5"/>
  <c r="S60" i="5"/>
  <c r="T60" i="5"/>
  <c r="S59" i="5"/>
  <c r="T59" i="5"/>
  <c r="S58" i="5"/>
  <c r="T58" i="5"/>
  <c r="S56" i="5"/>
  <c r="T56" i="5"/>
  <c r="S51" i="5"/>
  <c r="T51" i="5"/>
  <c r="S50" i="5"/>
  <c r="T50" i="5"/>
  <c r="S49" i="5"/>
  <c r="T49" i="5"/>
  <c r="S45" i="5"/>
  <c r="T45" i="5"/>
  <c r="S44" i="5"/>
  <c r="T44" i="5"/>
  <c r="S43" i="5"/>
  <c r="T43" i="5"/>
  <c r="S42" i="5"/>
  <c r="T42" i="5"/>
  <c r="S38" i="5"/>
  <c r="T38" i="5"/>
  <c r="S34" i="5"/>
  <c r="T34" i="5"/>
  <c r="S29" i="5"/>
  <c r="T29" i="5"/>
  <c r="S28" i="5"/>
  <c r="T28" i="5"/>
  <c r="S26" i="5"/>
  <c r="T26" i="5"/>
  <c r="S25" i="5"/>
  <c r="T25" i="5"/>
  <c r="S24" i="5"/>
  <c r="T24" i="5"/>
  <c r="S22" i="5"/>
  <c r="T22" i="5"/>
  <c r="S21" i="5"/>
  <c r="T21" i="5"/>
  <c r="S19" i="5"/>
  <c r="T19" i="5"/>
  <c r="S18" i="5"/>
  <c r="T18" i="5"/>
  <c r="S17" i="5"/>
  <c r="T17" i="5"/>
  <c r="S16" i="5"/>
  <c r="T16" i="5"/>
  <c r="S15" i="5"/>
  <c r="T15" i="5"/>
  <c r="S14" i="5"/>
  <c r="T14" i="5"/>
  <c r="S13" i="5"/>
  <c r="T13" i="5"/>
  <c r="S12" i="5"/>
  <c r="T12" i="5"/>
  <c r="S11" i="5"/>
  <c r="T11" i="5"/>
  <c r="S9" i="5"/>
  <c r="T9" i="5"/>
  <c r="S8" i="5"/>
  <c r="T8" i="5"/>
  <c r="S138" i="5" l="1"/>
  <c r="D37" i="2" a="1"/>
  <c r="D37" i="2" s="1"/>
  <c r="E37" i="2" a="1"/>
  <c r="E37" i="2" s="1"/>
  <c r="L3" i="2"/>
  <c r="O3" i="2" a="1"/>
  <c r="O3" i="2" s="1"/>
  <c r="N3" i="2" a="1"/>
  <c r="D27" i="2" a="1"/>
  <c r="D27" i="2" s="1"/>
  <c r="E27" i="2" a="1"/>
  <c r="E27" i="2" s="1"/>
  <c r="E16" i="2" a="1"/>
  <c r="E16" i="2" s="1"/>
  <c r="D16" i="2" a="1"/>
  <c r="D16" i="2" s="1"/>
  <c r="J12" i="4"/>
  <c r="B25" i="1"/>
  <c r="B7" i="2"/>
  <c r="H7" i="2"/>
  <c r="J8" i="4"/>
  <c r="J7" i="4"/>
  <c r="J14" i="4"/>
  <c r="J11" i="4"/>
  <c r="J10" i="4"/>
  <c r="J9" i="4"/>
  <c r="F7" i="2"/>
  <c r="J16" i="4" l="1"/>
  <c r="N3" i="2"/>
  <c r="F16" i="2" s="1"/>
  <c r="F17" i="2"/>
  <c r="F18" i="2"/>
  <c r="F19" i="2"/>
  <c r="F20" i="2"/>
  <c r="F21" i="2"/>
  <c r="F22" i="2"/>
  <c r="F23" i="2"/>
  <c r="F24" i="2"/>
  <c r="F25" i="2"/>
  <c r="G16" i="2" l="1"/>
  <c r="H16" i="2"/>
  <c r="I16" i="2"/>
  <c r="G17" i="2"/>
  <c r="I17" i="2"/>
  <c r="H17" i="2"/>
  <c r="I18" i="2"/>
  <c r="H18" i="2"/>
  <c r="G18" i="2"/>
  <c r="G19" i="2"/>
  <c r="I19" i="2"/>
  <c r="H19" i="2"/>
  <c r="H20" i="2"/>
  <c r="I20" i="2"/>
  <c r="G20" i="2"/>
  <c r="I21" i="2"/>
  <c r="G21" i="2"/>
  <c r="H21" i="2"/>
  <c r="H22" i="2"/>
  <c r="G22" i="2"/>
  <c r="I22" i="2"/>
  <c r="I23" i="2"/>
  <c r="G23" i="2"/>
  <c r="H23" i="2"/>
  <c r="H24" i="2"/>
  <c r="G24" i="2"/>
  <c r="I24" i="2"/>
  <c r="G25" i="2"/>
  <c r="H25" i="2"/>
  <c r="I25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<sst xmlns="http://schemas.openxmlformats.org/spreadsheetml/2006/main" count="1583" uniqueCount="550">
  <si>
    <t>DEMURRAGE MANAGEMENT</t>
  </si>
  <si>
    <t>MOCOH SA  •  TRUCKING DEMURRAGE  •  2026</t>
  </si>
  <si>
    <t>WORKFLOW</t>
  </si>
  <si>
    <t>1</t>
  </si>
  <si>
    <t>CAPTURE  —  Add trips to the Trips Ledger as they happen.</t>
  </si>
  <si>
    <t>2</t>
  </si>
  <si>
    <t>CLAIM  —  Open the Claims register, add a row, assign trips.</t>
  </si>
  <si>
    <t>3</t>
  </si>
  <si>
    <t>INVOICE  —  Pick the claim on the Invoice tab — print or PDF.</t>
  </si>
  <si>
    <t>4</t>
  </si>
  <si>
    <t>TRACK  —  Update status / paid date — Dashboard reflects it.</t>
  </si>
  <si>
    <t>PORTFOLIO AT A GLANCE</t>
  </si>
  <si>
    <t>TOTAL DEMURRAGE</t>
  </si>
  <si>
    <t>INVOICED</t>
  </si>
  <si>
    <t>PAID</t>
  </si>
  <si>
    <t>OUTSTANDING</t>
  </si>
  <si>
    <t>CONFIDENTIAL  •  MOCOH SA  •  Internal use only</t>
  </si>
  <si>
    <t>Live KPIs across trips, claims and invoices.</t>
  </si>
  <si>
    <t>TRIPS</t>
  </si>
  <si>
    <t>IN DEMURRAGE</t>
  </si>
  <si>
    <t>AVG / TRIP</t>
  </si>
  <si>
    <t>OVERDUE</t>
  </si>
  <si>
    <t>BY CONSIGNEE</t>
  </si>
  <si>
    <t>TOP DEALS BY DEMURRAGE</t>
  </si>
  <si>
    <t>Consignee</t>
  </si>
  <si>
    <t>Trips</t>
  </si>
  <si>
    <t>Total Demurrage</t>
  </si>
  <si>
    <t>Avg / Trip</t>
  </si>
  <si>
    <t>Deal No.</t>
  </si>
  <si>
    <t>ARV Energy</t>
  </si>
  <si>
    <t>La Grace De Dieu Avec Nous Sarl</t>
  </si>
  <si>
    <t>Lake Petroleum Zambia</t>
  </si>
  <si>
    <t>Monaluxe</t>
  </si>
  <si>
    <t>Reliance Energy Zambia</t>
  </si>
  <si>
    <t>Rubis Energy Zambia</t>
  </si>
  <si>
    <t>TOTAL</t>
  </si>
  <si>
    <t>BY TRANSPORTER</t>
  </si>
  <si>
    <t>Transporter</t>
  </si>
  <si>
    <t>OASIS</t>
  </si>
  <si>
    <t>PETRODA</t>
  </si>
  <si>
    <t>CLAIMS AGING</t>
  </si>
  <si>
    <t>TRANSIR</t>
  </si>
  <si>
    <t>Bucket</t>
  </si>
  <si>
    <t>Claims</t>
  </si>
  <si>
    <t>Amount</t>
  </si>
  <si>
    <t>TRUCKEAZE</t>
  </si>
  <si>
    <t>WHC</t>
  </si>
  <si>
    <t>BY MONTH (LOADING)</t>
  </si>
  <si>
    <t>Month</t>
  </si>
  <si>
    <t>FROM:</t>
  </si>
  <si>
    <t>TO:</t>
  </si>
  <si>
    <t>INVOICE No.</t>
  </si>
  <si>
    <t>DATE</t>
  </si>
  <si>
    <t>DEAL REF</t>
  </si>
  <si>
    <t>PRODUCT</t>
  </si>
  <si>
    <t>PERIOD</t>
  </si>
  <si>
    <t>LAYTIME</t>
  </si>
  <si>
    <t>RATE</t>
  </si>
  <si>
    <t>#</t>
  </si>
  <si>
    <t>Date Loaded</t>
  </si>
  <si>
    <t>Truck No.</t>
  </si>
  <si>
    <t>Arrival</t>
  </si>
  <si>
    <t>Offloaded</t>
  </si>
  <si>
    <t>Amount (USD)</t>
  </si>
  <si>
    <t>PAYMENT TERMS</t>
  </si>
  <si>
    <t>For and on behalf of</t>
  </si>
  <si>
    <t>One row per claim. Assign trips to the Claim No. on the Trips Ledger; then preview / print on the Invoice tab.</t>
  </si>
  <si>
    <t>Claim No.</t>
  </si>
  <si>
    <t>Issue Date</t>
  </si>
  <si>
    <t>Bill-To Address</t>
  </si>
  <si>
    <t>Period From</t>
  </si>
  <si>
    <t>Period To</t>
  </si>
  <si>
    <t># Trips</t>
  </si>
  <si>
    <t>Currency</t>
  </si>
  <si>
    <t>Status</t>
  </si>
  <si>
    <t>Due Date</t>
  </si>
  <si>
    <t>Paid Date</t>
  </si>
  <si>
    <t>Days Overdue</t>
  </si>
  <si>
    <t>Aging</t>
  </si>
  <si>
    <t>Notes</t>
  </si>
  <si>
    <t>Draft</t>
  </si>
  <si>
    <t>Loading Port</t>
  </si>
  <si>
    <t>Destination</t>
  </si>
  <si>
    <t>Product</t>
  </si>
  <si>
    <t>Trailer Reg.</t>
  </si>
  <si>
    <t>Driver</t>
  </si>
  <si>
    <t>Waiting (d)</t>
  </si>
  <si>
    <t>Laytime (d)</t>
  </si>
  <si>
    <t>Excess (d)</t>
  </si>
  <si>
    <t>Rate (USD)</t>
  </si>
  <si>
    <t>Demurrage (USD)</t>
  </si>
  <si>
    <t>Sanity</t>
  </si>
  <si>
    <t>Beira</t>
  </si>
  <si>
    <t>Lusaka</t>
  </si>
  <si>
    <t>PMS</t>
  </si>
  <si>
    <t>AHN 716 MP</t>
  </si>
  <si>
    <t>AJ 041 MC</t>
  </si>
  <si>
    <t>Average Chitengwa</t>
  </si>
  <si>
    <t>AFW 378 MP</t>
  </si>
  <si>
    <t>AE 731 MC</t>
  </si>
  <si>
    <t>Kangai Tafirenyika</t>
  </si>
  <si>
    <t>AIB 049 MC</t>
  </si>
  <si>
    <t>AF 715 MC</t>
  </si>
  <si>
    <t>Kumirai Krispen</t>
  </si>
  <si>
    <t>AGU 496 MP</t>
  </si>
  <si>
    <t>AF 738 MC</t>
  </si>
  <si>
    <t>Nhamo Mukwekwerere</t>
  </si>
  <si>
    <t>AJJ 602 MP</t>
  </si>
  <si>
    <t>AF 699 MC</t>
  </si>
  <si>
    <t>Hestings Banda</t>
  </si>
  <si>
    <t>AFV 439 MP</t>
  </si>
  <si>
    <t>AE 760 MC</t>
  </si>
  <si>
    <t>Adelino Silira</t>
  </si>
  <si>
    <t>AIQ 955 MP</t>
  </si>
  <si>
    <t>AJ 042 MC</t>
  </si>
  <si>
    <t>Maxwell Shamu</t>
  </si>
  <si>
    <t>AAX 014 SF</t>
  </si>
  <si>
    <t>AA 475 MC</t>
  </si>
  <si>
    <t>Clayton Kamudzeya</t>
  </si>
  <si>
    <t>AKO080MC</t>
  </si>
  <si>
    <t>AH456MC</t>
  </si>
  <si>
    <t>FERNANDO ULISSONE FERNANDO MATANDIRE</t>
  </si>
  <si>
    <t>AKN021MC</t>
  </si>
  <si>
    <t>AH430MC</t>
  </si>
  <si>
    <t>CHICONDI RAIMUNDO TEMBO</t>
  </si>
  <si>
    <t>AK0101MC</t>
  </si>
  <si>
    <t>AH451MC</t>
  </si>
  <si>
    <t>PEREIRA FERNANDO ARGOLA</t>
  </si>
  <si>
    <t>AKN812MC</t>
  </si>
  <si>
    <t>AH439MC</t>
  </si>
  <si>
    <t>MOISES BACALEUANE ARROZ</t>
  </si>
  <si>
    <t>AKN 001 MC</t>
  </si>
  <si>
    <t>AH 453 MC</t>
  </si>
  <si>
    <t>MOMADE MOEDA MOMADE</t>
  </si>
  <si>
    <t>AKN 014 MC</t>
  </si>
  <si>
    <t>AH 447 MC</t>
  </si>
  <si>
    <t>KEITH TCHUMA</t>
  </si>
  <si>
    <t>AKN 767 MC</t>
  </si>
  <si>
    <t>AH 437 MC</t>
  </si>
  <si>
    <t>CARLOS JOSE JOAO</t>
  </si>
  <si>
    <t>AKN 010 MC</t>
  </si>
  <si>
    <t>AH 438 MC</t>
  </si>
  <si>
    <t>NELSON GOTINE</t>
  </si>
  <si>
    <t>AKN 820 MC</t>
  </si>
  <si>
    <t>AH 468 MC</t>
  </si>
  <si>
    <t>CHIFUNDO SITOLO</t>
  </si>
  <si>
    <t>ABC 253 SF</t>
  </si>
  <si>
    <t>AH 386 SF</t>
  </si>
  <si>
    <t>Zacarias Huo</t>
  </si>
  <si>
    <t>AKO 101 MC</t>
  </si>
  <si>
    <t>AH 451 MC</t>
  </si>
  <si>
    <t>Casse Moguene</t>
  </si>
  <si>
    <t>CAA-8073ZM</t>
  </si>
  <si>
    <t>CAA-8067ZM</t>
  </si>
  <si>
    <t>FRANCIS</t>
  </si>
  <si>
    <t>BAZ-3920ZM</t>
  </si>
  <si>
    <t>BAZ-4329ZM</t>
  </si>
  <si>
    <t xml:space="preserve">AARON </t>
  </si>
  <si>
    <t>BAV-7007ZM</t>
  </si>
  <si>
    <t>BAV-7070ZM</t>
  </si>
  <si>
    <t>ANDRE</t>
  </si>
  <si>
    <t>BAV-7006ZM</t>
  </si>
  <si>
    <t>BAV-7074ZM</t>
  </si>
  <si>
    <t>CECIL</t>
  </si>
  <si>
    <t>BAZ-4162ZM</t>
  </si>
  <si>
    <t>BAZ-4663ZM</t>
  </si>
  <si>
    <t>EMMANUEL</t>
  </si>
  <si>
    <t>BAV-7223ZM</t>
  </si>
  <si>
    <t>BAV-7081ZM</t>
  </si>
  <si>
    <t>JAMES</t>
  </si>
  <si>
    <t>CAJ-4203 ZM</t>
  </si>
  <si>
    <t>CAJ-4205 ZM</t>
  </si>
  <si>
    <t>ATIN</t>
  </si>
  <si>
    <t>CAJ-7188 ZM</t>
  </si>
  <si>
    <t>CAJ-7178 ZM</t>
  </si>
  <si>
    <t>JOSEPH</t>
  </si>
  <si>
    <t>CAJ-7193 ZM</t>
  </si>
  <si>
    <t xml:space="preserve">CAJ-7197 ZM </t>
  </si>
  <si>
    <t>JASON</t>
  </si>
  <si>
    <t>CAJ-7192 ZM</t>
  </si>
  <si>
    <t>CAJ-7175 ZM</t>
  </si>
  <si>
    <t>ALEX</t>
  </si>
  <si>
    <t>CAJ-4325 ZM</t>
  </si>
  <si>
    <t>CAJ-4321 ZM</t>
  </si>
  <si>
    <t>RAJ HILLARY</t>
  </si>
  <si>
    <t>CAF-8526ZM</t>
  </si>
  <si>
    <t>CAF-8515ZM</t>
  </si>
  <si>
    <t>DUNCAN</t>
  </si>
  <si>
    <t>AVERAGE CHITENGWA</t>
  </si>
  <si>
    <t>HESTINGS JAMU BANDA</t>
  </si>
  <si>
    <t>NHAMO MUKWEKWERERE</t>
  </si>
  <si>
    <t>KANGAI TAFIRENYIKA</t>
  </si>
  <si>
    <t>AHG 527 MP</t>
  </si>
  <si>
    <t>AE 730 MC</t>
  </si>
  <si>
    <t>KELVIN JAKARASI</t>
  </si>
  <si>
    <t>AIB 236 MC</t>
  </si>
  <si>
    <t>AA 486 MC</t>
  </si>
  <si>
    <t>INNOCENT MPOSHI</t>
  </si>
  <si>
    <t>CLAYTON KAMUDZEYA</t>
  </si>
  <si>
    <t>ALBERT ADELINO SILIRA</t>
  </si>
  <si>
    <t>MAXWELL SHAMU</t>
  </si>
  <si>
    <t>KUMIRAI KRISPEN</t>
  </si>
  <si>
    <t>AKN 021 MC</t>
  </si>
  <si>
    <t>JOSE MORAIS AUGUSTO</t>
  </si>
  <si>
    <t>ABC 281 SF</t>
  </si>
  <si>
    <t>AH 405 SF</t>
  </si>
  <si>
    <t xml:space="preserve">DAUTI GUBE </t>
  </si>
  <si>
    <t>ABC 296 SF</t>
  </si>
  <si>
    <t>AH 396 SF</t>
  </si>
  <si>
    <t>ABC 288 SF</t>
  </si>
  <si>
    <t>AH 388 SF</t>
  </si>
  <si>
    <t>ANTONIO  ZECA  NDATCHERENGA</t>
  </si>
  <si>
    <t>AKO 096 MC</t>
  </si>
  <si>
    <t>AH 452 MC</t>
  </si>
  <si>
    <t>EMIDIO SEBASTIAO JOAO MUSSAFE</t>
  </si>
  <si>
    <t>AKN 003 MC</t>
  </si>
  <si>
    <t>AH426MC</t>
  </si>
  <si>
    <t>PAULO INACIO</t>
  </si>
  <si>
    <t>AKN 017 MC</t>
  </si>
  <si>
    <t>AH 424 MC</t>
  </si>
  <si>
    <t>RAUL UARROTA JORGE</t>
  </si>
  <si>
    <t>AKO 141 MC</t>
  </si>
  <si>
    <t>AH449MC</t>
  </si>
  <si>
    <t>SILVIO MARIANO</t>
  </si>
  <si>
    <t>ABC 257 SF</t>
  </si>
  <si>
    <t>AH 420 SF</t>
  </si>
  <si>
    <t>INACIO NUNES LANGA</t>
  </si>
  <si>
    <t>AKN 777 MC</t>
  </si>
  <si>
    <t>AH415MC</t>
  </si>
  <si>
    <t>PAULINO CHICO GUILHERME</t>
  </si>
  <si>
    <t>ABC 241 SF</t>
  </si>
  <si>
    <t>AH 421 SF</t>
  </si>
  <si>
    <t>FELIX VIEGAS</t>
  </si>
  <si>
    <t>ABC 248 SF</t>
  </si>
  <si>
    <t>AH 418 SF</t>
  </si>
  <si>
    <t>ARAUJO MARCELINO RAFAEL NOTICE</t>
  </si>
  <si>
    <t>ABC 251 SF</t>
  </si>
  <si>
    <t>AH 395 SF</t>
  </si>
  <si>
    <t>GERITO AVELINO JOAQUIM</t>
  </si>
  <si>
    <t>ABC 255 SF</t>
  </si>
  <si>
    <t>AH 397 SF</t>
  </si>
  <si>
    <t>EDIMO M.S AINOSSE BOBO</t>
  </si>
  <si>
    <t>ABC 282 SF</t>
  </si>
  <si>
    <t>AH 382 SF</t>
  </si>
  <si>
    <t>BAPTISTA SAENE RUPIA</t>
  </si>
  <si>
    <t>ABC 276 SF</t>
  </si>
  <si>
    <t>AH 416 SF</t>
  </si>
  <si>
    <t>ISSUFO ASSANE AMADE</t>
  </si>
  <si>
    <t>ABC 285 SF</t>
  </si>
  <si>
    <t>AH 461 MC</t>
  </si>
  <si>
    <t>XADREQUE JORGE MAIBEQUE</t>
  </si>
  <si>
    <t>ABC 286 SF</t>
  </si>
  <si>
    <t>AH 406 SF</t>
  </si>
  <si>
    <t>FERRAO AGOSTINHO SALICUCHEPA</t>
  </si>
  <si>
    <t>ABC 237 SF</t>
  </si>
  <si>
    <t>AH 393 SF</t>
  </si>
  <si>
    <t>Issufo Paulino</t>
  </si>
  <si>
    <t>AKN 811 MC</t>
  </si>
  <si>
    <t>AH 419 MC</t>
  </si>
  <si>
    <t>SAMUEL LOTI MATABWA</t>
  </si>
  <si>
    <t>ABC 283 SF</t>
  </si>
  <si>
    <t>AH 383 SF</t>
  </si>
  <si>
    <t>WILLIAMO MALISHE</t>
  </si>
  <si>
    <t>AAO 766 SF</t>
  </si>
  <si>
    <t>AH 440 MC</t>
  </si>
  <si>
    <t>DOMINGOS FRANCISCO ARGOLA</t>
  </si>
  <si>
    <t>AH 426 MC</t>
  </si>
  <si>
    <t>GUERRA JULIAO</t>
  </si>
  <si>
    <t>AKO 144 MC</t>
  </si>
  <si>
    <t>AH 414 MC</t>
  </si>
  <si>
    <t>CAPESSE LUIS CAPESSE</t>
  </si>
  <si>
    <t>CAJ-4204 ZM</t>
  </si>
  <si>
    <t>CAJ-4195 ZM</t>
  </si>
  <si>
    <t>CHARLES PHIRI</t>
  </si>
  <si>
    <t>RAJ HILLARY DESAI</t>
  </si>
  <si>
    <t>CAF-8484ZM</t>
  </si>
  <si>
    <t>CAF-8530ZM</t>
  </si>
  <si>
    <t>STEVEN BANDA</t>
  </si>
  <si>
    <t>CAJ-4322 ZM</t>
  </si>
  <si>
    <t>CAJ-4323 ZM</t>
  </si>
  <si>
    <t>STEVE KANENGO</t>
  </si>
  <si>
    <t>CAJ-4194ZM</t>
  </si>
  <si>
    <t>CAJ-4191ZM</t>
  </si>
  <si>
    <t>JOCKONIA SAKALA</t>
  </si>
  <si>
    <t>CAJ-4196 ZM</t>
  </si>
  <si>
    <t>CAJ-4189 ZM</t>
  </si>
  <si>
    <t>CHILESHE MUTALE</t>
  </si>
  <si>
    <t>CAJ-7173 ZM</t>
  </si>
  <si>
    <t>CAJ-7186 ZM</t>
  </si>
  <si>
    <t>MWACHATUBA ERIC MALUSA</t>
  </si>
  <si>
    <t>CAJ-7191 ZM</t>
  </si>
  <si>
    <t>CAJ-7179 ZM</t>
  </si>
  <si>
    <t>PHILLIMON NKHOMA</t>
  </si>
  <si>
    <t>CAJ-4193ZM</t>
  </si>
  <si>
    <t>BAZ-5057ZM</t>
  </si>
  <si>
    <t>LAFTON SHIPUNGA</t>
  </si>
  <si>
    <t>CAJ-4324 ZM</t>
  </si>
  <si>
    <t>CAJ-4326 ZM</t>
  </si>
  <si>
    <t>MICHEAL MAKEPESHI</t>
  </si>
  <si>
    <t>ABC 234 SF</t>
  </si>
  <si>
    <t>AH 414 SF</t>
  </si>
  <si>
    <t>OSMAN AFIYA YUNUSU</t>
  </si>
  <si>
    <t>AKN 848 MC</t>
  </si>
  <si>
    <t>AH 413 MC</t>
  </si>
  <si>
    <t>BENEDITO ANTONIO DOMINGOS BUZI</t>
  </si>
  <si>
    <t>AKN 765 MC</t>
  </si>
  <si>
    <t>AH 427 MC</t>
  </si>
  <si>
    <t>DANIEL WAIRESSE MUDUWA</t>
  </si>
  <si>
    <t>ABC 244 SF</t>
  </si>
  <si>
    <t>AH 424 SF</t>
  </si>
  <si>
    <t>BRITO BITONE SEMENTE MUTANDO</t>
  </si>
  <si>
    <t>AAO 768 SF</t>
  </si>
  <si>
    <t>AH 421 MC</t>
  </si>
  <si>
    <t>AGOSTINHO GONCALVES PIRES</t>
  </si>
  <si>
    <t>ABC 277 SF</t>
  </si>
  <si>
    <t>AH 377 SF</t>
  </si>
  <si>
    <t>ALBERTO JOSE VASCO</t>
  </si>
  <si>
    <t>ABC 259 SF</t>
  </si>
  <si>
    <t>AH 419 SF</t>
  </si>
  <si>
    <t>DOMINGOS CASTIGO</t>
  </si>
  <si>
    <t>AKM 997 MC</t>
  </si>
  <si>
    <t>AH 428 MC</t>
  </si>
  <si>
    <t>JOAO XAVIER LEVANHE PAULINO</t>
  </si>
  <si>
    <t>AKN 779 MC</t>
  </si>
  <si>
    <t>AH 420 MC</t>
  </si>
  <si>
    <t>LOURENCO JOSE JORGE</t>
  </si>
  <si>
    <t>ABC 292 SF</t>
  </si>
  <si>
    <t>AH 402 SF</t>
  </si>
  <si>
    <t>BONIFACIO BYSON MALEFULA</t>
  </si>
  <si>
    <t>ABC 280 SF</t>
  </si>
  <si>
    <t>AH 380 SF</t>
  </si>
  <si>
    <t>ABC 274 SF</t>
  </si>
  <si>
    <t>AH 379 SF</t>
  </si>
  <si>
    <t xml:space="preserve">MATEUS VASCO ZAMBO </t>
  </si>
  <si>
    <t>AKM 999 MC</t>
  </si>
  <si>
    <t>AH 416 MC</t>
  </si>
  <si>
    <t>TAIBO RATO KANO</t>
  </si>
  <si>
    <t>AKN 012 MC</t>
  </si>
  <si>
    <t>AH 432 MC</t>
  </si>
  <si>
    <t>JOSSIA RESENDE NHONE</t>
  </si>
  <si>
    <t>ABC 294 SF</t>
  </si>
  <si>
    <t>AH 422 SF</t>
  </si>
  <si>
    <t>IVAN MANUEL AMADE JOAQUIM</t>
  </si>
  <si>
    <t>ABC 252 SF</t>
  </si>
  <si>
    <t>AH 387 SF</t>
  </si>
  <si>
    <t>AKN 006 MC</t>
  </si>
  <si>
    <t>AH 457 MC</t>
  </si>
  <si>
    <t>GILDO LUIS DE SOUSA</t>
  </si>
  <si>
    <t>WILIAMO BRITO MALISSIE</t>
  </si>
  <si>
    <t>ABC 236 SF</t>
  </si>
  <si>
    <t>AH 376 SF</t>
  </si>
  <si>
    <t>ADILSON DOMINGOS JOSE</t>
  </si>
  <si>
    <t>AKO 283 MC</t>
  </si>
  <si>
    <t>AH 446 MC</t>
  </si>
  <si>
    <t>ANTONIO EFREMO ANDICENE</t>
  </si>
  <si>
    <t>AKN 854 MC</t>
  </si>
  <si>
    <t>AH 423 MC</t>
  </si>
  <si>
    <t>YONA MARCOS ABILIO</t>
  </si>
  <si>
    <t>AKN 461MC</t>
  </si>
  <si>
    <t>AH 425 MC</t>
  </si>
  <si>
    <t>BLESSING LINOS NDENGUMA</t>
  </si>
  <si>
    <t>AKN 783 MC</t>
  </si>
  <si>
    <t>AH 450 MC</t>
  </si>
  <si>
    <t>NILTON DERCIO ADRIANO LANGA</t>
  </si>
  <si>
    <t>ABC 284 SF</t>
  </si>
  <si>
    <t>AH 384 SF</t>
  </si>
  <si>
    <t>FRANCISCO ZACARIAS</t>
  </si>
  <si>
    <t>AKN 009 MC</t>
  </si>
  <si>
    <t>AH 463 MC</t>
  </si>
  <si>
    <t>JOAQUIM FRANCISCO HAMELA</t>
  </si>
  <si>
    <t>AKN 812 MC</t>
  </si>
  <si>
    <t>AH 439 MC</t>
  </si>
  <si>
    <t>ABC 291 SF</t>
  </si>
  <si>
    <t>AH 391 SF</t>
  </si>
  <si>
    <t xml:space="preserve">JONE BERNARDO QUIPA </t>
  </si>
  <si>
    <t>AGO</t>
  </si>
  <si>
    <t>AGZ4447</t>
  </si>
  <si>
    <t>AHD0019</t>
  </si>
  <si>
    <t>Solomon Mudondiro</t>
  </si>
  <si>
    <t>AHA2259</t>
  </si>
  <si>
    <t>AHD0551</t>
  </si>
  <si>
    <t>Daniel Ndabaningi</t>
  </si>
  <si>
    <t>AGZ4446</t>
  </si>
  <si>
    <t>AHD0018</t>
  </si>
  <si>
    <t>Artwell Billiat</t>
  </si>
  <si>
    <t>AGZ3864</t>
  </si>
  <si>
    <t>AGK6600</t>
  </si>
  <si>
    <t>Alban Onismo</t>
  </si>
  <si>
    <t>AHA2260</t>
  </si>
  <si>
    <t>AHD0552</t>
  </si>
  <si>
    <t>Blessing Manimanzi</t>
  </si>
  <si>
    <t>AGL7682</t>
  </si>
  <si>
    <t>AHD0567</t>
  </si>
  <si>
    <t>Masotsha Nyoni</t>
  </si>
  <si>
    <t>AGJ9268</t>
  </si>
  <si>
    <t>AGK3620</t>
  </si>
  <si>
    <t>Talkmore Ngonidzashe Gumbwa</t>
  </si>
  <si>
    <t>AGJ9269</t>
  </si>
  <si>
    <t>AGK3385</t>
  </si>
  <si>
    <t>Trevor Shambare</t>
  </si>
  <si>
    <t>AGZ4444</t>
  </si>
  <si>
    <t>AHD0020</t>
  </si>
  <si>
    <t>Noah Murenje</t>
  </si>
  <si>
    <t>AGL5522</t>
  </si>
  <si>
    <t>AGK6549</t>
  </si>
  <si>
    <t>Neville Robson Kaukonde</t>
  </si>
  <si>
    <t>AFQ9753</t>
  </si>
  <si>
    <t>ABN8077</t>
  </si>
  <si>
    <t>Bernard Dhinda</t>
  </si>
  <si>
    <t>AGJ0464</t>
  </si>
  <si>
    <t>AHD0382</t>
  </si>
  <si>
    <t xml:space="preserve">Ranganai Tarasizio Kabanya </t>
  </si>
  <si>
    <t>AEZ9150</t>
  </si>
  <si>
    <t>AGK6758</t>
  </si>
  <si>
    <t>Stanley Munyebvu</t>
  </si>
  <si>
    <t>Register of all demurrage deals.</t>
  </si>
  <si>
    <t>Route</t>
  </si>
  <si>
    <t>Laytime (days)</t>
  </si>
  <si>
    <t>Rate (USD/day)</t>
  </si>
  <si>
    <t>Transport (USD/m³)</t>
  </si>
  <si>
    <t>Beira → Lusaka</t>
  </si>
  <si>
    <t>Truckeaze</t>
  </si>
  <si>
    <t>Petroda</t>
  </si>
  <si>
    <t>Edit gold cells to update the entire workbook.</t>
  </si>
  <si>
    <t>COMMERCIAL DEFAULTS</t>
  </si>
  <si>
    <t>Default laytime (days)</t>
  </si>
  <si>
    <t>Free time at offloading before demurrage accrues.</t>
  </si>
  <si>
    <t>Default demurrage rate (USD/day)</t>
  </si>
  <si>
    <t>Per-truck per-day charge once laytime exceeded.</t>
  </si>
  <si>
    <t>USD</t>
  </si>
  <si>
    <t>Reporting currency.</t>
  </si>
  <si>
    <t>FX rate (local → USD)</t>
  </si>
  <si>
    <t>1.00 if invoices already in USD.</t>
  </si>
  <si>
    <t>REPORTING PERIOD</t>
  </si>
  <si>
    <t>Period start</t>
  </si>
  <si>
    <t>Inclusive.</t>
  </si>
  <si>
    <t>Period end</t>
  </si>
  <si>
    <t>Report issued</t>
  </si>
  <si>
    <t>TOLERANCES &amp; FLAGS</t>
  </si>
  <si>
    <t>Outlier threshold (waiting days)</t>
  </si>
  <si>
    <t>Trips above this are highlighted.</t>
  </si>
  <si>
    <t>Sanity tolerance (days)</t>
  </si>
  <si>
    <t>Days of grace before flagging.</t>
  </si>
  <si>
    <t>Set once. Everything in invoices is pulled from here.</t>
  </si>
  <si>
    <t>COMPANY (issuer)</t>
  </si>
  <si>
    <t>Legal name</t>
  </si>
  <si>
    <t>MOCOH SA</t>
  </si>
  <si>
    <t>Trading name</t>
  </si>
  <si>
    <t>MOCOHSA</t>
  </si>
  <si>
    <t>Address</t>
  </si>
  <si>
    <t>Rue de la Corraterie 5-7, 1204 Geneva, Switzerland</t>
  </si>
  <si>
    <t>VAT / TIN / Reg.</t>
  </si>
  <si>
    <t>CHE-110.540.819</t>
  </si>
  <si>
    <t>Phone</t>
  </si>
  <si>
    <t>+41 22 000 0000</t>
  </si>
  <si>
    <t>Email</t>
  </si>
  <si>
    <t>invoicing@mocoh.com</t>
  </si>
  <si>
    <t>BANK DETAILS (USD)</t>
  </si>
  <si>
    <t>Beneficiary bank</t>
  </si>
  <si>
    <t>BANQUE INTERNATIONALE DE COMMERCE - BRED (SUISSE) SA</t>
  </si>
  <si>
    <t>Account name</t>
  </si>
  <si>
    <t>IBAN</t>
  </si>
  <si>
    <t>CH79 0853 7603 0748 0040 0</t>
  </si>
  <si>
    <t>SWIFT / BIC</t>
  </si>
  <si>
    <t>BICFCHGGXXX</t>
  </si>
  <si>
    <t>Correspondent bank</t>
  </si>
  <si>
    <t>JP MORGAN CHASE NY</t>
  </si>
  <si>
    <t>Correspondent SWIFT</t>
  </si>
  <si>
    <t>CHASUS33XXX</t>
  </si>
  <si>
    <t>INVOICING</t>
  </si>
  <si>
    <t>Invoice prefix</t>
  </si>
  <si>
    <t>MOC-DEM-2026-</t>
  </si>
  <si>
    <t>Next invoice number</t>
  </si>
  <si>
    <t>Payment terms (days)</t>
  </si>
  <si>
    <t>VAT rate</t>
  </si>
  <si>
    <t>Footer note</t>
  </si>
  <si>
    <t>Payment with liberating effect can only be made to this account held with the above mentioned bank, as assignee of the proceeds. Open account payable as per agreed terms.</t>
  </si>
  <si>
    <t>Demurrage</t>
  </si>
  <si>
    <t>Helper — Top deals</t>
  </si>
  <si>
    <t>Helper — Sorted desc</t>
  </si>
  <si>
    <t>Current</t>
  </si>
  <si>
    <t>Total</t>
  </si>
  <si>
    <t>📋 Cover</t>
  </si>
  <si>
    <t>📊 Dashboard</t>
  </si>
  <si>
    <t>🚚 Trips</t>
  </si>
  <si>
    <t>🧾 Claims</t>
  </si>
  <si>
    <t>📑 Deals</t>
  </si>
  <si>
    <t>💰 Invoice</t>
  </si>
  <si>
    <t>31-60</t>
  </si>
  <si>
    <t>61-90</t>
  </si>
  <si>
    <t>90+</t>
  </si>
  <si>
    <t>184182-DEM</t>
  </si>
  <si>
    <t>184752-DEM</t>
  </si>
  <si>
    <t>184834-DEM</t>
  </si>
  <si>
    <t>187293-DEM</t>
  </si>
  <si>
    <t>187296-DEM</t>
  </si>
  <si>
    <t>189084-DEM</t>
  </si>
  <si>
    <t>190261-DEM</t>
  </si>
  <si>
    <t>190664-DEM</t>
  </si>
  <si>
    <t>191610-DEM</t>
  </si>
  <si>
    <t>INVOICE ANNEX — TRIP DETAIL</t>
  </si>
  <si>
    <t>CLAIM</t>
  </si>
  <si>
    <t>Loaded</t>
  </si>
  <si>
    <t>DEMURRAGE SUMMARY</t>
  </si>
  <si>
    <t>Per-trip detail is set out in the Annex on the following page.</t>
  </si>
  <si>
    <t>EXCESS DAYS</t>
  </si>
  <si>
    <t>Subtotal (USD)</t>
  </si>
  <si>
    <t>TOTAL DUE</t>
  </si>
  <si>
    <t>BANK DETAILS</t>
  </si>
  <si>
    <t>Bank Name</t>
  </si>
  <si>
    <t>Account Name</t>
  </si>
  <si>
    <t>Authorized Signature</t>
  </si>
  <si>
    <t>_______________________</t>
  </si>
  <si>
    <t>Correspondent</t>
  </si>
  <si>
    <t>📎 Annex</t>
  </si>
  <si>
    <t>1-30</t>
  </si>
  <si>
    <t>CONSIGNEES — Bill-To Addresses</t>
  </si>
  <si>
    <t>PLOT NO. 1630, MALAMBO ROAD
LUSAKA, ZAMBIA
[VAT / TIN]</t>
  </si>
  <si>
    <t>PLOT NO. 10958, CORNER OF LIMA / LUANSHYA ROAD
P.O. BOX 71030, NDOLA, ZAMBIA
[VAT / TIN]</t>
  </si>
  <si>
    <t>[Plot / Street]
[City], ZAMBIA
[VAT / TIN]</t>
  </si>
  <si>
    <t>CLAIM No.  (click ▼)</t>
  </si>
  <si>
    <t>🖨 PDF: select Invoice + Annex tabs (Ctrl+click), then click Publish as PDF in QAT</t>
  </si>
  <si>
    <t>DRAFT CLAIM BUILDER</t>
  </si>
  <si>
    <t>Deal</t>
  </si>
  <si>
    <t>Trips visible</t>
  </si>
  <si>
    <t>AUDIT LOG</t>
  </si>
  <si>
    <t>Immutable record of status changes and key edits. Do not modify entries.</t>
  </si>
  <si>
    <t>Timestamp</t>
  </si>
  <si>
    <t>User</t>
  </si>
  <si>
    <t>Sheet</t>
  </si>
  <si>
    <t>Cell</t>
  </si>
  <si>
    <t>Field</t>
  </si>
  <si>
    <t>Old Value</t>
  </si>
  <si>
    <t>New Value</t>
  </si>
  <si>
    <t>Action</t>
  </si>
  <si>
    <t>MACROS TO INSTALL (one-time setup)</t>
  </si>
  <si>
    <t>Alt+F11 opens VBA. (1) Insert &gt; Module — paste WORKFLOW MODULE. (2) Project tree &gt; double-click ThisWorkbook — paste THISWORKBOOK code. (3) Save. Buttons: Insert &gt; Shapes &gt; right-click &gt; Assign Macro.</t>
  </si>
  <si>
    <t>WORKFLOW MODULE  (paste into a new Module)</t>
  </si>
  <si>
    <t>Option Explicit
Public Sub IssueClaim()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"Sent"
    ws.Cells(r, "C").Value = Date
    Call LogAudit("Claims", "L" &amp; r, "Status", old, "Sent", "Issue Claim")
End Sub
Public Sub MarkPaid()
    Dim ws As Worksheet: Set ws = ThisWorkbook.Worksheets("Claims")
    Dim r As Long: r = ActiveCell.Row
    If ActiveSheet.Name &lt;&gt; "Claims" Or r &lt; 7 Or r &gt; 15 Then
        MsgBox "Select a claim row (7-15) on Claims first.", vbExclamation: Exit Sub
    End If
    Dim old As String: old = ws.Cells(r, "L").Value
    ws.Cells(r, "L").Value = "Paid"
    ws.Cells(r, "N").Value = Date
    Call LogAudit("Claims", "L" &amp; r, "Status", old, "Paid", "Mark Paid")
End Sub</t>
  </si>
  <si>
    <t>Public Sub CreateClaimFromFiltered()
    Dim tb As Worksheet: Set tb = ThisWorkbook.Worksheets("Trips Ledger")
    Dim deal As Variant: deal = tb.Range("C4").Value
    If deal = "(mixed)" Or deal = "(no filter)" Or deal = "" Then
        MsgBox "Filter Trips Ledger to a single Deal No. first.", vbExclamation: Exit Sub
    End If
    Dim tbl As ListObject: Set tbl = ThisWorkbook.Worksheets("Claims").ListObjects("Claims")
    Dim r As ListRow: Set r = tbl.ListRows.Add
    r.Range.Cells(1, 2).Value = Date
    r.Range.Cells(1, 3).Value = deal
    r.Range.Cells(1, 10).Value = "Draft"
    Call LogAudit("Claims", r.Range.Address, "(new)", "", deal &amp; "-DEM", "Create Claim")
    MsgBox "Draft claim created for Deal " &amp; deal &amp; ".", vbInformation
End Sub
Public Sub LogAudit(sht As String, addr As String, fld As String, oldV As String, newV As String, act As String)
    Dim tbl As ListObject: Set tbl = ThisWorkbook.Worksheets("AuditLog").ListObjects("AuditLog")
    Dim r As ListRow: Set r = tbl.ListRows.Add
    r.Range.Cells(1, 1).Value = Now
    r.Range.Cells(1, 2).Value = Environ("USERNAME")
    r.Range.Cells(1, 3).Value = sht
    r.Range.Cells(1, 4).Value = addr
    r.Range.Cells(1, 5).Value = fld
    r.Range.Cells(1, 6).Value = oldV
    r.Range.Cells(1, 7).Value = newV
    r.Range.Cells(1, 8).Value = act
End Sub</t>
  </si>
  <si>
    <t>Public Sub PublishInvoicePDF()
    Dim claimNo As String
    claimNo = ThisWorkbook.Worksheets("Invoice").Range("B20").Value
    Dim path As String
    path = Application.GetSaveAsFilename( _
        InitialFileName:="Invoice_" &amp; claimNo &amp; ".pdf", _
        FileFilter:="PDF Files (*.pdf), *.pdf")
    If path = "False" Then Exit Sub
    Sheets(Array("Invoice", "Annex")).Select
    ActiveSheet.ExportAsFixedFormat Type:=xlTypePDF, _
        Filename:=path, Quality:=xlQualityStandard, _
        IgnorePrintAreas:=False, OpenAfterPublish:=True
    ThisWorkbook.Worksheets("Invoice").Select
    Call LogAudit("Invoice", "B20", "PDF", "", claimNo, "Publish PDF")
End Sub</t>
  </si>
  <si>
    <t>THISWORKBOOK  (paste into ThisWorkbook object, not a module)</t>
  </si>
  <si>
    <t>Option Explicit
Private Sub Workbook_SheetChange(ByVal Sh As Object, ByVal Target As Range)
    If Sh.Name &lt;&gt; "Claims" Or Target.Cells.Count &lt;&gt; 1 Then Exit Sub
    If Target.Column &lt;&gt; 12 Or Target.Row &lt; 7 Or Target.Row &gt; 15 Then Exit Sub
    Application.EnableEvents = False
    Call LogAudit("Claims", Target.Address(False, False), "Status", _
                  "(prev)", CStr(Target.Value), "Manual edit")
    Application.EnableEvents = True
End Sub</t>
  </si>
  <si>
    <t>← Back to Cover</t>
  </si>
  <si>
    <t>Actions</t>
  </si>
  <si>
    <t>▶ Issue   ✓ Paid</t>
  </si>
  <si>
    <t>▶ Create Claim from filter</t>
  </si>
  <si>
    <t>📄 Publish PDF (assign macro: PublishInvoicePDF)</t>
  </si>
  <si>
    <t>(awaiting email)</t>
  </si>
  <si>
    <t>Email body — copy &amp; paste: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</si>
</sst>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[$$-409]* #,##0_-;[Red]\-[$$-409]* #,##0_-;_-[$$-409]* &quot;-&quot;??_-;_-@_-"/>
    <numFmt numFmtId="165" formatCode="#,##0;[Red]\-#,##0;&quot;-&quot;"/>
    <numFmt numFmtId="166" formatCode="0.0%"/>
    <numFmt numFmtId="167" formatCode="0.0000"/>
    <numFmt numFmtId="168" formatCode="dd\-mmm\-yyyy"/>
    <numFmt numFmtId="169" formatCode="#,##0.00;&quot;-&quot;"/>
    <numFmt numFmtId="171" formatCode="#,##0&quot; d&quot;"/>
    <numFmt numFmtId="175" formatCode="[$$-409]#,##0.00"/>
    <numFmt numFmtId="176" formatCode="[$$-409]#,##0"/>
  </numFmts>
  <fonts count="58" x14ac:knownFonts="1">
    <font>
      <sz val="11"/>
      <color theme="1"/>
      <name val="Calibri"/>
      <family val="2"/>
      <scheme val="minor"/>
    </font>
    <font>
      <b/>
      <sz val="32"/>
      <color rgb="FFFFFFFF"/>
      <name val="Calibri"/>
    </font>
    <font>
      <b/>
      <sz val="12"/>
      <color rgb="FFF5A623"/>
      <name val="Calibri"/>
    </font>
    <font>
      <b/>
      <sz val="12"/>
      <color rgb="FF1F3D8E"/>
      <name val="Calibri"/>
    </font>
    <font>
      <b/>
      <sz val="18"/>
      <color rgb="FFFFFFFF"/>
      <name val="Calibri"/>
    </font>
    <font>
      <sz val="12"/>
      <color rgb="FF111827"/>
      <name val="Calibri"/>
    </font>
    <font>
      <b/>
      <sz val="9"/>
      <color rgb="FFFFFFFF"/>
      <name val="Calibri"/>
    </font>
    <font>
      <b/>
      <sz val="18"/>
      <color rgb="FF1F3D8E"/>
      <name val="Calibri"/>
    </font>
    <font>
      <i/>
      <sz val="9"/>
      <color rgb="FF6B7280"/>
      <name val="Calibri"/>
    </font>
    <font>
      <b/>
      <sz val="20"/>
      <color rgb="FF1F3D8E"/>
      <name val="Calibri"/>
    </font>
    <font>
      <i/>
      <sz val="10"/>
      <color rgb="FF6B7280"/>
      <name val="Calibri"/>
    </font>
    <font>
      <b/>
      <sz val="11"/>
      <color rgb="FFFFFFFF"/>
      <name val="Calibri"/>
    </font>
    <font>
      <sz val="11"/>
      <color rgb="FF111827"/>
      <name val="Calibri"/>
    </font>
    <font>
      <b/>
      <sz val="11"/>
      <color rgb="FF1F3D8E"/>
      <name val="Calibri"/>
    </font>
    <font>
      <b/>
      <sz val="10"/>
      <color rgb="FFFFFFFF"/>
      <name val="Calibri"/>
    </font>
    <font>
      <sz val="10"/>
      <color rgb="FF111827"/>
      <name val="Calibri"/>
    </font>
    <font>
      <b/>
      <sz val="9"/>
      <color rgb="FF6B7280"/>
      <name val="Calibri"/>
    </font>
    <font>
      <sz val="9"/>
      <color rgb="FF6B7280"/>
      <name val="Calibri"/>
    </font>
    <font>
      <b/>
      <sz val="14"/>
      <color rgb="FF1F3D8E"/>
      <name val="Calibri"/>
    </font>
    <font>
      <b/>
      <sz val="11"/>
      <color rgb="FF111827"/>
      <name val="Calibri"/>
    </font>
    <font>
      <b/>
      <sz val="10"/>
      <color rgb="FF1F3D8E"/>
      <name val="Calibri"/>
    </font>
    <font>
      <b/>
      <sz val="12"/>
      <color rgb="FFFFFFFF"/>
      <name val="Calibri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rgb="FF9CA3AF"/>
      <name val="Calibri"/>
      <family val="2"/>
      <scheme val="minor"/>
    </font>
    <font>
      <b/>
      <u/>
      <sz val="11"/>
      <color rgb="FF1F3D8E"/>
      <name val="Calibri"/>
      <family val="2"/>
      <scheme val="minor"/>
    </font>
    <font>
      <b/>
      <sz val="11"/>
      <color rgb="FF1F3D8E"/>
      <name val="Calibri"/>
      <family val="2"/>
      <scheme val="minor"/>
    </font>
    <font>
      <b/>
      <sz val="18"/>
      <color rgb="FF1F3D8E"/>
      <name val="Calibri"/>
      <family val="2"/>
      <scheme val="minor"/>
    </font>
    <font>
      <sz val="11"/>
      <color rgb="FF6B7280"/>
      <name val="Calibri"/>
      <family val="2"/>
      <scheme val="minor"/>
    </font>
    <font>
      <b/>
      <sz val="9"/>
      <color rgb="FF6B7280"/>
      <name val="Calibri"/>
      <family val="2"/>
      <scheme val="minor"/>
    </font>
    <font>
      <sz val="11"/>
      <color rgb="FF111827"/>
      <name val="Calibri"/>
      <family val="2"/>
      <scheme val="minor"/>
    </font>
    <font>
      <b/>
      <sz val="11"/>
      <color rgb="FF11182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6C757D"/>
      <name val="Calibri"/>
      <family val="2"/>
      <scheme val="minor"/>
    </font>
    <font>
      <i/>
      <sz val="10"/>
      <color rgb="FF6C757D"/>
      <name val="Calibri"/>
      <family val="2"/>
      <scheme val="minor"/>
    </font>
    <font>
      <sz val="9"/>
      <color rgb="FF6C757D"/>
      <name val="Calibri"/>
      <family val="2"/>
      <scheme val="minor"/>
    </font>
    <font>
      <b/>
      <sz val="9"/>
      <color rgb="FF6C757D"/>
      <name val="Calibri"/>
      <family val="2"/>
      <scheme val="minor"/>
    </font>
    <font>
      <sz val="11"/>
      <color rgb="FF495057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sz val="10"/>
      <color rgb="FF1F3D8E"/>
      <name val="Calibri"/>
      <family val="2"/>
      <scheme val="minor"/>
    </font>
    <font>
      <b/>
      <sz val="10"/>
      <color rgb="FF1F3D8E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A500"/>
      <name val="Calibri"/>
      <family val="2"/>
      <scheme val="minor"/>
    </font>
    <font>
      <i/>
      <sz val="10"/>
      <color rgb="FF9CA3AF"/>
      <name val="Calibri"/>
      <family val="2"/>
      <scheme val="minor"/>
    </font>
    <font>
      <i/>
      <sz val="9"/>
      <color rgb="FF6C757D"/>
      <name val="Calibri"/>
      <family val="2"/>
      <scheme val="minor"/>
    </font>
    <font>
      <b/>
      <i/>
      <sz val="9"/>
      <color rgb="FF6C757D"/>
      <name val="Calibri"/>
    </font>
    <font>
      <b/>
      <sz val="9"/>
      <color rgb="FF1F3D8E"/>
      <name val="Calibri"/>
      <family val="2"/>
      <scheme val="minor"/>
    </font>
    <font>
      <b/>
      <i/>
      <sz val="9"/>
      <color rgb="FF1F3D8E"/>
      <name val="Calibri"/>
      <family val="2"/>
      <scheme val="minor"/>
    </font>
    <font>
      <b/>
      <i/>
      <sz val="10"/>
      <color rgb="FFFFFFFF"/>
      <name val="Calibri"/>
    </font>
    <font>
      <b/>
      <u/>
      <sz val="10"/>
      <color rgb="FF1F3D8E"/>
      <name val="Calibri"/>
      <family val="2"/>
      <scheme val="minor"/>
    </font>
    <font>
      <b/>
      <sz val="16"/>
      <color rgb="FF1F3D8E"/>
      <name val="Calibri"/>
      <family val="2"/>
      <scheme val="minor"/>
    </font>
    <font>
      <i/>
      <sz val="11"/>
      <color rgb="FF6C757D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theme="1"/>
      <name val="Consolas"/>
    </font>
    <font>
      <b/>
      <sz val="9"/>
      <color rgb="FFFFFFFF"/>
      <name val="Consolas"/>
    </font>
    <font>
      <b/>
      <i/>
      <sz val="10"/>
      <color rgb="FF1F3D8E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3D8E"/>
      </patternFill>
    </fill>
    <fill>
      <patternFill patternType="solid">
        <fgColor rgb="FFF5A623"/>
      </patternFill>
    </fill>
    <fill>
      <patternFill patternType="solid">
        <fgColor rgb="FFFDFBF7"/>
      </patternFill>
    </fill>
    <fill>
      <patternFill patternType="solid">
        <fgColor rgb="FFFDF4D4"/>
      </patternFill>
    </fill>
    <fill>
      <patternFill patternType="solid">
        <fgColor rgb="FFFFFFFF"/>
      </patternFill>
    </fill>
    <fill>
      <patternFill patternType="solid">
        <fgColor rgb="FFFDF4D4"/>
        <bgColor indexed="64"/>
      </patternFill>
    </fill>
    <fill>
      <patternFill patternType="solid">
        <fgColor rgb="FF1F3D8E"/>
        <bgColor indexed="64"/>
      </patternFill>
    </fill>
    <fill>
      <patternFill patternType="solid">
        <fgColor rgb="FFF4F6FB"/>
        <bgColor indexed="64"/>
      </patternFill>
    </fill>
    <fill>
      <patternFill patternType="solid">
        <fgColor rgb="FFF8F9FA"/>
        <bgColor indexed="64"/>
      </patternFill>
    </fill>
  </fills>
  <borders count="16">
    <border>
      <left/>
      <right/>
      <top/>
      <bottom/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thin">
        <color rgb="FFE5E7EB"/>
      </bottom>
      <diagonal/>
    </border>
    <border>
      <left/>
      <right/>
      <top/>
      <bottom style="dotted">
        <color rgb="FFE5E7EB"/>
      </bottom>
      <diagonal/>
    </border>
    <border>
      <left style="thin">
        <color rgb="FFF5A623"/>
      </left>
      <right style="thin">
        <color rgb="FFF5A623"/>
      </right>
      <top style="thin">
        <color rgb="FFF5A623"/>
      </top>
      <bottom style="thin">
        <color rgb="FFF5A623"/>
      </bottom>
      <diagonal/>
    </border>
    <border>
      <left/>
      <right/>
      <top style="medium">
        <color rgb="FFF5A623"/>
      </top>
      <bottom/>
      <diagonal/>
    </border>
    <border>
      <left/>
      <right/>
      <top/>
      <bottom style="medium">
        <color rgb="FFF5A623"/>
      </bottom>
      <diagonal/>
    </border>
    <border>
      <left style="medium">
        <color rgb="FFF5A623"/>
      </left>
      <right style="medium">
        <color rgb="FFF5A623"/>
      </right>
      <top style="medium">
        <color rgb="FFF5A623"/>
      </top>
      <bottom style="medium">
        <color rgb="FFF5A623"/>
      </bottom>
      <diagonal/>
    </border>
    <border>
      <left style="thin">
        <color rgb="FFF5A623"/>
      </left>
      <right/>
      <top style="thin">
        <color rgb="FFF5A623"/>
      </top>
      <bottom style="thin">
        <color rgb="FFF5A623"/>
      </bottom>
      <diagonal/>
    </border>
    <border>
      <left/>
      <right/>
      <top style="thin">
        <color rgb="FFF5A623"/>
      </top>
      <bottom style="thin">
        <color rgb="FFF5A623"/>
      </bottom>
      <diagonal/>
    </border>
    <border>
      <left/>
      <right style="thin">
        <color rgb="FFF5A623"/>
      </right>
      <top style="thin">
        <color rgb="FFF5A623"/>
      </top>
      <bottom style="thin">
        <color rgb="FFF5A623"/>
      </bottom>
      <diagonal/>
    </border>
    <border>
      <left style="thin">
        <color rgb="FFE5E7EB"/>
      </left>
      <right style="thin">
        <color rgb="FFE5E7EB"/>
      </right>
      <top style="thin">
        <color rgb="FFE5E7EB"/>
      </top>
      <bottom style="medium">
        <color rgb="FFF5A623"/>
      </bottom>
      <diagonal/>
    </border>
    <border>
      <left style="thin">
        <color rgb="FFE5E7EB"/>
      </left>
      <right style="thin">
        <color rgb="FFE5E7EB"/>
      </right>
      <top style="dotted">
        <color rgb="FFE5E7EB"/>
      </top>
      <bottom style="dotted">
        <color rgb="FFE5E7EB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rgb="FF1F3D8E"/>
      </top>
      <bottom/>
      <diagonal/>
    </border>
    <border>
      <left/>
      <right/>
      <top/>
      <bottom style="thin">
        <color rgb="FFE5E7EB"/>
      </bottom>
      <diagonal/>
    </border>
  </borders>
  <cellStyleXfs count="2">
    <xf numFmtId="0" fontId="0" fillId="0" borderId="0"/>
    <xf numFmtId="0" fontId="23" fillId="0" borderId="0" applyNumberFormat="0" applyFill="0" applyBorder="0" applyAlignment="0" applyProtection="0"/>
  </cellStyleXfs>
  <cellXfs count="154">
    <xf numFmtId="0" fontId="0" fillId="0" borderId="0" xfId="0"/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3" borderId="1" xfId="0" applyFont="1" applyFill="1" applyBorder="1" applyAlignment="1">
      <alignment horizontal="center" vertical="center"/>
    </xf>
    <xf numFmtId="0" fontId="0" fillId="0" borderId="4" xfId="0" applyBorder="1"/>
    <xf numFmtId="0" fontId="15" fillId="0" borderId="11" xfId="0" applyFont="1" applyBorder="1" applyAlignment="1">
      <alignment horizontal="left" vertical="center" indent="1"/>
    </xf>
    <xf numFmtId="165" fontId="15" fillId="0" borderId="11" xfId="0" applyNumberFormat="1" applyFont="1" applyBorder="1" applyAlignment="1">
      <alignment horizontal="right" vertical="center"/>
    </xf>
    <xf numFmtId="0" fontId="15" fillId="4" borderId="11" xfId="0" applyFont="1" applyFill="1" applyBorder="1" applyAlignment="1">
      <alignment horizontal="left" vertical="center" indent="1"/>
    </xf>
    <xf numFmtId="165" fontId="15" fillId="4" borderId="11" xfId="0" applyNumberFormat="1" applyFont="1" applyFill="1" applyBorder="1" applyAlignment="1">
      <alignment horizontal="right" vertical="center"/>
    </xf>
    <xf numFmtId="0" fontId="14" fillId="2" borderId="4" xfId="0" applyFont="1" applyFill="1" applyBorder="1" applyAlignment="1">
      <alignment horizontal="left" vertical="center" indent="1"/>
    </xf>
    <xf numFmtId="0" fontId="0" fillId="0" borderId="5" xfId="0" applyBorder="1"/>
    <xf numFmtId="0" fontId="16" fillId="0" borderId="0" xfId="0" applyFont="1"/>
    <xf numFmtId="0" fontId="16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4" fillId="2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/>
    </xf>
    <xf numFmtId="168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wrapText="1" indent="1"/>
    </xf>
    <xf numFmtId="165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 indent="1"/>
    </xf>
    <xf numFmtId="0" fontId="15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left" vertical="center" indent="1"/>
    </xf>
    <xf numFmtId="165" fontId="15" fillId="4" borderId="1" xfId="0" applyNumberFormat="1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9" fontId="15" fillId="4" borderId="1" xfId="0" applyNumberFormat="1" applyFont="1" applyFill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169" fontId="15" fillId="0" borderId="1" xfId="0" applyNumberFormat="1" applyFont="1" applyBorder="1" applyAlignment="1">
      <alignment horizontal="center" vertical="center"/>
    </xf>
    <xf numFmtId="0" fontId="12" fillId="0" borderId="2" xfId="0" applyFont="1" applyBorder="1" applyAlignment="1">
      <alignment horizontal="left" vertical="center" indent="1"/>
    </xf>
    <xf numFmtId="0" fontId="13" fillId="5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 indent="1"/>
    </xf>
    <xf numFmtId="167" fontId="13" fillId="5" borderId="1" xfId="0" applyNumberFormat="1" applyFont="1" applyFill="1" applyBorder="1" applyAlignment="1">
      <alignment horizontal="center" vertical="center"/>
    </xf>
    <xf numFmtId="168" fontId="13" fillId="5" borderId="1" xfId="0" applyNumberFormat="1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 indent="1"/>
    </xf>
    <xf numFmtId="0" fontId="13" fillId="5" borderId="1" xfId="0" applyFont="1" applyFill="1" applyBorder="1" applyAlignment="1">
      <alignment horizontal="left" vertical="center" wrapText="1" indent="1"/>
    </xf>
    <xf numFmtId="165" fontId="13" fillId="5" borderId="1" xfId="0" applyNumberFormat="1" applyFont="1" applyFill="1" applyBorder="1" applyAlignment="1">
      <alignment horizontal="left" vertical="center" indent="1"/>
    </xf>
    <xf numFmtId="166" fontId="13" fillId="5" borderId="1" xfId="0" applyNumberFormat="1" applyFont="1" applyFill="1" applyBorder="1" applyAlignment="1">
      <alignment horizontal="left" vertical="center" indent="1"/>
    </xf>
    <xf numFmtId="0" fontId="10" fillId="0" borderId="0" xfId="0" applyFont="1"/>
    <xf numFmtId="0" fontId="0" fillId="0" borderId="0" xfId="0"/>
    <xf numFmtId="0" fontId="8" fillId="0" borderId="0" xfId="0" applyFont="1" applyAlignment="1">
      <alignment horizontal="center" vertical="center"/>
    </xf>
    <xf numFmtId="0" fontId="5" fillId="0" borderId="2" xfId="0" applyFont="1" applyBorder="1" applyAlignment="1">
      <alignment horizontal="left" vertical="center" indent="1"/>
    </xf>
    <xf numFmtId="0" fontId="1" fillId="2" borderId="0" xfId="0" applyFont="1" applyFill="1" applyAlignment="1">
      <alignment horizontal="left" vertical="center"/>
    </xf>
    <xf numFmtId="0" fontId="6" fillId="2" borderId="3" xfId="0" applyFont="1" applyFill="1" applyBorder="1" applyAlignment="1">
      <alignment horizontal="center" vertical="center"/>
    </xf>
    <xf numFmtId="0" fontId="0" fillId="0" borderId="3" xfId="0" applyBorder="1"/>
    <xf numFmtId="0" fontId="2" fillId="2" borderId="0" xfId="0" applyFont="1" applyFill="1" applyAlignment="1">
      <alignment horizontal="left" vertical="center"/>
    </xf>
    <xf numFmtId="0" fontId="21" fillId="2" borderId="0" xfId="0" applyFont="1" applyFill="1" applyAlignment="1">
      <alignment horizontal="left" vertical="center" indent="1"/>
    </xf>
    <xf numFmtId="0" fontId="14" fillId="2" borderId="3" xfId="0" applyFont="1" applyFill="1" applyBorder="1" applyAlignment="1">
      <alignment horizontal="center" vertical="center"/>
    </xf>
    <xf numFmtId="165" fontId="9" fillId="6" borderId="3" xfId="0" applyNumberFormat="1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left" vertical="center" indent="1"/>
    </xf>
    <xf numFmtId="0" fontId="16" fillId="0" borderId="0" xfId="0" applyFont="1" applyAlignment="1">
      <alignment horizontal="left" vertical="center"/>
    </xf>
    <xf numFmtId="0" fontId="15" fillId="0" borderId="0" xfId="0" applyFont="1" applyAlignment="1">
      <alignment horizontal="left" vertical="center" wrapText="1"/>
    </xf>
    <xf numFmtId="0" fontId="17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8" fillId="5" borderId="6" xfId="0" applyFont="1" applyFill="1" applyBorder="1" applyAlignment="1">
      <alignment horizontal="center" vertical="center"/>
    </xf>
    <xf numFmtId="0" fontId="0" fillId="0" borderId="6" xfId="0" applyBorder="1"/>
    <xf numFmtId="0" fontId="19" fillId="5" borderId="7" xfId="0" applyFont="1" applyFill="1" applyBorder="1" applyAlignment="1">
      <alignment horizontal="left" vertical="center" indent="1"/>
    </xf>
    <xf numFmtId="0" fontId="0" fillId="5" borderId="8" xfId="0" applyFill="1" applyBorder="1"/>
    <xf numFmtId="0" fontId="0" fillId="5" borderId="9" xfId="0" applyFill="1" applyBorder="1"/>
    <xf numFmtId="0" fontId="10" fillId="0" borderId="0" xfId="0" applyFont="1" applyAlignment="1">
      <alignment horizontal="right" vertical="center"/>
    </xf>
    <xf numFmtId="0" fontId="3" fillId="4" borderId="3" xfId="0" applyFont="1" applyFill="1" applyBorder="1" applyAlignment="1">
      <alignment horizontal="left" vertical="center" indent="1"/>
    </xf>
    <xf numFmtId="168" fontId="3" fillId="4" borderId="3" xfId="0" applyNumberFormat="1" applyFont="1" applyFill="1" applyBorder="1" applyAlignment="1">
      <alignment horizontal="left" vertical="center" indent="1"/>
    </xf>
    <xf numFmtId="0" fontId="11" fillId="2" borderId="0" xfId="0" applyFont="1" applyFill="1" applyAlignment="1">
      <alignment horizontal="left" vertical="center" indent="1"/>
    </xf>
    <xf numFmtId="0" fontId="3" fillId="0" borderId="0" xfId="0" applyFont="1" applyAlignment="1">
      <alignment horizontal="left" vertical="center"/>
    </xf>
    <xf numFmtId="0" fontId="20" fillId="7" borderId="10" xfId="0" applyFont="1" applyFill="1" applyBorder="1" applyAlignment="1">
      <alignment horizontal="left" vertical="center" indent="1"/>
    </xf>
    <xf numFmtId="0" fontId="20" fillId="7" borderId="10" xfId="0" applyFont="1" applyFill="1" applyBorder="1" applyAlignment="1">
      <alignment horizontal="center" vertical="center"/>
    </xf>
    <xf numFmtId="165" fontId="15" fillId="0" borderId="11" xfId="0" applyNumberFormat="1" applyFont="1" applyBorder="1" applyAlignment="1">
      <alignment horizontal="center" vertical="center"/>
    </xf>
    <xf numFmtId="0" fontId="20" fillId="7" borderId="10" xfId="0" applyFont="1" applyFill="1" applyBorder="1" applyAlignment="1">
      <alignment horizontal="left" vertical="center"/>
    </xf>
    <xf numFmtId="0" fontId="24" fillId="0" borderId="0" xfId="0" applyFont="1"/>
    <xf numFmtId="0" fontId="20" fillId="7" borderId="10" xfId="0" applyFont="1" applyFill="1" applyBorder="1" applyAlignment="1">
      <alignment horizontal="right" vertical="center"/>
    </xf>
    <xf numFmtId="165" fontId="15" fillId="4" borderId="11" xfId="0" applyNumberFormat="1" applyFont="1" applyFill="1" applyBorder="1" applyAlignment="1">
      <alignment horizontal="center" vertical="center"/>
    </xf>
    <xf numFmtId="165" fontId="14" fillId="2" borderId="4" xfId="0" applyNumberFormat="1" applyFont="1" applyFill="1" applyBorder="1" applyAlignment="1">
      <alignment horizontal="center" vertical="center"/>
    </xf>
    <xf numFmtId="0" fontId="22" fillId="7" borderId="0" xfId="0" applyFont="1" applyFill="1"/>
    <xf numFmtId="0" fontId="25" fillId="0" borderId="0" xfId="1" applyFont="1"/>
    <xf numFmtId="0" fontId="26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0" fillId="0" borderId="0" xfId="0" applyFont="1"/>
    <xf numFmtId="0" fontId="31" fillId="0" borderId="0" xfId="0" applyFont="1"/>
    <xf numFmtId="0" fontId="32" fillId="8" borderId="0" xfId="0" applyFont="1" applyFill="1"/>
    <xf numFmtId="0" fontId="32" fillId="8" borderId="0" xfId="0" applyFont="1" applyFill="1" applyAlignment="1">
      <alignment horizontal="center"/>
    </xf>
    <xf numFmtId="0" fontId="0" fillId="0" borderId="0" xfId="0" applyBorder="1"/>
    <xf numFmtId="168" fontId="0" fillId="0" borderId="0" xfId="0" applyNumberFormat="1" applyBorder="1"/>
    <xf numFmtId="0" fontId="0" fillId="0" borderId="0" xfId="0" applyBorder="1" applyAlignment="1">
      <alignment horizontal="right"/>
    </xf>
    <xf numFmtId="0" fontId="32" fillId="8" borderId="12" xfId="0" applyFont="1" applyFill="1" applyBorder="1" applyAlignment="1">
      <alignment horizontal="center"/>
    </xf>
    <xf numFmtId="0" fontId="32" fillId="8" borderId="12" xfId="0" applyFont="1" applyFill="1" applyBorder="1"/>
    <xf numFmtId="0" fontId="32" fillId="8" borderId="12" xfId="0" applyFont="1" applyFill="1" applyBorder="1" applyAlignment="1">
      <alignment horizontal="right"/>
    </xf>
    <xf numFmtId="0" fontId="26" fillId="7" borderId="13" xfId="0" applyFont="1" applyFill="1" applyBorder="1"/>
    <xf numFmtId="0" fontId="0" fillId="7" borderId="13" xfId="0" applyFill="1" applyBorder="1"/>
    <xf numFmtId="1" fontId="22" fillId="7" borderId="13" xfId="0" applyNumberFormat="1" applyFont="1" applyFill="1" applyBorder="1" applyAlignment="1">
      <alignment horizontal="right"/>
    </xf>
    <xf numFmtId="0" fontId="26" fillId="9" borderId="0" xfId="0" applyFont="1" applyFill="1"/>
    <xf numFmtId="0" fontId="33" fillId="0" borderId="0" xfId="0" applyFont="1"/>
    <xf numFmtId="0" fontId="34" fillId="0" borderId="0" xfId="0" applyFont="1"/>
    <xf numFmtId="0" fontId="36" fillId="0" borderId="0" xfId="0" applyFont="1"/>
    <xf numFmtId="3" fontId="27" fillId="0" borderId="0" xfId="0" applyNumberFormat="1" applyFont="1"/>
    <xf numFmtId="171" fontId="27" fillId="0" borderId="0" xfId="0" applyNumberFormat="1" applyFont="1"/>
    <xf numFmtId="0" fontId="37" fillId="0" borderId="0" xfId="0" applyFont="1" applyBorder="1" applyAlignment="1">
      <alignment horizontal="right"/>
    </xf>
    <xf numFmtId="0" fontId="38" fillId="8" borderId="0" xfId="0" applyFont="1" applyFill="1" applyBorder="1" applyAlignment="1">
      <alignment horizontal="right"/>
    </xf>
    <xf numFmtId="0" fontId="37" fillId="0" borderId="14" xfId="0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49" fontId="15" fillId="0" borderId="11" xfId="0" applyNumberFormat="1" applyFont="1" applyBorder="1" applyAlignment="1">
      <alignment horizontal="left" vertical="center" indent="1"/>
    </xf>
    <xf numFmtId="49" fontId="15" fillId="4" borderId="11" xfId="0" applyNumberFormat="1" applyFont="1" applyFill="1" applyBorder="1" applyAlignment="1">
      <alignment horizontal="left" vertical="center" indent="1"/>
    </xf>
    <xf numFmtId="0" fontId="14" fillId="0" borderId="4" xfId="0" applyFont="1" applyFill="1" applyBorder="1" applyAlignment="1">
      <alignment horizontal="left" vertical="center" indent="1"/>
    </xf>
    <xf numFmtId="165" fontId="14" fillId="0" borderId="4" xfId="0" applyNumberFormat="1" applyFont="1" applyFill="1" applyBorder="1" applyAlignment="1">
      <alignment horizontal="right" vertical="center"/>
    </xf>
    <xf numFmtId="0" fontId="0" fillId="0" borderId="0" xfId="0" applyFill="1"/>
    <xf numFmtId="175" fontId="22" fillId="0" borderId="14" xfId="0" applyNumberFormat="1" applyFont="1" applyBorder="1" applyAlignment="1">
      <alignment horizontal="right"/>
    </xf>
    <xf numFmtId="175" fontId="22" fillId="0" borderId="0" xfId="0" applyNumberFormat="1" applyFont="1" applyBorder="1" applyAlignment="1">
      <alignment horizontal="right"/>
    </xf>
    <xf numFmtId="175" fontId="39" fillId="8" borderId="0" xfId="0" applyNumberFormat="1" applyFont="1" applyFill="1" applyBorder="1" applyAlignment="1">
      <alignment horizontal="right"/>
    </xf>
    <xf numFmtId="176" fontId="27" fillId="0" borderId="0" xfId="0" applyNumberFormat="1" applyFont="1"/>
    <xf numFmtId="176" fontId="0" fillId="0" borderId="0" xfId="0" applyNumberFormat="1" applyBorder="1"/>
    <xf numFmtId="176" fontId="22" fillId="7" borderId="13" xfId="0" applyNumberFormat="1" applyFont="1" applyFill="1" applyBorder="1"/>
    <xf numFmtId="176" fontId="7" fillId="4" borderId="3" xfId="0" applyNumberFormat="1" applyFont="1" applyFill="1" applyBorder="1" applyAlignment="1">
      <alignment horizontal="center" vertical="center"/>
    </xf>
    <xf numFmtId="176" fontId="0" fillId="0" borderId="3" xfId="0" applyNumberFormat="1" applyBorder="1"/>
    <xf numFmtId="176" fontId="9" fillId="6" borderId="3" xfId="0" applyNumberFormat="1" applyFont="1" applyFill="1" applyBorder="1" applyAlignment="1">
      <alignment horizontal="center" vertical="center"/>
    </xf>
    <xf numFmtId="176" fontId="15" fillId="0" borderId="11" xfId="0" applyNumberFormat="1" applyFont="1" applyBorder="1" applyAlignment="1">
      <alignment horizontal="right" vertical="center"/>
    </xf>
    <xf numFmtId="176" fontId="15" fillId="4" borderId="11" xfId="0" applyNumberFormat="1" applyFont="1" applyFill="1" applyBorder="1" applyAlignment="1">
      <alignment horizontal="right" vertical="center"/>
    </xf>
    <xf numFmtId="176" fontId="14" fillId="0" borderId="4" xfId="0" applyNumberFormat="1" applyFont="1" applyFill="1" applyBorder="1" applyAlignment="1">
      <alignment horizontal="right" vertical="center"/>
    </xf>
    <xf numFmtId="176" fontId="0" fillId="0" borderId="0" xfId="0" applyNumberFormat="1" applyFill="1"/>
    <xf numFmtId="176" fontId="14" fillId="2" borderId="4" xfId="0" applyNumberFormat="1" applyFont="1" applyFill="1" applyBorder="1" applyAlignment="1">
      <alignment horizontal="right" vertical="center"/>
    </xf>
    <xf numFmtId="176" fontId="15" fillId="0" borderId="1" xfId="0" applyNumberFormat="1" applyFont="1" applyBorder="1" applyAlignment="1">
      <alignment horizontal="right" vertical="center"/>
    </xf>
    <xf numFmtId="176" fontId="22" fillId="7" borderId="0" xfId="0" applyNumberFormat="1" applyFont="1" applyFill="1"/>
    <xf numFmtId="176" fontId="0" fillId="0" borderId="0" xfId="0" applyNumberFormat="1"/>
    <xf numFmtId="0" fontId="44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/>
    </xf>
    <xf numFmtId="0" fontId="41" fillId="9" borderId="0" xfId="1" applyFont="1" applyFill="1" applyAlignment="1">
      <alignment horizontal="center" vertical="center"/>
    </xf>
    <xf numFmtId="0" fontId="44" fillId="9" borderId="0" xfId="0" applyFont="1" applyFill="1" applyAlignment="1">
      <alignment horizontal="center"/>
    </xf>
    <xf numFmtId="0" fontId="13" fillId="9" borderId="0" xfId="0" applyFont="1" applyFill="1" applyBorder="1" applyAlignment="1">
      <alignment horizontal="left" vertical="center" indent="1"/>
    </xf>
    <xf numFmtId="0" fontId="14" fillId="8" borderId="0" xfId="0" applyFont="1" applyFill="1" applyBorder="1" applyAlignment="1">
      <alignment horizontal="left" vertical="center" indent="1"/>
    </xf>
    <xf numFmtId="0" fontId="42" fillId="0" borderId="0" xfId="0" applyFont="1" applyAlignment="1">
      <alignment wrapText="1"/>
    </xf>
    <xf numFmtId="0" fontId="45" fillId="0" borderId="0" xfId="0" applyFont="1" applyAlignment="1">
      <alignment wrapText="1"/>
    </xf>
    <xf numFmtId="0" fontId="47" fillId="0" borderId="0" xfId="0" applyFont="1" applyAlignment="1">
      <alignment horizontal="left" vertical="center"/>
    </xf>
    <xf numFmtId="0" fontId="0" fillId="0" borderId="15" xfId="0" applyBorder="1"/>
    <xf numFmtId="0" fontId="49" fillId="7" borderId="0" xfId="0" applyFont="1" applyFill="1" applyAlignment="1">
      <alignment horizontal="right"/>
    </xf>
    <xf numFmtId="0" fontId="50" fillId="8" borderId="0" xfId="0" applyFont="1" applyFill="1"/>
    <xf numFmtId="0" fontId="46" fillId="0" borderId="0" xfId="0" applyFont="1"/>
    <xf numFmtId="0" fontId="35" fillId="0" borderId="4" xfId="0" applyFont="1" applyBorder="1"/>
    <xf numFmtId="0" fontId="22" fillId="0" borderId="4" xfId="0" applyFont="1" applyBorder="1"/>
    <xf numFmtId="3" fontId="22" fillId="0" borderId="4" xfId="0" applyNumberFormat="1" applyFont="1" applyBorder="1"/>
    <xf numFmtId="168" fontId="22" fillId="0" borderId="4" xfId="0" applyNumberFormat="1" applyFont="1" applyBorder="1"/>
    <xf numFmtId="176" fontId="22" fillId="0" borderId="4" xfId="0" applyNumberFormat="1" applyFont="1" applyBorder="1"/>
    <xf numFmtId="0" fontId="51" fillId="0" borderId="0" xfId="1" applyFont="1"/>
    <xf numFmtId="0" fontId="52" fillId="0" borderId="0" xfId="0" applyFont="1"/>
    <xf numFmtId="0" fontId="53" fillId="0" borderId="0" xfId="0" applyFont="1"/>
    <xf numFmtId="0" fontId="54" fillId="8" borderId="0" xfId="0" applyFont="1" applyFill="1"/>
    <xf numFmtId="0" fontId="53" fillId="0" borderId="0" xfId="0" applyFont="1" applyAlignment="1">
      <alignment wrapText="1"/>
    </xf>
    <xf numFmtId="0" fontId="55" fillId="10" borderId="0" xfId="0" applyFont="1" applyFill="1" applyAlignment="1">
      <alignment vertical="top" wrapText="1"/>
    </xf>
    <xf numFmtId="0" fontId="56" fillId="8" borderId="0" xfId="0" applyFont="1" applyFill="1" applyAlignment="1">
      <alignment vertical="top" wrapText="1"/>
    </xf>
    <xf numFmtId="0" fontId="48" fillId="7" borderId="0" xfId="0" applyFont="1" applyFill="1" applyAlignment="1">
      <alignment horizontal="center"/>
    </xf>
    <xf numFmtId="0" fontId="57" fillId="7" borderId="0" xfId="0" applyFont="1" applyFill="1" applyAlignment="1">
      <alignment horizontal="center"/>
    </xf>
    <xf numFmtId="0" fontId="48" fillId="7" borderId="4" xfId="0" applyFont="1" applyFill="1" applyBorder="1" applyAlignment="1">
      <alignment horizontal="center"/>
    </xf>
    <xf numFmtId="0" fontId="51" fillId="7" borderId="0" xfId="1" applyFont="1" applyFill="1" applyAlignment="1">
      <alignment horizontal="center"/>
    </xf>
    <xf numFmtId="0" fontId="40" fillId="10" borderId="0" xfId="0" applyFont="1" applyFill="1" applyAlignment="1">
      <alignment vertical="top" wrapText="1"/>
    </xf>
  </cellXfs>
  <cellStyles count="2">
    <cellStyle name="Hyperlink" xfId="1" builtinId="8"/>
    <cellStyle name="Normal" xfId="0" builtinId="0"/>
  </cellStyles>
  <dxfs count="84">
    <dxf>
      <font>
        <i/>
        <sz val="10"/>
        <color rgb="FF9CA3AF"/>
      </font>
      <alignment wrapText="1"/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0B2447"/>
        <name val="Calibri"/>
      </font>
      <fill>
        <patternFill patternType="solid">
          <fgColor rgb="FFFDF4D4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i val="0"/>
        <color rgb="FF58151C"/>
      </font>
      <fill>
        <patternFill patternType="solid">
          <fgColor indexed="64"/>
          <bgColor rgb="FFF5C2C7"/>
        </patternFill>
      </fill>
    </dxf>
    <dxf>
      <font>
        <b/>
        <i val="0"/>
        <color rgb="FF721C24"/>
      </font>
      <fill>
        <patternFill patternType="solid">
          <fgColor indexed="64"/>
          <bgColor rgb="FFF8D7DA"/>
        </patternFill>
      </fill>
    </dxf>
    <dxf>
      <font>
        <b/>
        <i val="0"/>
        <color rgb="FF7C4A03"/>
      </font>
      <fill>
        <patternFill patternType="solid">
          <fgColor indexed="64"/>
          <bgColor rgb="FFFFE5B4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i val="0"/>
        <color rgb="FF155724"/>
      </font>
      <fill>
        <patternFill patternType="solid">
          <fgColor indexed="64"/>
          <bgColor rgb="FFD4EDDA"/>
        </patternFill>
      </fill>
    </dxf>
    <dxf>
      <font>
        <b/>
        <i val="0"/>
        <color rgb="FF383D41"/>
      </font>
      <fill>
        <patternFill patternType="solid">
          <fgColor indexed="64"/>
          <bgColor rgb="FFE2E3E5"/>
        </patternFill>
      </fill>
    </dxf>
    <dxf>
      <font>
        <b/>
        <i val="0"/>
        <color rgb="FF7C4A03"/>
      </font>
      <fill>
        <patternFill patternType="solid">
          <fgColor indexed="64"/>
          <bgColor rgb="FFFCE4B6"/>
        </patternFill>
      </fill>
    </dxf>
    <dxf>
      <font>
        <b/>
        <i val="0"/>
        <color rgb="FF0F5132"/>
      </font>
      <fill>
        <patternFill patternType="solid">
          <fgColor indexed="64"/>
          <bgColor rgb="FFC3E6CB"/>
        </patternFill>
      </fill>
    </dxf>
    <dxf>
      <font>
        <b/>
        <i val="0"/>
        <color rgb="FF0C5460"/>
      </font>
      <fill>
        <patternFill patternType="solid">
          <fgColor indexed="64"/>
          <bgColor rgb="FFD1ECF1"/>
        </patternFill>
      </fill>
    </dxf>
    <dxf>
      <font>
        <b/>
        <i val="0"/>
        <color rgb="FF856404"/>
      </font>
      <fill>
        <patternFill patternType="solid">
          <fgColor indexed="64"/>
          <bgColor rgb="FFFFF3CD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b/>
        <sz val="11"/>
        <color rgb="FF991B1B"/>
        <name val="Calibri"/>
      </font>
      <fill>
        <patternFill patternType="solid">
          <fgColor rgb="FFFCE4E4"/>
        </patternFill>
      </fill>
    </dxf>
    <dxf>
      <font>
        <b/>
        <sz val="11"/>
        <color rgb="FF8B4513"/>
        <name val="Calibri"/>
      </font>
      <fill>
        <patternFill patternType="solid">
          <fgColor rgb="FFFFE0B2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ont>
        <i/>
        <sz val="11"/>
        <color rgb="FF6B7280"/>
        <name val="Calibri"/>
      </font>
      <fill>
        <patternFill patternType="solid">
          <fgColor rgb="FFF3F4F6"/>
        </patternFill>
      </fill>
    </dxf>
    <dxf>
      <font>
        <b/>
        <sz val="11"/>
        <color rgb="FF1F3D8E"/>
        <name val="Calibri"/>
      </font>
      <fill>
        <patternFill patternType="solid">
          <fgColor rgb="FFFDF4D4"/>
        </patternFill>
      </fill>
    </dxf>
    <dxf>
      <font>
        <b/>
        <sz val="11"/>
        <color rgb="FF92400E"/>
        <name val="Calibri"/>
      </font>
      <fill>
        <patternFill patternType="solid">
          <fgColor rgb="FFFEF3C7"/>
        </patternFill>
      </fill>
    </dxf>
    <dxf>
      <font>
        <b/>
        <sz val="11"/>
        <color rgb="FF166534"/>
        <name val="Calibri"/>
      </font>
      <fill>
        <patternFill patternType="solid">
          <fgColor rgb="FFDCFCE7"/>
        </patternFill>
      </fill>
    </dxf>
    <dxf>
      <fill>
        <patternFill patternType="solid">
          <fgColor indexed="64"/>
          <bgColor rgb="FFF4F6FB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color rgb="FFFFFFFF"/>
      </font>
      <fill>
        <patternFill patternType="solid">
          <fgColor indexed="64"/>
          <bgColor rgb="FF1F3D8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left" vertical="center" textRotation="0" wrapText="1" indent="1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alignment wrapText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6" formatCode="[$$-409]#,##0"/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FDF4D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111827"/>
        <name val="Calibri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rgb="FFE5E7EB"/>
        </left>
        <right style="thin">
          <color rgb="FFE5E7EB"/>
        </right>
        <top style="thin">
          <color rgb="FFE5E7EB"/>
        </top>
        <bottom style="thin">
          <color rgb="FFE5E7EB"/>
        </bottom>
        <vertical/>
        <horizontal/>
      </border>
    </dxf>
    <dxf>
      <font>
        <b/>
      </font>
      <fill>
        <patternFill patternType="solid">
          <fgColor indexed="64"/>
          <bgColor rgb="FFFDF4D4"/>
        </patternFill>
      </fill>
    </dxf>
    <dxf>
      <font>
        <b/>
      </font>
      <fill>
        <patternFill patternType="solid">
          <fgColor indexed="64"/>
          <bgColor rgb="FFFDF4D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Cover!A1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76</xdr:row>
      <xdr:rowOff>0</xdr:rowOff>
    </xdr:from>
    <xdr:ext cx="952500" cy="333375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8</xdr:col>
      <xdr:colOff>0</xdr:colOff>
      <xdr:row>74</xdr:row>
      <xdr:rowOff>0</xdr:rowOff>
    </xdr:from>
    <xdr:ext cx="762000" cy="7620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twoCellAnchor editAs="oneCell">
    <xdr:from>
      <xdr:col>1</xdr:col>
      <xdr:colOff>0</xdr:colOff>
      <xdr:row>1</xdr:row>
      <xdr:rowOff>0</xdr:rowOff>
    </xdr:from>
    <xdr:to>
      <xdr:col>2</xdr:col>
      <xdr:colOff>219274</xdr:colOff>
      <xdr:row>3</xdr:row>
      <xdr:rowOff>162018</xdr:rowOff>
    </xdr:to>
    <xdr:pic>
      <xdr:nvPicPr>
        <xdr:cNvPr id="5" name="Picture 4" descr="Picture">
          <a:hlinkClick xmlns:r="http://schemas.openxmlformats.org/officeDocument/2006/relationships" r:id="rId3" tooltip="Go to 📋 Cover"/>
          <a:extLst>
            <a:ext uri="{FF2B5EF4-FFF2-40B4-BE49-F238E27FC236}">
              <a16:creationId xmlns:a16="http://schemas.microsoft.com/office/drawing/2014/main" id="{A80CD1FE-97C5-BCC8-A18A-39ECEB5A0A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350" y="228600"/>
          <a:ext cx="1428949" cy="666843"/>
        </a:xfrm>
        <a:prstGeom prst="rect">
          <a:avLst/>
        </a:prstGeom>
      </xdr:spPr>
    </xdr:pic>
    <xdr:clientData/>
  </xdr:twoCellAnchor>
  <xdr:twoCellAnchor>
    <xdr:from>
      <xdr:col>1</xdr:col>
      <xdr:colOff>50000</xdr:colOff>
      <xdr:row>35</xdr:row>
      <xdr:rowOff>10000</xdr:rowOff>
    </xdr:from>
    <xdr:to>
      <xdr:col>3</xdr:col>
      <xdr:colOff>-50000</xdr:colOff>
      <xdr:row>36</xdr:row>
      <xdr:rowOff>-10000</xdr:rowOff>
    </xdr:to>
    <xdr:sp macro="[0]!EmailClaim" textlink="">
      <xdr:nvSpPr>
        <xdr:cNvPr id="1001" name="EmailClaim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1F4E79"/>
        </a:solidFill>
        <a:ln w="12700">
          <a:solidFill>
            <a:srgbClr val="1F4E79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Open Email Draft</a:t>
          </a:r>
        </a:p>
      </xdr:txBody>
    </xdr:sp>
    <xdr:clientData/>
  </xdr:twoCellAnchor>
  <xdr:twoCellAnchor>
    <xdr:from>
      <xdr:col>4</xdr:col>
      <xdr:colOff>50000</xdr:colOff>
      <xdr:row>35</xdr:row>
      <xdr:rowOff>10000</xdr:rowOff>
    </xdr:from>
    <xdr:to>
      <xdr:col>6</xdr:col>
      <xdr:colOff>-50000</xdr:colOff>
      <xdr:row>36</xdr:row>
      <xdr:rowOff>-10000</xdr:rowOff>
    </xdr:to>
    <xdr:sp macro="[0]!PublishInvoicePDF" textlink="">
      <xdr:nvSpPr>
        <xdr:cNvPr id="1002" name="PublishInvoicePDFButton"/>
        <xdr:cNvSpPr/>
      </xdr:nvSpPr>
      <xdr:spPr>
        <a:xfrm>
          <a:off x="0" y="0"/>
          <a:ext cx="0" cy="0"/>
        </a:xfrm>
        <a:prstGeom prst="roundRect">
          <a:avLst/>
        </a:prstGeom>
        <a:solidFill>
          <a:srgbClr val="047857"/>
        </a:solidFill>
        <a:ln w="12700">
          <a:solidFill>
            <a:srgbClr val="047857"/>
          </a:solidFill>
        </a:ln>
        <a:effectLst>
          <a:outerShdw blurRad="40000" dist="20000" dir="5400000" rotWithShape="0">
            <a:srgbClr val="000000">
              <a:alpha val="20000"/>
            </a:srgb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lIns="36000" tIns="18000" rIns="36000" bIns="18000" anchor="ctr"/>
        <a:lstStyle/>
        <a:p>
          <a:pPr algn="ctr"/>
          <a:r>
            <a:rPr lang="en-US" sz="1200" b="1">
              <a:solidFill>
                <a:srgbClr val="FFFFFF"/>
              </a:solidFill>
              <a:latin typeface="Calibri"/>
            </a:rPr>
            <a:t>Publish PDF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aims" displayName="Claims" ref="B6:R16" totalsRowCount="1" totalsRowDxfId="83">
  <autoFilter ref="B6:R15" xr:uid="{00000000-0009-0000-0100-000001000000}"/>
  <tableColumns count="17">
    <tableColumn id="2" xr3:uid="{00000000-0010-0000-0000-000002000000}" name="Claim No." totalsRowLabel="Total" totalsRowDxfId="55"/>
    <tableColumn id="3" xr3:uid="{00000000-0010-0000-0000-000003000000}" name="Issue Date" totalsRowDxfId="54"/>
    <tableColumn id="4" xr3:uid="{00000000-0010-0000-0000-000004000000}" name="Deal No." totalsRowDxfId="53"/>
    <tableColumn id="5" xr3:uid="{00000000-0010-0000-0000-000005000000}" name="Consignee" totalsRowDxfId="52"/>
    <tableColumn id="6" xr3:uid="{00000000-0010-0000-0000-000006000000}" name="Bill-To Address" dataDxfId="57" totalsRowDxfId="51">
      <calculatedColumnFormula>IFERROR(VLOOKUP(E7,Consignees[],2,FALSE),"")</calculatedColumnFormula>
    </tableColumn>
    <tableColumn id="7" xr3:uid="{00000000-0010-0000-0000-000007000000}" name="Period From" totalsRowDxfId="50"/>
    <tableColumn id="8" xr3:uid="{00000000-0010-0000-0000-000008000000}" name="Period To" totalsRowDxfId="49"/>
    <tableColumn id="9" xr3:uid="{00000000-0010-0000-0000-000009000000}" name="# Trips" totalsRowFunction="sum" totalsRowDxfId="48"/>
    <tableColumn id="10" xr3:uid="{00000000-0010-0000-0000-00000A000000}" name="Amount (USD)" totalsRowFunction="sum" totalsRowDxfId="47"/>
    <tableColumn id="11" xr3:uid="{00000000-0010-0000-0000-00000B000000}" name="Currency" totalsRowDxfId="46"/>
    <tableColumn id="12" xr3:uid="{00000000-0010-0000-0000-00000C000000}" name="Status" totalsRowDxfId="45"/>
    <tableColumn id="13" xr3:uid="{00000000-0010-0000-0000-00000D000000}" name="Due Date" totalsRowDxfId="44"/>
    <tableColumn id="14" xr3:uid="{00000000-0010-0000-0000-00000E000000}" name="Paid Date" totalsRowDxfId="43"/>
    <tableColumn id="15" xr3:uid="{00000000-0010-0000-0000-00000F000000}" name="Days Overdue" totalsRowDxfId="42"/>
    <tableColumn id="16" xr3:uid="{00000000-0010-0000-0000-000010000000}" name="Aging" dataDxfId="81" totalsRowDxfId="41">
      <calculatedColumnFormula>IF(L7="Paid","Paid",IF(L7&lt;&gt;"Sent","",IF(ISNUMBER(O7),IF(O7&lt;=0,"Current",IF(O7&lt;=30,"1-30",IF(O7&lt;=60,"31-60",IF(O7&lt;=90,"61-90","90+")))),"")))</calculatedColumnFormula>
    </tableColumn>
    <tableColumn id="17" xr3:uid="{00000000-0010-0000-0000-000011000000}" name="Notes" totalsRowDxfId="40"/>
    <tableColumn id="1" xr3:uid="{A8BD4A48-1FB0-41DC-ACAB-F48EAC2E2CCA}" name="Actions" totalsRowDxfId="39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rips" displayName="Trips" ref="B6:V138" totalsRowCount="1" totalsRowDxfId="82">
  <autoFilter ref="B6:V137" xr:uid="{00000000-0009-0000-0100-000002000000}"/>
  <tableColumns count="21">
    <tableColumn id="2" xr3:uid="{00000000-0010-0000-0100-000002000000}" name="Deal No." totalsRowLabel="Total" totalsRowDxfId="80"/>
    <tableColumn id="3" xr3:uid="{00000000-0010-0000-0100-000003000000}" name="Claim No." totalsRowDxfId="79"/>
    <tableColumn id="4" xr3:uid="{00000000-0010-0000-0100-000004000000}" name="Consignee" totalsRowDxfId="78"/>
    <tableColumn id="5" xr3:uid="{00000000-0010-0000-0100-000005000000}" name="Date Loaded" totalsRowDxfId="77"/>
    <tableColumn id="6" xr3:uid="{00000000-0010-0000-0100-000006000000}" name="Loading Port" totalsRowDxfId="76"/>
    <tableColumn id="7" xr3:uid="{00000000-0010-0000-0100-000007000000}" name="Destination" totalsRowDxfId="75"/>
    <tableColumn id="8" xr3:uid="{00000000-0010-0000-0100-000008000000}" name="Product" totalsRowDxfId="74"/>
    <tableColumn id="9" xr3:uid="{00000000-0010-0000-0100-000009000000}" name="Truck No." totalsRowDxfId="73"/>
    <tableColumn id="10" xr3:uid="{00000000-0010-0000-0100-00000A000000}" name="Trailer Reg." totalsRowDxfId="72"/>
    <tableColumn id="11" xr3:uid="{00000000-0010-0000-0100-00000B000000}" name="Transporter" totalsRowDxfId="71"/>
    <tableColumn id="12" xr3:uid="{00000000-0010-0000-0100-00000C000000}" name="Driver" totalsRowDxfId="70"/>
    <tableColumn id="13" xr3:uid="{00000000-0010-0000-0100-00000D000000}" name="Arrival" totalsRowDxfId="69"/>
    <tableColumn id="14" xr3:uid="{00000000-0010-0000-0100-00000E000000}" name="Offloaded" totalsRowDxfId="68"/>
    <tableColumn id="15" xr3:uid="{00000000-0010-0000-0100-00000F000000}" name="Waiting (d)" totalsRowFunction="sum" totalsRowDxfId="67"/>
    <tableColumn id="16" xr3:uid="{00000000-0010-0000-0100-000010000000}" name="Laytime (d)" totalsRowDxfId="66"/>
    <tableColumn id="17" xr3:uid="{00000000-0010-0000-0100-000011000000}" name="Excess (d)" totalsRowFunction="sum" totalsRowDxfId="65"/>
    <tableColumn id="18" xr3:uid="{00000000-0010-0000-0100-000012000000}" name="Rate (USD)" totalsRowDxfId="61"/>
    <tableColumn id="19" xr3:uid="{00000000-0010-0000-0100-000013000000}" name="Demurrage (USD)" totalsRowFunction="sum" totalsRowDxfId="60"/>
    <tableColumn id="20" xr3:uid="{00000000-0010-0000-0100-000014000000}" name="Status" totalsRowDxfId="64"/>
    <tableColumn id="21" xr3:uid="{00000000-0010-0000-0100-000015000000}" name="Sanity" totalsRowDxfId="63"/>
    <tableColumn id="22" xr3:uid="{00000000-0010-0000-0100-000016000000}" name="Month" totalsRowDxfId="62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eals" displayName="Deals" ref="B6:K30">
  <autoFilter ref="B6:K30" xr:uid="{00000000-0009-0000-0100-000003000000}"/>
  <tableColumns count="10">
    <tableColumn id="2" xr3:uid="{00000000-0010-0000-0200-000002000000}" name="Deal No."/>
    <tableColumn id="3" xr3:uid="{00000000-0010-0000-0200-000003000000}" name="Consignee"/>
    <tableColumn id="4" xr3:uid="{00000000-0010-0000-0200-000004000000}" name="Route"/>
    <tableColumn id="5" xr3:uid="{00000000-0010-0000-0200-000005000000}" name="Loading Port"/>
    <tableColumn id="6" xr3:uid="{00000000-0010-0000-0200-000006000000}" name="Destination"/>
    <tableColumn id="7" xr3:uid="{00000000-0010-0000-0200-000007000000}" name="Product"/>
    <tableColumn id="8" xr3:uid="{00000000-0010-0000-0200-000008000000}" name="Laytime (days)"/>
    <tableColumn id="9" xr3:uid="{00000000-0010-0000-0200-000009000000}" name="Rate (USD/day)"/>
    <tableColumn id="10" xr3:uid="{00000000-0010-0000-0200-00000A000000}" name="Transport (USD/m³)"/>
    <tableColumn id="11" xr3:uid="{00000000-0010-0000-0200-00000B000000}" name="Transporter"/>
  </tableColumns>
  <tableStyleInfo name="TableStyleLight1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F4CACB-070F-45B2-9237-6A66DDA6B250}" name="Consignees" displayName="Consignees" ref="B30:E33" totalsRowShown="0">
  <autoFilter ref="B30:E33" xr:uid="{2CF4CACB-070F-45B2-9237-6A66DDA6B250}"/>
  <tableColumns count="4">
    <tableColumn id="1" xr3:uid="{C2FCFED3-D8CF-4BB8-A90F-0E68DF4F5BC1}" name="Consignee" dataDxfId="59"/>
    <tableColumn id="2" xr3:uid="{49C7E1E0-C7B7-4835-8D24-FFF1B784A3BC}" name="Bill-To Address" dataDxfId="58"/>
    <tableColumn id="3" xr3:uid="{9038C522-E3EA-476B-8651-60902CBA5535}" name="Email" dataDxfId="0"/>
    <tableColumn id="4" name="Cc Emails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AC4436-88CE-4168-9C91-C0C9E1D9D121}" name="AuditLog" displayName="AuditLog" ref="B5:I6" totalsRowShown="0" headerRowDxfId="56">
  <autoFilter ref="B5:I6" xr:uid="{4DAC4436-88CE-4168-9C91-C0C9E1D9D121}"/>
  <tableColumns count="8">
    <tableColumn id="1" xr3:uid="{E13CCE66-8540-4E7F-88E7-BA8B10C526A7}" name="Timestamp"/>
    <tableColumn id="2" xr3:uid="{4B208CBC-BF35-4E2D-93AA-FC699C9846E5}" name="User"/>
    <tableColumn id="3" xr3:uid="{9B3C51E1-3399-4302-ABFE-8BA2EDA0DB4E}" name="Sheet"/>
    <tableColumn id="4" xr3:uid="{8A6DB4F1-A63A-4B50-9E08-6BDE1A86A30C}" name="Cell"/>
    <tableColumn id="5" xr3:uid="{F7328EAB-8839-4AF3-958F-6CD800F0C344}" name="Field"/>
    <tableColumn id="6" xr3:uid="{AA374420-FE5A-41A4-8818-E91BF74F555D}" name="Old Value"/>
    <tableColumn id="7" xr3:uid="{0EBDDD69-BFBA-47EF-90DC-8C3CC45CB156}" name="New Value"/>
    <tableColumn id="8" xr3:uid="{770D48D8-54F8-4B1A-994B-6540819D42B1}" name="Action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96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A5145B8-7789-4C66-9D4B-375614AFACCC}">
  <we:reference id="WA200009404" version="1.0.0.8" store="Omex" storeType="OMEX"/>
  <we:alternateReferences>
    <we:reference id="WA200009404" version="1.0.0.8" store="WA200009404" storeType="OMEX"/>
  </we:alternateReferences>
  <we:properties>
    <we:property name="claude.fileId" value="&quot;e654381e-b0f6-4977-aac3-b069fe9f7ade&quot;"/>
  </we:properties>
  <we:bindings/>
  <we:snapshot xmlns:r="http://schemas.openxmlformats.org/officeDocument/2006/relationships"/>
</we:webextension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3D8E"/>
  </sheetPr>
  <dimension ref="A1:J39"/>
  <sheetViews>
    <sheetView showGridLines="0" showRowColHeaders="0" workbookViewId="0"/>
  </sheetViews>
  <sheetFormatPr defaultRowHeight="15" x14ac:dyDescent="0.25"/>
  <cols>
    <col min="1" max="1" width="3" customWidth="1"/>
    <col min="2" max="9" width="18" customWidth="1"/>
    <col min="10" max="10" width="3" customWidth="1"/>
  </cols>
  <sheetData>
    <row r="1" spans="1:10" ht="18" customHeight="1" x14ac:dyDescent="0.25"/>
    <row r="2" spans="1:10" ht="21.95" customHeight="1" x14ac:dyDescent="0.25">
      <c r="A2" s="1"/>
      <c r="B2" s="124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I2" s="1"/>
      <c r="J2" s="1"/>
    </row>
    <row r="3" spans="1:10" ht="18" customHeight="1" x14ac:dyDescent="0.25">
      <c r="A3" s="1"/>
      <c r="B3" s="41" t="s">
        <v>0</v>
      </c>
      <c r="C3" s="38"/>
      <c r="D3" s="38"/>
      <c r="E3" s="38"/>
      <c r="F3" s="38"/>
      <c r="G3" s="38"/>
      <c r="H3" s="38"/>
      <c r="I3" s="38"/>
      <c r="J3" s="1"/>
    </row>
    <row r="4" spans="1:10" ht="18" customHeight="1" x14ac:dyDescent="0.25">
      <c r="A4" s="1"/>
      <c r="B4" s="38"/>
      <c r="C4" s="38"/>
      <c r="D4" s="38"/>
      <c r="E4" s="38"/>
      <c r="F4" s="38"/>
      <c r="G4" s="38"/>
      <c r="H4" s="38"/>
      <c r="I4" s="38"/>
      <c r="J4" s="1"/>
    </row>
    <row r="5" spans="1:10" ht="18" customHeight="1" x14ac:dyDescent="0.25">
      <c r="A5" s="1"/>
      <c r="B5" s="44" t="s">
        <v>1</v>
      </c>
      <c r="C5" s="38"/>
      <c r="D5" s="38"/>
      <c r="E5" s="38"/>
      <c r="F5" s="38"/>
      <c r="G5" s="38"/>
      <c r="H5" s="38"/>
      <c r="I5" s="38"/>
      <c r="J5" s="1"/>
    </row>
    <row r="6" spans="1:10" ht="18" customHeight="1" x14ac:dyDescent="0.25">
      <c r="A6" s="1"/>
      <c r="B6" s="1"/>
      <c r="C6" s="1"/>
      <c r="D6" s="1"/>
      <c r="E6" s="1"/>
      <c r="F6" s="1"/>
      <c r="G6" s="1"/>
      <c r="H6" s="1"/>
      <c r="I6" s="1"/>
      <c r="J6" s="1"/>
    </row>
    <row r="7" spans="1:10" ht="3.95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</row>
    <row r="8" spans="1:10" ht="18" customHeight="1" x14ac:dyDescent="0.25"/>
    <row r="9" spans="1:10" ht="18" customHeight="1" x14ac:dyDescent="0.25"/>
    <row r="10" spans="1:10" ht="18" customHeight="1" x14ac:dyDescent="0.25">
      <c r="B10" s="3" t="s">
        <v>2</v>
      </c>
    </row>
    <row r="11" spans="1:10" ht="18" customHeight="1" x14ac:dyDescent="0.25"/>
    <row r="12" spans="1:10" ht="30" customHeight="1" x14ac:dyDescent="0.25">
      <c r="B12" s="4" t="s">
        <v>3</v>
      </c>
      <c r="C12" s="40" t="s">
        <v>4</v>
      </c>
      <c r="D12" s="38"/>
      <c r="E12" s="38"/>
      <c r="F12" s="38"/>
      <c r="G12" s="38"/>
      <c r="H12" s="38"/>
      <c r="I12" s="38"/>
    </row>
    <row r="13" spans="1:10" ht="30" customHeight="1" x14ac:dyDescent="0.25">
      <c r="B13" s="4" t="s">
        <v>5</v>
      </c>
      <c r="C13" s="40" t="s">
        <v>6</v>
      </c>
      <c r="D13" s="38"/>
      <c r="E13" s="38"/>
      <c r="F13" s="38"/>
      <c r="G13" s="38"/>
      <c r="H13" s="38"/>
      <c r="I13" s="38"/>
    </row>
    <row r="14" spans="1:10" ht="30" customHeight="1" x14ac:dyDescent="0.25">
      <c r="B14" s="4" t="s">
        <v>7</v>
      </c>
      <c r="C14" s="40" t="s">
        <v>8</v>
      </c>
      <c r="D14" s="38"/>
      <c r="E14" s="38"/>
      <c r="F14" s="38"/>
      <c r="G14" s="38"/>
      <c r="H14" s="38"/>
      <c r="I14" s="38"/>
    </row>
    <row r="15" spans="1:10" ht="30" customHeight="1" x14ac:dyDescent="0.25">
      <c r="B15" s="4" t="s">
        <v>9</v>
      </c>
      <c r="C15" s="40" t="s">
        <v>10</v>
      </c>
      <c r="D15" s="38"/>
      <c r="E15" s="38"/>
      <c r="F15" s="38"/>
      <c r="G15" s="38"/>
      <c r="H15" s="38"/>
      <c r="I15" s="38"/>
    </row>
    <row r="16" spans="1:10" ht="18" customHeight="1" x14ac:dyDescent="0.25"/>
    <row r="17" spans="2:9" ht="18" customHeight="1" x14ac:dyDescent="0.25"/>
    <row r="18" spans="2:9" ht="18" customHeight="1" x14ac:dyDescent="0.25"/>
    <row r="19" spans="2:9" ht="18" customHeight="1" x14ac:dyDescent="0.25"/>
    <row r="20" spans="2:9" ht="18" customHeight="1" x14ac:dyDescent="0.25"/>
    <row r="21" spans="2:9" ht="18" customHeight="1" x14ac:dyDescent="0.25"/>
    <row r="22" spans="2:9" ht="18" customHeight="1" x14ac:dyDescent="0.25">
      <c r="B22" s="3" t="s">
        <v>11</v>
      </c>
    </row>
    <row r="23" spans="2:9" ht="18" customHeight="1" x14ac:dyDescent="0.25"/>
    <row r="24" spans="2:9" ht="18" customHeight="1" x14ac:dyDescent="0.25">
      <c r="B24" s="42" t="s">
        <v>12</v>
      </c>
      <c r="C24" s="43"/>
      <c r="D24" s="42" t="s">
        <v>13</v>
      </c>
      <c r="E24" s="43"/>
      <c r="F24" s="42" t="s">
        <v>14</v>
      </c>
      <c r="G24" s="43"/>
      <c r="H24" s="42" t="s">
        <v>15</v>
      </c>
      <c r="I24" s="43"/>
    </row>
    <row r="25" spans="2:9" ht="18" customHeight="1" x14ac:dyDescent="0.25">
      <c r="B25" s="113">
        <f>SUM(Trips[Demurrage (USD)])</f>
        <v>105750</v>
      </c>
      <c r="C25" s="114"/>
      <c r="D25" s="113">
        <f>SUMIFS(Claims[Amount (USD)],Claims[Status],"Sent")+SUMIFS(Claims[Amount (USD)],Claims[Status],"Paid")</f>
        <v>0</v>
      </c>
      <c r="E25" s="114"/>
      <c r="F25" s="113">
        <f>SUMIF(Claims[Status],"Paid",Claims[Amount (USD)])</f>
        <v>0</v>
      </c>
      <c r="G25" s="114"/>
      <c r="H25" s="113">
        <f>SUMIF(Claims[Status],"Sent",Claims[Amount (USD)])</f>
        <v>0</v>
      </c>
      <c r="I25" s="114"/>
    </row>
    <row r="26" spans="2:9" ht="18" customHeight="1" x14ac:dyDescent="0.25">
      <c r="B26" s="43"/>
      <c r="C26" s="43"/>
      <c r="D26" s="43"/>
      <c r="E26" s="43"/>
      <c r="F26" s="43"/>
      <c r="G26" s="43"/>
      <c r="H26" s="43"/>
      <c r="I26" s="43"/>
    </row>
    <row r="27" spans="2:9" ht="18" customHeight="1" x14ac:dyDescent="0.25"/>
    <row r="28" spans="2:9" ht="18" customHeight="1" x14ac:dyDescent="0.25"/>
    <row r="29" spans="2:9" ht="18" customHeight="1" x14ac:dyDescent="0.25"/>
    <row r="30" spans="2:9" ht="18" customHeight="1" x14ac:dyDescent="0.25"/>
    <row r="31" spans="2:9" ht="18" customHeight="1" x14ac:dyDescent="0.25"/>
    <row r="32" spans="2:9" ht="18" customHeight="1" x14ac:dyDescent="0.25"/>
    <row r="33" spans="2:9" ht="18" customHeight="1" x14ac:dyDescent="0.25"/>
    <row r="34" spans="2:9" ht="18" customHeight="1" x14ac:dyDescent="0.25"/>
    <row r="35" spans="2:9" ht="18" customHeight="1" x14ac:dyDescent="0.25"/>
    <row r="36" spans="2:9" ht="18" customHeight="1" x14ac:dyDescent="0.25">
      <c r="B36" s="39" t="s">
        <v>16</v>
      </c>
      <c r="C36" s="38"/>
      <c r="D36" s="38"/>
      <c r="E36" s="38"/>
      <c r="F36" s="38"/>
      <c r="G36" s="38"/>
      <c r="H36" s="38"/>
      <c r="I36" s="38"/>
    </row>
    <row r="37" spans="2:9" ht="18" customHeight="1" x14ac:dyDescent="0.25"/>
    <row r="38" spans="2:9" ht="18" customHeight="1" x14ac:dyDescent="0.25"/>
    <row r="39" spans="2:9" ht="18" customHeight="1" x14ac:dyDescent="0.25"/>
  </sheetData>
  <mergeCells count="15">
    <mergeCell ref="B36:I36"/>
    <mergeCell ref="C15:I15"/>
    <mergeCell ref="B3:I4"/>
    <mergeCell ref="D24:E24"/>
    <mergeCell ref="F25:G26"/>
    <mergeCell ref="B25:C26"/>
    <mergeCell ref="H24:I24"/>
    <mergeCell ref="C12:I12"/>
    <mergeCell ref="B5:I5"/>
    <mergeCell ref="H25:I26"/>
    <mergeCell ref="C14:I14"/>
    <mergeCell ref="D25:E26"/>
    <mergeCell ref="B24:C24"/>
    <mergeCell ref="C13:I13"/>
    <mergeCell ref="F24:G24"/>
  </mergeCells>
  <hyperlinks>
    <hyperlink ref="B2" location="Dashboard!A1" tooltip="Go to 📊 Dashboard" display="📊 Dashboard" xr:uid="{33E68AED-E9F0-4CAC-AAF9-1A4563E73015}"/>
    <hyperlink ref="C2" location="Dashboard!A1" tooltip="Go to 📊 Dashboard" display="📊 Dashboard" xr:uid="{53EEF7ED-9109-43C1-8B0B-8A565DE4399E}"/>
    <hyperlink ref="D2" location="'Trips Ledger'!A1" tooltip="Go to 🚚 Trips" display="🚚 Trips" xr:uid="{BED491A5-250D-4353-8B2C-BA0C27B7B8D8}"/>
    <hyperlink ref="E2" location="Claims!A1" tooltip="Go to 🧾 Claims" display="🧾 Claims" xr:uid="{C3A7F974-3439-4BE4-8BE1-41F8B3709D9B}"/>
    <hyperlink ref="F2" location="Deals!A1" tooltip="Go to 📑 Deals" display="📑 Deals" xr:uid="{5CF37CE9-66B9-4C34-BFED-151C7118B882}"/>
    <hyperlink ref="G2" location="Invoice!A1" tooltip="Go to 💰 Invoice" display="💰 Invoice" xr:uid="{D7594286-6FF5-4160-8094-A3158EDD84E7}"/>
    <hyperlink ref="H2" location="Annex!A1" tooltip="Go to 📎 Annex" display="📎 Annex" xr:uid="{AF5AEA86-1456-43B0-974A-E8B750820F66}"/>
  </hyperlink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5A623"/>
  </sheetPr>
  <dimension ref="B1:O45"/>
  <sheetViews>
    <sheetView showGridLines="0" showRowColHeaders="0" workbookViewId="0">
      <pane xSplit="1" ySplit="5" topLeftCell="B6" activePane="bottomRight" state="frozen"/>
      <selection pane="topRight"/>
      <selection pane="bottomLeft"/>
      <selection pane="bottomRight" activeCell="D27" sqref="D27"/>
    </sheetView>
  </sheetViews>
  <sheetFormatPr defaultRowHeight="15" x14ac:dyDescent="0.25"/>
  <cols>
    <col min="1" max="1" width="2" customWidth="1"/>
    <col min="2" max="9" width="22" customWidth="1"/>
    <col min="10" max="10" width="2" customWidth="1"/>
  </cols>
  <sheetData>
    <row r="1" spans="2:15" x14ac:dyDescent="0.25">
      <c r="K1" s="67" t="s">
        <v>478</v>
      </c>
      <c r="N1" t="s">
        <v>479</v>
      </c>
    </row>
    <row r="2" spans="2:15" ht="21.95" customHeight="1" x14ac:dyDescent="0.25">
      <c r="B2" s="126" t="s">
        <v>482</v>
      </c>
      <c r="C2" s="124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  <c r="K2" t="s">
        <v>28</v>
      </c>
      <c r="L2" t="s">
        <v>477</v>
      </c>
      <c r="N2" t="s">
        <v>28</v>
      </c>
      <c r="O2" t="s">
        <v>477</v>
      </c>
    </row>
    <row r="3" spans="2:15" x14ac:dyDescent="0.25">
      <c r="B3" s="37" t="s">
        <v>17</v>
      </c>
      <c r="C3" s="38"/>
      <c r="D3" s="38"/>
      <c r="E3" s="38"/>
      <c r="F3" s="38"/>
      <c r="G3" s="38"/>
      <c r="H3" s="38"/>
      <c r="I3" s="38"/>
      <c r="K3" cm="1">
        <f t="array" ref="K3:K11">IFERROR(_xlfn._xlws.SORT(_xlfn.UNIQUE(_xlfn._xlws.FILTER(Trips[Deal No.],Trips[Deal No.]&lt;&gt;""))),"")</f>
        <v>184182</v>
      </c>
      <c r="L3" cm="1">
        <f t="array" ref="L3:L11">IF(_xlfn.ANCHORARRAY(K3)="","",SUMIF(Trips[Deal No.],_xlfn.ANCHORARRAY(K3),Trips[Demurrage (USD)]))</f>
        <v>3250</v>
      </c>
      <c r="N3" cm="1">
        <f t="array" ref="N3:N11">IFERROR(_xlfn.SORTBY(_xlfn.ANCHORARRAY(K3),_xlfn.ANCHORARRAY(L3),-1),"")</f>
        <v>187293</v>
      </c>
      <c r="O3" cm="1">
        <f t="array" ref="O3:O11">IFERROR(_xlfn.SORTBY(_xlfn.ANCHORARRAY(L3),_xlfn.ANCHORARRAY(L3),-1),"")</f>
        <v>50750</v>
      </c>
    </row>
    <row r="4" spans="2:15" ht="6" customHeight="1" x14ac:dyDescent="0.25">
      <c r="B4" s="5"/>
      <c r="C4" s="5"/>
      <c r="D4" s="5"/>
      <c r="E4" s="5"/>
      <c r="F4" s="5"/>
      <c r="G4" s="5"/>
      <c r="H4" s="5"/>
      <c r="I4" s="5"/>
      <c r="K4">
        <v>184752</v>
      </c>
      <c r="L4">
        <v>5500</v>
      </c>
      <c r="N4">
        <v>190664</v>
      </c>
      <c r="O4">
        <v>24250</v>
      </c>
    </row>
    <row r="5" spans="2:15" x14ac:dyDescent="0.25">
      <c r="K5">
        <v>184834</v>
      </c>
      <c r="L5">
        <v>0</v>
      </c>
      <c r="N5">
        <v>187296</v>
      </c>
      <c r="O5">
        <v>21500</v>
      </c>
    </row>
    <row r="6" spans="2:15" ht="21.95" customHeight="1" x14ac:dyDescent="0.25">
      <c r="B6" s="46" t="s">
        <v>12</v>
      </c>
      <c r="C6" s="43"/>
      <c r="D6" s="46" t="s">
        <v>18</v>
      </c>
      <c r="E6" s="43"/>
      <c r="F6" s="46" t="s">
        <v>19</v>
      </c>
      <c r="G6" s="43"/>
      <c r="H6" s="46" t="s">
        <v>20</v>
      </c>
      <c r="I6" s="43"/>
      <c r="K6">
        <v>187293</v>
      </c>
      <c r="L6">
        <v>50750</v>
      </c>
      <c r="N6">
        <v>184752</v>
      </c>
      <c r="O6">
        <v>5500</v>
      </c>
    </row>
    <row r="7" spans="2:15" x14ac:dyDescent="0.25">
      <c r="B7" s="115">
        <f>SUM(Trips[Demurrage (USD)])</f>
        <v>105750</v>
      </c>
      <c r="C7" s="43"/>
      <c r="D7" s="47">
        <f>ROWS(Trips[Deal No.])</f>
        <v>131</v>
      </c>
      <c r="E7" s="43"/>
      <c r="F7" s="47">
        <f>COUNTIF(Trips[Status],"DEMURRAGE")</f>
        <v>76</v>
      </c>
      <c r="G7" s="43"/>
      <c r="H7" s="115">
        <f>IFERROR(SUM(Trips[Demurrage (USD)])/ROWS(Trips[Deal No.]),0)</f>
        <v>807.25190839694653</v>
      </c>
      <c r="I7" s="43"/>
      <c r="K7">
        <v>187296</v>
      </c>
      <c r="L7">
        <v>21500</v>
      </c>
      <c r="N7">
        <v>184182</v>
      </c>
      <c r="O7">
        <v>3250</v>
      </c>
    </row>
    <row r="8" spans="2:15" x14ac:dyDescent="0.25">
      <c r="B8" s="43"/>
      <c r="C8" s="43"/>
      <c r="D8" s="43"/>
      <c r="E8" s="43"/>
      <c r="F8" s="43"/>
      <c r="G8" s="43"/>
      <c r="H8" s="43"/>
      <c r="I8" s="43"/>
      <c r="K8">
        <v>189084</v>
      </c>
      <c r="L8">
        <v>500</v>
      </c>
      <c r="N8">
        <v>189084</v>
      </c>
      <c r="O8">
        <v>500</v>
      </c>
    </row>
    <row r="9" spans="2:15" x14ac:dyDescent="0.25">
      <c r="K9">
        <v>190261</v>
      </c>
      <c r="L9">
        <v>0</v>
      </c>
      <c r="N9">
        <v>184834</v>
      </c>
      <c r="O9">
        <v>0</v>
      </c>
    </row>
    <row r="10" spans="2:15" ht="21.95" customHeight="1" x14ac:dyDescent="0.25">
      <c r="B10" s="46" t="s">
        <v>13</v>
      </c>
      <c r="C10" s="43"/>
      <c r="D10" s="46" t="s">
        <v>14</v>
      </c>
      <c r="E10" s="43"/>
      <c r="F10" s="46" t="s">
        <v>15</v>
      </c>
      <c r="G10" s="43"/>
      <c r="H10" s="46" t="s">
        <v>21</v>
      </c>
      <c r="I10" s="43"/>
      <c r="K10">
        <v>190664</v>
      </c>
      <c r="L10">
        <v>24250</v>
      </c>
      <c r="N10">
        <v>190261</v>
      </c>
      <c r="O10">
        <v>0</v>
      </c>
    </row>
    <row r="11" spans="2:15" x14ac:dyDescent="0.25">
      <c r="B11" s="115">
        <f>SUMIFS(Claims[Amount (USD)],Claims[Status],"Sent")+SUMIFS(Claims[Amount (USD)],Claims[Status],"Paid")</f>
        <v>0</v>
      </c>
      <c r="C11" s="43"/>
      <c r="D11" s="115">
        <f>SUMIF(Claims[Status],"Paid",Claims[Amount (USD)])</f>
        <v>0</v>
      </c>
      <c r="E11" s="43"/>
      <c r="F11" s="115">
        <f>SUMIF(Claims[Status],"Sent",Claims[Amount (USD)])</f>
        <v>0</v>
      </c>
      <c r="G11" s="43"/>
      <c r="H11" s="115">
        <f>SUMIFS(Claims[Amount (USD)],Claims[Status],"Sent",Claims[Days Overdue],"&gt;0")</f>
        <v>0</v>
      </c>
      <c r="I11" s="43"/>
      <c r="K11">
        <v>191610</v>
      </c>
      <c r="L11">
        <v>0</v>
      </c>
      <c r="N11">
        <v>191610</v>
      </c>
      <c r="O11">
        <v>0</v>
      </c>
    </row>
    <row r="12" spans="2:15" x14ac:dyDescent="0.25">
      <c r="B12" s="43"/>
      <c r="C12" s="43"/>
      <c r="D12" s="43"/>
      <c r="E12" s="43"/>
      <c r="F12" s="43"/>
      <c r="G12" s="43"/>
      <c r="H12" s="43"/>
      <c r="I12" s="43"/>
    </row>
    <row r="14" spans="2:15" ht="24" customHeight="1" x14ac:dyDescent="0.25">
      <c r="B14" s="45" t="s">
        <v>22</v>
      </c>
      <c r="C14" s="38"/>
      <c r="D14" s="38"/>
      <c r="E14" s="38"/>
      <c r="F14" s="45" t="s">
        <v>23</v>
      </c>
      <c r="G14" s="38"/>
      <c r="H14" s="38"/>
      <c r="I14" s="38"/>
    </row>
    <row r="15" spans="2:15" ht="21.95" customHeight="1" x14ac:dyDescent="0.25">
      <c r="B15" s="63" t="s">
        <v>24</v>
      </c>
      <c r="C15" s="64" t="s">
        <v>25</v>
      </c>
      <c r="D15" s="64" t="s">
        <v>26</v>
      </c>
      <c r="E15" s="64" t="s">
        <v>27</v>
      </c>
      <c r="F15" s="63" t="s">
        <v>28</v>
      </c>
      <c r="G15" s="66" t="s">
        <v>24</v>
      </c>
      <c r="H15" s="64" t="s">
        <v>25</v>
      </c>
      <c r="I15" s="68" t="s">
        <v>477</v>
      </c>
    </row>
    <row r="16" spans="2:15" x14ac:dyDescent="0.25">
      <c r="B16" s="6" t="str" cm="1">
        <f t="array" ref="B16:B18">IFERROR(_xlfn._xlws.SORT(_xlfn.UNIQUE(_xlfn._xlws.FILTER(Trips[Consignee],Trips[Consignee]&lt;&gt;""))),"")</f>
        <v>Lake Petroleum Zambia</v>
      </c>
      <c r="C16" s="65" cm="1">
        <f t="array" ref="C16:C18">IF(_xlfn.ANCHORARRAY(B16)="","",COUNTIF(Trips[Consignee],_xlfn.ANCHORARRAY(B16)))</f>
        <v>39</v>
      </c>
      <c r="D16" s="116" cm="1">
        <f t="array" ref="D16:D18">IF(_xlfn.ANCHORARRAY(B16)="","",SUMIF(Trips[Consignee],_xlfn.ANCHORARRAY(B16),Trips[Demurrage (USD)]))</f>
        <v>50750</v>
      </c>
      <c r="E16" s="116" cm="1">
        <f t="array" ref="E16:E18">IF(_xlfn.ANCHORARRAY(B16)="","",IFERROR(SUMIF(Trips[Consignee],_xlfn.ANCHORARRAY(B16),Trips[Demurrage (USD)])/COUNTIF(Trips[Consignee],_xlfn.ANCHORARRAY(B16)),0))</f>
        <v>1301.2820512820513</v>
      </c>
      <c r="F16" s="6">
        <f>IFERROR(INDEX(_xlfn.ANCHORARRAY($N$3),1),"")</f>
        <v>187293</v>
      </c>
      <c r="G16" s="7" t="str">
        <f>IFERROR(IF(F16="","",VLOOKUP(F16,Deals[#All],2,FALSE)),"")</f>
        <v>Lake Petroleum Zambia</v>
      </c>
      <c r="H16" s="65">
        <f>IF(F16="","",COUNTIF(Trips[Deal No.],F16))</f>
        <v>29</v>
      </c>
      <c r="I16" s="116">
        <f>IF(F16="","",SUMIF(Trips[Deal No.],F16,Trips[Demurrage (USD)]))</f>
        <v>50750</v>
      </c>
    </row>
    <row r="17" spans="2:9" x14ac:dyDescent="0.25">
      <c r="B17" s="8" t="str">
        <v>Reliance Energy Zambia</v>
      </c>
      <c r="C17" s="9">
        <v>4</v>
      </c>
      <c r="D17" s="117">
        <v>0</v>
      </c>
      <c r="E17" s="117">
        <v>0</v>
      </c>
      <c r="F17" s="6">
        <f>IFERROR(INDEX(_xlfn.ANCHORARRAY($N$3),2),"")</f>
        <v>190664</v>
      </c>
      <c r="G17" s="7" t="str">
        <f>IFERROR(IF(F17="","",VLOOKUP(F17,Deals[#All],2,FALSE)),"")</f>
        <v>Rubis Energy Zambia</v>
      </c>
      <c r="H17" s="65">
        <f>IF(F17="","",COUNTIF(Trips[Deal No.],F17))</f>
        <v>29</v>
      </c>
      <c r="I17" s="116">
        <f>IF(F17="","",SUMIF(Trips[Deal No.],F17,Trips[Demurrage (USD)]))</f>
        <v>24250</v>
      </c>
    </row>
    <row r="18" spans="2:9" x14ac:dyDescent="0.25">
      <c r="B18" s="6" t="str">
        <v>Rubis Energy Zambia</v>
      </c>
      <c r="C18" s="7">
        <v>88</v>
      </c>
      <c r="D18" s="116">
        <v>55000</v>
      </c>
      <c r="E18" s="116">
        <v>625</v>
      </c>
      <c r="F18" s="6">
        <f>IFERROR(INDEX(_xlfn.ANCHORARRAY($N$3),3),"")</f>
        <v>187296</v>
      </c>
      <c r="G18" s="7" t="str">
        <f>IFERROR(IF(F18="","",VLOOKUP(F18,Deals[#All],2,FALSE)),"")</f>
        <v>Rubis Energy Zambia</v>
      </c>
      <c r="H18" s="65">
        <f>IF(F18="","",COUNTIF(Trips[Deal No.],F18))</f>
        <v>12</v>
      </c>
      <c r="I18" s="116">
        <f>IF(F18="","",SUMIF(Trips[Deal No.],F18,Trips[Demurrage (USD)]))</f>
        <v>21500</v>
      </c>
    </row>
    <row r="19" spans="2:9" x14ac:dyDescent="0.25">
      <c r="B19" s="8"/>
      <c r="C19" s="9"/>
      <c r="D19" s="117"/>
      <c r="E19" s="117"/>
      <c r="F19" s="6">
        <f>IFERROR(INDEX(_xlfn.ANCHORARRAY($N$3),4),"")</f>
        <v>184752</v>
      </c>
      <c r="G19" s="7" t="str">
        <f>IFERROR(IF(F19="","",VLOOKUP(F19,Deals[#All],2,FALSE)),"")</f>
        <v>Rubis Energy Zambia</v>
      </c>
      <c r="H19" s="65">
        <f>IF(F19="","",COUNTIF(Trips[Deal No.],F19))</f>
        <v>10</v>
      </c>
      <c r="I19" s="116">
        <f>IF(F19="","",SUMIF(Trips[Deal No.],F19,Trips[Demurrage (USD)]))</f>
        <v>5500</v>
      </c>
    </row>
    <row r="20" spans="2:9" x14ac:dyDescent="0.25">
      <c r="B20" s="6"/>
      <c r="C20" s="7"/>
      <c r="D20" s="116"/>
      <c r="E20" s="116"/>
      <c r="F20" s="6">
        <f>IFERROR(INDEX(_xlfn.ANCHORARRAY($N$3),5),"")</f>
        <v>184182</v>
      </c>
      <c r="G20" s="7" t="str">
        <f>IFERROR(IF(F20="","",VLOOKUP(F20,Deals[#All],2,FALSE)),"")</f>
        <v>Rubis Energy Zambia</v>
      </c>
      <c r="H20" s="65">
        <f>IF(F20="","",COUNTIF(Trips[Deal No.],F20))</f>
        <v>13</v>
      </c>
      <c r="I20" s="116">
        <f>IF(F20="","",SUMIF(Trips[Deal No.],F20,Trips[Demurrage (USD)]))</f>
        <v>3250</v>
      </c>
    </row>
    <row r="21" spans="2:9" x14ac:dyDescent="0.25">
      <c r="B21" s="8"/>
      <c r="C21" s="9"/>
      <c r="D21" s="117"/>
      <c r="E21" s="117"/>
      <c r="F21" s="6">
        <f>IFERROR(INDEX(_xlfn.ANCHORARRAY($N$3),6),"")</f>
        <v>189084</v>
      </c>
      <c r="G21" s="7" t="str">
        <f>IFERROR(IF(F21="","",VLOOKUP(F21,Deals[#All],2,FALSE)),"")</f>
        <v>Rubis Energy Zambia</v>
      </c>
      <c r="H21" s="65">
        <f>IF(F21="","",COUNTIF(Trips[Deal No.],F21))</f>
        <v>12</v>
      </c>
      <c r="I21" s="116">
        <f>IF(F21="","",SUMIF(Trips[Deal No.],F21,Trips[Demurrage (USD)]))</f>
        <v>500</v>
      </c>
    </row>
    <row r="22" spans="2:9" x14ac:dyDescent="0.25">
      <c r="B22" s="104"/>
      <c r="C22" s="105"/>
      <c r="D22" s="118"/>
      <c r="E22" s="118"/>
      <c r="F22" s="6">
        <f>IFERROR(INDEX(_xlfn.ANCHORARRAY($N$3),7),"")</f>
        <v>184834</v>
      </c>
      <c r="G22" s="7" t="str">
        <f>IFERROR(IF(F22="","",VLOOKUP(F22,Deals[#All],2,FALSE)),"")</f>
        <v>Reliance Energy Zambia</v>
      </c>
      <c r="H22" s="65">
        <f>IF(F22="","",COUNTIF(Trips[Deal No.],F22))</f>
        <v>4</v>
      </c>
      <c r="I22" s="116">
        <f>IF(F22="","",SUMIF(Trips[Deal No.],F22,Trips[Demurrage (USD)]))</f>
        <v>0</v>
      </c>
    </row>
    <row r="23" spans="2:9" x14ac:dyDescent="0.25">
      <c r="B23" s="106"/>
      <c r="C23" s="106"/>
      <c r="D23" s="106"/>
      <c r="E23" s="106"/>
      <c r="F23" s="6">
        <f>IFERROR(INDEX(_xlfn.ANCHORARRAY($N$3),8),"")</f>
        <v>190261</v>
      </c>
      <c r="G23" s="7" t="str">
        <f>IFERROR(IF(F23="","",VLOOKUP(F23,Deals[#All],2,FALSE)),"")</f>
        <v>Lake Petroleum Zambia</v>
      </c>
      <c r="H23" s="65">
        <f>IF(F23="","",COUNTIF(Trips[Deal No.],F23))</f>
        <v>10</v>
      </c>
      <c r="I23" s="116">
        <f>IF(F23="","",SUMIF(Trips[Deal No.],F23,Trips[Demurrage (USD)]))</f>
        <v>0</v>
      </c>
    </row>
    <row r="24" spans="2:9" x14ac:dyDescent="0.25">
      <c r="B24" s="106"/>
      <c r="C24" s="106"/>
      <c r="D24" s="106"/>
      <c r="E24" s="106"/>
      <c r="F24" s="6">
        <f>IFERROR(INDEX(_xlfn.ANCHORARRAY($N$3),9),"")</f>
        <v>191610</v>
      </c>
      <c r="G24" s="7" t="str">
        <f>IFERROR(IF(F24="","",VLOOKUP(F24,Deals[#All],2,FALSE)),"")</f>
        <v>Rubis Energy Zambia</v>
      </c>
      <c r="H24" s="65">
        <f>IF(F24="","",COUNTIF(Trips[Deal No.],F24))</f>
        <v>12</v>
      </c>
      <c r="I24" s="116">
        <f>IF(F24="","",SUMIF(Trips[Deal No.],F24,Trips[Demurrage (USD)]))</f>
        <v>0</v>
      </c>
    </row>
    <row r="25" spans="2:9" ht="24" customHeight="1" x14ac:dyDescent="0.25">
      <c r="B25" s="45" t="s">
        <v>36</v>
      </c>
      <c r="C25" s="38"/>
      <c r="D25" s="38"/>
      <c r="E25" s="38"/>
      <c r="F25" s="6" t="str">
        <f>IFERROR(INDEX(_xlfn.ANCHORARRAY($N$3),10),"")</f>
        <v/>
      </c>
      <c r="G25" s="7" t="str">
        <f>IFERROR(IF(F25="","",VLOOKUP(F25,Deals[#All],2,FALSE)),"")</f>
        <v/>
      </c>
      <c r="H25" s="65" t="str">
        <f>IF(F25="","",COUNTIF(Trips[Deal No.],F25))</f>
        <v/>
      </c>
      <c r="I25" s="116" t="str">
        <f>IF(F25="","",SUMIF(Trips[Deal No.],F25,Trips[Demurrage (USD)]))</f>
        <v/>
      </c>
    </row>
    <row r="26" spans="2:9" ht="21.95" customHeight="1" x14ac:dyDescent="0.25">
      <c r="B26" s="63" t="s">
        <v>37</v>
      </c>
      <c r="C26" s="64" t="s">
        <v>25</v>
      </c>
      <c r="D26" s="64" t="s">
        <v>26</v>
      </c>
      <c r="E26" s="64" t="s">
        <v>27</v>
      </c>
    </row>
    <row r="27" spans="2:9" x14ac:dyDescent="0.25">
      <c r="B27" s="6" t="str" cm="1">
        <f t="array" ref="B27:B31">IFERROR(_xlfn._xlws.SORT(_xlfn.UNIQUE(_xlfn._xlws.FILTER(Trips[Transporter],Trips[Transporter]&lt;&gt;""))),"")</f>
        <v>OASIS</v>
      </c>
      <c r="C27" s="65" cm="1">
        <f t="array" ref="C27:C31">IF(_xlfn.ANCHORARRAY(B27)="","",COUNTIF(Trips[Transporter],_xlfn.ANCHORARRAY(B27)))</f>
        <v>22</v>
      </c>
      <c r="D27" s="116" cm="1">
        <f t="array" ref="D27:D31">IF(_xlfn.ANCHORARRAY(B27)="","",SUMIF(Trips[Transporter],_xlfn.ANCHORARRAY(B27),Trips[Demurrage (USD)]))</f>
        <v>13000</v>
      </c>
      <c r="E27" s="116" cm="1">
        <f t="array" ref="E27:E31">IF(_xlfn.ANCHORARRAY(B27)="","",IFERROR(SUMIF(Trips[Transporter],_xlfn.ANCHORARRAY(B27),Trips[Demurrage (USD)])/COUNTIF(Trips[Transporter],_xlfn.ANCHORARRAY(B27)),0))</f>
        <v>590.90909090909088</v>
      </c>
    </row>
    <row r="28" spans="2:9" ht="24" customHeight="1" x14ac:dyDescent="0.25">
      <c r="B28" s="8" t="str">
        <v>PETRODA</v>
      </c>
      <c r="C28" s="9">
        <v>64</v>
      </c>
      <c r="D28" s="117">
        <v>59500</v>
      </c>
      <c r="E28" s="117">
        <v>929.6875</v>
      </c>
      <c r="F28" s="45" t="s">
        <v>40</v>
      </c>
      <c r="G28" s="38"/>
      <c r="H28" s="38"/>
    </row>
    <row r="29" spans="2:9" ht="21.95" customHeight="1" x14ac:dyDescent="0.25">
      <c r="B29" s="6" t="str">
        <v>TRANSIR</v>
      </c>
      <c r="C29" s="7">
        <v>10</v>
      </c>
      <c r="D29" s="116">
        <v>24500</v>
      </c>
      <c r="E29" s="116">
        <v>2450</v>
      </c>
      <c r="F29" s="63" t="s">
        <v>42</v>
      </c>
      <c r="G29" s="64" t="s">
        <v>43</v>
      </c>
      <c r="H29" s="68" t="s">
        <v>44</v>
      </c>
    </row>
    <row r="30" spans="2:9" x14ac:dyDescent="0.25">
      <c r="B30" s="8" t="str">
        <v>TRUCKEAZE</v>
      </c>
      <c r="C30" s="9">
        <v>13</v>
      </c>
      <c r="D30" s="117">
        <v>3250</v>
      </c>
      <c r="E30" s="117">
        <v>250</v>
      </c>
      <c r="F30" s="102" t="s">
        <v>480</v>
      </c>
      <c r="G30" s="65">
        <f>COUNTIFS(Claims[Aging],F30)</f>
        <v>0</v>
      </c>
      <c r="H30" s="116">
        <f>SUMIFS(Claims[Amount (USD)],Claims[Aging],F30)</f>
        <v>0</v>
      </c>
    </row>
    <row r="31" spans="2:9" x14ac:dyDescent="0.25">
      <c r="B31" s="6" t="str">
        <v>WHC</v>
      </c>
      <c r="C31" s="7">
        <v>10</v>
      </c>
      <c r="D31" s="116">
        <v>5500</v>
      </c>
      <c r="E31" s="116">
        <v>550</v>
      </c>
      <c r="F31" s="103" t="s">
        <v>515</v>
      </c>
      <c r="G31" s="69">
        <f>COUNTIFS(Claims[Aging],F31)</f>
        <v>0</v>
      </c>
      <c r="H31" s="117">
        <f>SUMIFS(Claims[Amount (USD)],Claims[Aging],F31)</f>
        <v>0</v>
      </c>
    </row>
    <row r="32" spans="2:9" x14ac:dyDescent="0.25">
      <c r="B32" s="104"/>
      <c r="C32" s="105"/>
      <c r="D32" s="118"/>
      <c r="E32" s="118"/>
      <c r="F32" s="102" t="s">
        <v>488</v>
      </c>
      <c r="G32" s="65">
        <f>COUNTIFS(Claims[Aging],F32)</f>
        <v>0</v>
      </c>
      <c r="H32" s="116">
        <f>SUMIFS(Claims[Amount (USD)],Claims[Aging],F32)</f>
        <v>0</v>
      </c>
    </row>
    <row r="33" spans="2:8" x14ac:dyDescent="0.25">
      <c r="B33" s="106"/>
      <c r="C33" s="106"/>
      <c r="D33" s="119"/>
      <c r="E33" s="119"/>
      <c r="F33" s="103" t="s">
        <v>489</v>
      </c>
      <c r="G33" s="69">
        <f>COUNTIFS(Claims[Aging],F33)</f>
        <v>0</v>
      </c>
      <c r="H33" s="117">
        <f>SUMIFS(Claims[Amount (USD)],Claims[Aging],F33)</f>
        <v>0</v>
      </c>
    </row>
    <row r="34" spans="2:8" x14ac:dyDescent="0.25">
      <c r="B34" s="106"/>
      <c r="C34" s="106"/>
      <c r="D34" s="106"/>
      <c r="E34" s="106"/>
      <c r="F34" s="102" t="s">
        <v>490</v>
      </c>
      <c r="G34" s="65">
        <f>COUNTIFS(Claims[Aging],F34)</f>
        <v>0</v>
      </c>
      <c r="H34" s="116">
        <f>SUMIFS(Claims[Amount (USD)],Claims[Aging],F34)</f>
        <v>0</v>
      </c>
    </row>
    <row r="35" spans="2:8" ht="24" customHeight="1" x14ac:dyDescent="0.25">
      <c r="B35" s="45" t="s">
        <v>47</v>
      </c>
      <c r="C35" s="38"/>
      <c r="D35" s="38"/>
      <c r="E35" s="38"/>
      <c r="F35" s="10" t="s">
        <v>35</v>
      </c>
      <c r="G35" s="70">
        <f>SUM(G30:G34)</f>
        <v>0</v>
      </c>
      <c r="H35" s="120">
        <f>SUM(H30:H34)</f>
        <v>0</v>
      </c>
    </row>
    <row r="36" spans="2:8" ht="21.95" customHeight="1" x14ac:dyDescent="0.25">
      <c r="B36" s="63" t="s">
        <v>48</v>
      </c>
      <c r="C36" s="64" t="s">
        <v>25</v>
      </c>
      <c r="D36" s="64" t="s">
        <v>26</v>
      </c>
      <c r="E36" s="64" t="s">
        <v>27</v>
      </c>
    </row>
    <row r="37" spans="2:8" x14ac:dyDescent="0.25">
      <c r="B37" s="6" t="str" cm="1">
        <f t="array" ref="B37:B41">IFERROR(_xlfn._xlws.SORT(_xlfn.UNIQUE(_xlfn._xlws.FILTER(Trips[Month],Trips[Month]&lt;&gt;""))),"")</f>
        <v>2025-12</v>
      </c>
      <c r="C37" s="65" cm="1">
        <f t="array" ref="C37:C41">IF(_xlfn.ANCHORARRAY(B37)="","",COUNTIF(Trips[Month],_xlfn.ANCHORARRAY(B37)))</f>
        <v>27</v>
      </c>
      <c r="D37" s="116" cm="1">
        <f t="array" ref="D37:D41">IF(_xlfn.ANCHORARRAY(B37)="","",SUMIF(Trips[Month],_xlfn.ANCHORARRAY(B37),Trips[Demurrage (USD)]))</f>
        <v>8750</v>
      </c>
      <c r="E37" s="116" cm="1">
        <f t="array" ref="E37:E41">IF(_xlfn.ANCHORARRAY(B37)="","",IFERROR(SUMIF(Trips[Month],_xlfn.ANCHORARRAY(B37),Trips[Demurrage (USD)])/COUNTIF(Trips[Month],_xlfn.ANCHORARRAY(B37)),0))</f>
        <v>324.07407407407408</v>
      </c>
    </row>
    <row r="38" spans="2:8" x14ac:dyDescent="0.25">
      <c r="B38" s="8" t="str">
        <v>2026-02</v>
      </c>
      <c r="C38" s="9">
        <v>24</v>
      </c>
      <c r="D38" s="117">
        <v>34500</v>
      </c>
      <c r="E38" s="117">
        <v>1437.5</v>
      </c>
    </row>
    <row r="39" spans="2:8" x14ac:dyDescent="0.25">
      <c r="B39" s="6" t="str">
        <v>2026-03</v>
      </c>
      <c r="C39" s="7">
        <v>29</v>
      </c>
      <c r="D39" s="116">
        <v>38250</v>
      </c>
      <c r="E39" s="116">
        <v>1318.9655172413793</v>
      </c>
    </row>
    <row r="40" spans="2:8" x14ac:dyDescent="0.25">
      <c r="B40" s="8" t="str">
        <v>2026-04</v>
      </c>
      <c r="C40" s="9">
        <v>27</v>
      </c>
      <c r="D40" s="117">
        <v>24250</v>
      </c>
      <c r="E40" s="117">
        <v>898.14814814814815</v>
      </c>
    </row>
    <row r="41" spans="2:8" x14ac:dyDescent="0.25">
      <c r="B41" s="6" t="str">
        <v>2026-05</v>
      </c>
      <c r="C41" s="7">
        <v>24</v>
      </c>
      <c r="D41" s="116">
        <v>0</v>
      </c>
      <c r="E41" s="116">
        <v>0</v>
      </c>
    </row>
    <row r="42" spans="2:8" x14ac:dyDescent="0.25">
      <c r="B42" s="104"/>
      <c r="C42" s="105"/>
      <c r="D42" s="118"/>
      <c r="E42" s="118"/>
    </row>
    <row r="43" spans="2:8" x14ac:dyDescent="0.25">
      <c r="B43" s="106"/>
      <c r="C43" s="106"/>
      <c r="D43" s="119"/>
      <c r="E43" s="119"/>
    </row>
    <row r="44" spans="2:8" x14ac:dyDescent="0.25">
      <c r="B44" s="106"/>
      <c r="C44" s="106"/>
      <c r="D44" s="119"/>
      <c r="E44" s="119"/>
    </row>
    <row r="45" spans="2:8" x14ac:dyDescent="0.25">
      <c r="B45" s="106"/>
      <c r="C45" s="106"/>
      <c r="D45" s="119"/>
      <c r="E45" s="119"/>
    </row>
  </sheetData>
  <mergeCells count="22">
    <mergeCell ref="D6:E6"/>
    <mergeCell ref="H6:I6"/>
    <mergeCell ref="D10:E10"/>
    <mergeCell ref="D7:E8"/>
    <mergeCell ref="F10:G10"/>
    <mergeCell ref="H10:I10"/>
    <mergeCell ref="H7:I8"/>
    <mergeCell ref="B35:E35"/>
    <mergeCell ref="F28:H28"/>
    <mergeCell ref="B25:E25"/>
    <mergeCell ref="F11:G12"/>
    <mergeCell ref="B7:C8"/>
    <mergeCell ref="B10:C10"/>
    <mergeCell ref="F7:G8"/>
    <mergeCell ref="B14:E14"/>
    <mergeCell ref="B6:C6"/>
    <mergeCell ref="B11:C12"/>
    <mergeCell ref="D11:E12"/>
    <mergeCell ref="H11:I12"/>
    <mergeCell ref="B3:I3"/>
    <mergeCell ref="F6:G6"/>
    <mergeCell ref="F14:I14"/>
  </mergeCells>
  <hyperlinks>
    <hyperlink ref="B2" location="Cover!A1" tooltip="Go to 📋 Cover" display="📋 Cover" xr:uid="{AD177132-4A35-4483-844C-6470A0B0B063}"/>
    <hyperlink ref="C2" location="Dashboard!A1" tooltip="Go to 📊 Dashboard" display="📊 Dashboard" xr:uid="{614CA642-D49A-4B54-BD37-386D91BBEE17}"/>
    <hyperlink ref="D2" location="'Trips Ledger'!A1" tooltip="Go to 🚚 Trips" display="🚚 Trips" xr:uid="{AC761C10-F2E3-4490-84D4-74DD50512D3B}"/>
    <hyperlink ref="E2" location="Claims!A1" tooltip="Go to 🧾 Claims" display="🧾 Claims" xr:uid="{19717608-8678-4D22-ADCF-18CF66BCC5C9}"/>
    <hyperlink ref="F2" location="Deals!A1" tooltip="Go to 📑 Deals" display="📑 Deals" xr:uid="{41AC08D8-093D-4289-92E5-9C62B8E089EB}"/>
    <hyperlink ref="G2" location="Invoice!A1" tooltip="Go to 💰 Invoice" display="💰 Invoice" xr:uid="{F9E36A96-D74E-4298-974C-C42786E97ED9}"/>
    <hyperlink ref="H2" location="Annex!A1" tooltip="Go to 📎 Annex" display="📎 Annex" xr:uid="{E22A8881-4598-42E2-ADA9-7AB479F5519B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5A623"/>
    <pageSetUpPr fitToPage="1"/>
  </sheetPr>
  <dimension ref="B1:J73"/>
  <sheetViews>
    <sheetView showGridLines="0" showRowColHeaders="0" workbookViewId="0">
      <selection activeCell="F29" sqref="F29"/>
    </sheetView>
  </sheetViews>
  <sheetFormatPr defaultRowHeight="15" x14ac:dyDescent="0.25"/>
  <cols>
    <col min="1" max="1" width="2.28515625" customWidth="1"/>
    <col min="2" max="2" width="18.140625" customWidth="1"/>
    <col min="3" max="7" width="11" customWidth="1"/>
    <col min="8" max="8" width="18.140625" customWidth="1"/>
    <col min="9" max="9" width="21" customWidth="1"/>
    <col min="10" max="10" width="11" customWidth="1"/>
    <col min="11" max="11" width="2" customWidth="1"/>
  </cols>
  <sheetData>
    <row r="1" spans="2:10" ht="18" customHeight="1" x14ac:dyDescent="0.25"/>
    <row r="2" spans="2:10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6" t="s">
        <v>486</v>
      </c>
      <c r="G2" s="124" t="s">
        <v>487</v>
      </c>
      <c r="H2" s="125" t="s">
        <v>514</v>
      </c>
    </row>
    <row r="3" spans="2:10" ht="18" customHeight="1" x14ac:dyDescent="0.25">
      <c r="F3" s="58" t="str">
        <f>COMPANY_TRADING</f>
        <v>MOCOHSA</v>
      </c>
      <c r="G3" s="38"/>
      <c r="H3" s="38"/>
      <c r="I3" s="38"/>
      <c r="J3" s="38"/>
    </row>
    <row r="4" spans="2:10" ht="18" customHeight="1" x14ac:dyDescent="0.25"/>
    <row r="5" spans="2:10" ht="18" customHeight="1" x14ac:dyDescent="0.25"/>
    <row r="6" spans="2:10" ht="18" customHeight="1" x14ac:dyDescent="0.25"/>
    <row r="7" spans="2:10" ht="6" customHeight="1" x14ac:dyDescent="0.25">
      <c r="B7" s="11"/>
      <c r="C7" s="11"/>
      <c r="D7" s="11"/>
      <c r="E7" s="11"/>
      <c r="F7" s="11"/>
      <c r="G7" s="11"/>
      <c r="H7" s="11"/>
      <c r="I7" s="11"/>
      <c r="J7" s="11"/>
    </row>
    <row r="9" spans="2:10" x14ac:dyDescent="0.25">
      <c r="B9" s="12" t="s">
        <v>49</v>
      </c>
      <c r="F9" s="12" t="s">
        <v>50</v>
      </c>
    </row>
    <row r="10" spans="2:10" ht="15.75" x14ac:dyDescent="0.25">
      <c r="B10" s="62" t="str">
        <f>COMPANY_NAME</f>
        <v>MOCOH SA</v>
      </c>
      <c r="C10" s="38"/>
      <c r="D10" s="38"/>
      <c r="E10" s="38"/>
      <c r="F10" s="62" t="str">
        <f>IFERROR(VLOOKUP(INV_CLAIM,Claims[#All],4,FALSE),"")</f>
        <v>Rubis Energy Zambia</v>
      </c>
      <c r="G10" s="38"/>
      <c r="H10" s="38"/>
      <c r="I10" s="38"/>
      <c r="J10" s="38"/>
    </row>
    <row r="11" spans="2:10" ht="14.1" customHeight="1" x14ac:dyDescent="0.25">
      <c r="B11" s="50" t="str">
        <f>COMPANY_ADDR</f>
        <v>Rue de la Corraterie 5-7, 1204 Geneva, Switzerland</v>
      </c>
      <c r="C11" s="38"/>
      <c r="D11" s="38"/>
      <c r="E11" s="38"/>
      <c r="F11" s="50" t="str">
        <f>IFERROR(VLOOKUP(INV_CLAIM,Claims[#All],5,FALSE),"")</f>
        <v>PLOT NO. 1630, MALAMBO ROAD
LUSAKA, ZAMBIA
[VAT / TIN]</v>
      </c>
      <c r="G11" s="38"/>
      <c r="H11" s="38"/>
      <c r="I11" s="38"/>
      <c r="J11" s="38"/>
    </row>
    <row r="12" spans="2:10" ht="14.1" customHeight="1" x14ac:dyDescent="0.25">
      <c r="B12" s="38"/>
      <c r="C12" s="38"/>
      <c r="D12" s="38"/>
      <c r="E12" s="38"/>
      <c r="F12" s="38"/>
      <c r="G12" s="38"/>
      <c r="H12" s="38"/>
      <c r="I12" s="38"/>
      <c r="J12" s="38"/>
    </row>
    <row r="13" spans="2:10" ht="14.1" customHeight="1" x14ac:dyDescent="0.25">
      <c r="B13" s="38"/>
      <c r="C13" s="38"/>
      <c r="D13" s="38"/>
      <c r="E13" s="38"/>
      <c r="F13" s="38"/>
      <c r="G13" s="38"/>
      <c r="H13" s="38"/>
      <c r="I13" s="38"/>
      <c r="J13" s="38"/>
    </row>
    <row r="14" spans="2:10" x14ac:dyDescent="0.25">
      <c r="B14" s="51" t="str">
        <f>"VAT/Reg.: "&amp;COMPANY_VAT</f>
        <v>VAT/Reg.: CHE-110.540.819</v>
      </c>
      <c r="C14" s="38"/>
      <c r="D14" s="38"/>
      <c r="E14" s="38"/>
      <c r="F14" s="38"/>
      <c r="G14" s="38"/>
      <c r="H14" s="38"/>
      <c r="I14" s="38"/>
      <c r="J14" s="38"/>
    </row>
    <row r="16" spans="2:10" ht="18" customHeight="1" x14ac:dyDescent="0.25">
      <c r="B16" s="48" t="s">
        <v>51</v>
      </c>
      <c r="C16" s="43"/>
      <c r="D16" s="48" t="s">
        <v>52</v>
      </c>
      <c r="E16" s="43"/>
      <c r="F16" s="48" t="s">
        <v>53</v>
      </c>
      <c r="G16" s="43"/>
      <c r="H16" s="48" t="s">
        <v>54</v>
      </c>
      <c r="I16" s="43"/>
    </row>
    <row r="17" spans="2:10" ht="21.95" customHeight="1" x14ac:dyDescent="0.25">
      <c r="B17" s="59" t="str">
        <f>INV_CLAIM</f>
        <v>187296-DEM</v>
      </c>
      <c r="C17" s="43"/>
      <c r="D17" s="60">
        <f ca="1">IFERROR(VLOOKUP(INV_CLAIM,Claims[#All],2,FALSE),TODAY())</f>
        <v>46157</v>
      </c>
      <c r="E17" s="43"/>
      <c r="F17" s="59">
        <f>IFERROR(VLOOKUP(INV_CLAIM,Claims[#All],3,FALSE),"")</f>
        <v>187296</v>
      </c>
      <c r="G17" s="43"/>
      <c r="H17" s="59" t="str">
        <f>IFERROR(VLOOKUP(IFERROR(VLOOKUP(INV_CLAIM,Claims[#All],3,FALSE),0),Deals[#All],6,FALSE),"")</f>
        <v>PMS</v>
      </c>
      <c r="I17" s="43"/>
    </row>
    <row r="18" spans="2:10" ht="8.1" customHeight="1" x14ac:dyDescent="0.25"/>
    <row r="19" spans="2:10" x14ac:dyDescent="0.25">
      <c r="B19" s="132" t="s">
        <v>520</v>
      </c>
      <c r="C19" s="38"/>
      <c r="F19" s="49" t="s">
        <v>55</v>
      </c>
      <c r="G19" s="38"/>
      <c r="H19" s="13" t="s">
        <v>56</v>
      </c>
      <c r="I19" s="49"/>
      <c r="J19" s="38"/>
    </row>
    <row r="20" spans="2:10" ht="24" customHeight="1" x14ac:dyDescent="0.25">
      <c r="B20" s="53" t="s">
        <v>495</v>
      </c>
      <c r="C20" s="54"/>
      <c r="F20" s="52" t="str">
        <f>TEXT(IFERROR(VLOOKUP(INV_CLAIM,Claims[#All],6,FALSE),""),"dd-mmm")&amp;" → "&amp;TEXT(IFERROR(VLOOKUP(INV_CLAIM,Claims[#All],7,FALSE),""),"dd-mmm")</f>
        <v>19-Feb → 09-Mar</v>
      </c>
      <c r="G20" s="38"/>
      <c r="H20" s="14" t="str">
        <f>IFERROR(VLOOKUP(IFERROR(VLOOKUP(INV_CLAIM,Claims[#All],3,FALSE),0),Deals[#All],7,FALSE),DEF_LAYTIME)&amp;" d"</f>
        <v>2 d</v>
      </c>
      <c r="I20" s="52"/>
      <c r="J20" s="38"/>
    </row>
    <row r="22" spans="2:10" ht="24" customHeight="1" x14ac:dyDescent="0.25">
      <c r="B22" s="55" t="str">
        <f>"SUBJECT:  Demurrage charges — Deal "&amp;IFERROR(VLOOKUP(INV_CLAIM,Claims[#All],3,FALSE),"")&amp;" — "&amp;IFERROR(VLOOKUP(INV_CLAIM,Claims[#All],4,FALSE),"")</f>
        <v>SUBJECT:  Demurrage charges — Deal 187296 — Rubis Energy Zambia</v>
      </c>
      <c r="C22" s="56"/>
      <c r="D22" s="56"/>
      <c r="E22" s="56"/>
      <c r="F22" s="56"/>
      <c r="G22" s="56"/>
      <c r="H22" s="56"/>
      <c r="I22" s="56"/>
      <c r="J22" s="57"/>
    </row>
    <row r="24" spans="2:10" ht="21.95" customHeight="1" x14ac:dyDescent="0.25">
      <c r="B24" s="90" t="s">
        <v>503</v>
      </c>
    </row>
    <row r="25" spans="2:10" ht="26.1" customHeight="1" x14ac:dyDescent="0.25">
      <c r="B25" s="92" t="s">
        <v>504</v>
      </c>
    </row>
    <row r="26" spans="2:10" ht="14.1" customHeight="1" x14ac:dyDescent="0.25"/>
    <row r="27" spans="2:10" ht="14.1" customHeight="1" x14ac:dyDescent="0.25">
      <c r="B27" s="93" t="s">
        <v>18</v>
      </c>
      <c r="D27" s="93" t="s">
        <v>505</v>
      </c>
      <c r="F27" s="93" t="s">
        <v>57</v>
      </c>
      <c r="H27" s="93" t="s">
        <v>20</v>
      </c>
    </row>
    <row r="28" spans="2:10" ht="32.1" customHeight="1" x14ac:dyDescent="0.35">
      <c r="B28" s="94">
        <f>COUNTIF(Trips[Claim No.],INV_CLAIM)</f>
        <v>12</v>
      </c>
      <c r="D28" s="95">
        <f>SUMIFS(Trips[Excess (d)],Trips[Claim No.],INV_CLAIM)</f>
        <v>86</v>
      </c>
      <c r="F28" s="74" t="str">
        <f>"$" &amp; TEXT(IFERROR(VLOOKUP(IFERROR(VLOOKUP(INV_CLAIM,Claims[#All],3,FALSE),0),Deals[#All],8,FALSE),DEF_RATE),"#,##0") &amp; " / d"</f>
        <v>$250 / d</v>
      </c>
      <c r="H28" s="110">
        <f>IFERROR(SUMIF(Trips[Claim No.],INV_CLAIM,Trips[Demurrage (USD)])/COUNTIF(Trips[Claim No.],INV_CLAIM),0)</f>
        <v>1791.6666666666667</v>
      </c>
    </row>
    <row r="29" spans="2:10" ht="14.1" customHeight="1" x14ac:dyDescent="0.25"/>
    <row r="30" spans="2:10" ht="14.1" customHeight="1" x14ac:dyDescent="0.25"/>
    <row r="31" spans="2:10" ht="14.1" customHeight="1" x14ac:dyDescent="0.25">
      <c r="F31" s="98" t="s">
        <v>506</v>
      </c>
      <c r="G31" s="98"/>
      <c r="H31" s="98"/>
      <c r="I31" s="107">
        <f>SUMIF(Trips[Claim No.],INV_CLAIM,Trips[Demurrage (USD)])</f>
        <v>21500</v>
      </c>
    </row>
    <row r="32" spans="2:10" ht="14.1" customHeight="1" x14ac:dyDescent="0.25">
      <c r="F32" s="96" t="str">
        <f>"VAT (" &amp; TEXT(VAT_RATE,"0%") &amp; ")"</f>
        <v>VAT (0%)</v>
      </c>
      <c r="G32" s="96"/>
      <c r="H32" s="96"/>
      <c r="I32" s="108">
        <f>SUMIF(Trips[Claim No.],INV_CLAIM,Trips[Demurrage (USD)])*VAT_RATE</f>
        <v>0</v>
      </c>
    </row>
    <row r="33" spans="2:9" ht="14.1" customHeight="1" x14ac:dyDescent="0.25">
      <c r="F33" s="81"/>
      <c r="G33" s="81"/>
      <c r="H33" s="81"/>
      <c r="I33" s="81"/>
    </row>
    <row r="34" spans="2:9" ht="42" customHeight="1" x14ac:dyDescent="0.4">
      <c r="F34" s="97" t="s">
        <v>507</v>
      </c>
      <c r="G34" s="97"/>
      <c r="H34" s="97"/>
      <c r="I34" s="109">
        <f>ROUND(SUMIF(Trips[Claim No.],INV_CLAIM,Trips[Demurrage (USD)])*(1+VAT_RATE),2)</f>
        <v>21500</v>
      </c>
    </row>
    <row r="35" spans="2:9" ht="14.1" customHeight="1" x14ac:dyDescent="0.25"/>
    <row r="36" spans="2:9" ht="14.1" customHeight="1" x14ac:dyDescent="0.25">
      <c r="B36" t="inlineStr">
        <is>
          <t/>
        </is>
      </c>
      <c r="E36" t="inlineStr">
        <is>
          <t/>
        </is>
      </c>
      <c r="F36" s="142"/>
      <c r="H36" s="150"/>
    </row>
    <row r="37" spans="2:9" ht="14.1" customHeight="1" x14ac:dyDescent="0.25">
      <c r="B37" s="99" t="s">
        <v>64</v>
      </c>
    </row>
    <row r="38" spans="2:9" ht="14.1" customHeight="1" x14ac:dyDescent="0.25"/>
    <row r="39" spans="2:9" ht="129.94999999999999" customHeight="1" x14ac:dyDescent="0.25">
      <c r="C39" s="153"/>
      <c r="D39" s="153"/>
      <c r="E39" s="153"/>
      <c r="F39" s="153"/>
      <c r="G39" s="153"/>
      <c r="H39" s="153"/>
      <c r="I39" s="153"/>
    </row>
    <row r="40" spans="2:9" ht="14.1" customHeight="1" x14ac:dyDescent="0.25">
      <c r="C40" s="133"/>
      <c r="D40" s="133"/>
      <c r="E40" s="133"/>
      <c r="F40" s="133"/>
      <c r="G40" s="133"/>
      <c r="H40" s="133"/>
      <c r="I40" s="133"/>
    </row>
    <row r="41" spans="2:9" ht="14.1" customHeight="1" x14ac:dyDescent="0.25">
      <c r="B41" s="99" t="s">
        <v>508</v>
      </c>
    </row>
    <row r="42" spans="2:9" ht="14.1" customHeight="1" x14ac:dyDescent="0.25">
      <c r="B42" s="91" t="s">
        <v>509</v>
      </c>
      <c r="C42" s="101" t="str">
        <f>BANK_NAME</f>
        <v>BANQUE INTERNATIONALE DE COMMERCE - BRED (SUISSE) SA</v>
      </c>
    </row>
    <row r="43" spans="2:9" ht="14.1" customHeight="1" x14ac:dyDescent="0.25">
      <c r="B43" s="91" t="s">
        <v>510</v>
      </c>
      <c r="C43" s="101" t="str">
        <f>BANK_HOLDER</f>
        <v>MOCOHSA</v>
      </c>
    </row>
    <row r="44" spans="2:9" ht="14.1" customHeight="1" x14ac:dyDescent="0.25">
      <c r="B44" s="91" t="s">
        <v>461</v>
      </c>
      <c r="C44" s="101" t="str">
        <f>BANK_IBAN</f>
        <v>CH79 0853 7603 0748 0040 0</v>
      </c>
    </row>
    <row r="45" spans="2:9" ht="14.1" customHeight="1" x14ac:dyDescent="0.25">
      <c r="B45" s="91" t="s">
        <v>463</v>
      </c>
      <c r="C45" s="101" t="str">
        <f>BANK_SWIFT</f>
        <v>BICFCHGGXXX</v>
      </c>
    </row>
    <row r="46" spans="2:9" ht="14.1" customHeight="1" x14ac:dyDescent="0.25">
      <c r="B46" s="91" t="s">
        <v>513</v>
      </c>
      <c r="C46" s="101" t="str">
        <f>BANK_CORR &amp; " (" &amp; BANK_CORR_SWIFT &amp; ")"</f>
        <v>JP MORGAN CHASE NY (CHASUS33XXX)</v>
      </c>
    </row>
    <row r="47" spans="2:9" ht="14.1" customHeight="1" x14ac:dyDescent="0.25"/>
    <row r="48" spans="2:9" ht="14.1" customHeight="1" x14ac:dyDescent="0.25">
      <c r="B48" s="91" t="s">
        <v>65</v>
      </c>
      <c r="F48" s="91" t="s">
        <v>511</v>
      </c>
    </row>
    <row r="49" spans="2:6" ht="14.1" customHeight="1" x14ac:dyDescent="0.25">
      <c r="B49" s="73" t="str">
        <f>COMPANY_NAME</f>
        <v>MOCOH SA</v>
      </c>
    </row>
    <row r="50" spans="2:6" ht="14.1" customHeight="1" x14ac:dyDescent="0.25">
      <c r="F50" s="100" t="s">
        <v>512</v>
      </c>
    </row>
    <row r="51" spans="2:6" ht="14.1" customHeight="1" x14ac:dyDescent="0.25"/>
    <row r="52" spans="2:6" ht="14.1" customHeight="1" x14ac:dyDescent="0.25"/>
    <row r="53" spans="2:6" ht="14.1" customHeight="1" x14ac:dyDescent="0.25"/>
    <row r="54" spans="2:6" ht="14.1" customHeight="1" x14ac:dyDescent="0.25"/>
    <row r="55" spans="2:6" ht="14.1" customHeight="1" x14ac:dyDescent="0.25"/>
    <row r="56" spans="2:6" ht="14.1" customHeight="1" x14ac:dyDescent="0.25"/>
    <row r="57" spans="2:6" ht="14.1" customHeight="1" x14ac:dyDescent="0.25"/>
    <row r="61" spans="2:6" ht="27.95" customHeight="1" x14ac:dyDescent="0.25"/>
    <row r="64" spans="2:6" ht="20.100000000000001" customHeight="1" x14ac:dyDescent="0.25"/>
    <row r="65" ht="27.95" customHeight="1" x14ac:dyDescent="0.25"/>
    <row r="67" ht="20.100000000000001" customHeight="1" x14ac:dyDescent="0.25"/>
    <row r="73" ht="36" customHeight="1" x14ac:dyDescent="0.25"/>
  </sheetData>
  <mergeCells count="25">
    <mergeCell ref="F10:J10"/>
    <mergeCell ref="F19:G19"/>
    <mergeCell ref="F31:H31"/>
    <mergeCell ref="F32:H32"/>
    <mergeCell ref="F34:H34"/>
    <mergeCell ref="B39:I39"/>
    <mergeCell ref="B16:C16"/>
    <mergeCell ref="F16:G16"/>
    <mergeCell ref="F3:J3"/>
    <mergeCell ref="F20:G20"/>
    <mergeCell ref="B17:C17"/>
    <mergeCell ref="D17:E17"/>
    <mergeCell ref="F17:G17"/>
    <mergeCell ref="H17:I17"/>
    <mergeCell ref="I19:J19"/>
    <mergeCell ref="B10:E10"/>
    <mergeCell ref="D16:E16"/>
    <mergeCell ref="H16:I16"/>
    <mergeCell ref="B19:C19"/>
    <mergeCell ref="F11:J14"/>
    <mergeCell ref="B11:E13"/>
    <mergeCell ref="B14:E14"/>
    <mergeCell ref="I20:J20"/>
    <mergeCell ref="B20:C20"/>
    <mergeCell ref="B22:J22"/>
  </mergeCells>
  <dataValidations count="1">
    <dataValidation type="list" errorStyle="warning" allowBlank="1" showErrorMessage="1" errorTitle="Check entry" error="Pick an existing claim number." sqref="B20" xr:uid="{139B15C1-0093-4A1A-88FA-34550593E00A}">
      <formula1>LIST_ClaimNo</formula1>
    </dataValidation>
  </dataValidations>
  <hyperlinks>
    <hyperlink ref="C2" location="Dashboard!A1" tooltip="Go to 📊 Dashboard" display="📊 Dashboard" xr:uid="{448946BD-5535-4071-9734-7575C35FE05D}"/>
    <hyperlink ref="D2" location="'Trips Ledger'!A1" tooltip="Go to 🚚 Trips" display="🚚 Trips" xr:uid="{F5561296-FDDA-4AAE-A98F-B9DA1D50BF32}"/>
    <hyperlink ref="E2" location="Claims!A1" tooltip="Go to 🧾 Claims" display="🧾 Claims" xr:uid="{2048E881-83D5-4930-BA84-A86C17F2C162}"/>
    <hyperlink ref="F2" location="Deals!A1" tooltip="Go to 📑 Deals" display="📑 Deals" xr:uid="{3B4E0BE4-8B76-4B27-9C5A-4F42A13044E0}"/>
    <hyperlink ref="G2" location="Invoice!A1" tooltip="Go to 💰 Invoice" display="💰 Invoice" xr:uid="{AD78CBFC-1234-401E-9093-437A7558FB35}"/>
    <hyperlink ref="H2" location="Annex!A1" tooltip="Go to 📎 Annex" display="📎 Annex" xr:uid="{F1C77A68-29A0-4F3B-B069-65684B95B18B}"/>
    <hyperlink ref="B2" location="Cover!A1" tooltip="Go to 📋 Cover" display="📋 Cover" xr:uid="{8C3EEF89-59E9-4C3B-B994-99124B92392C}"/>
  </hyperlinks>
  <printOptions horizontalCentered="1"/>
  <pageMargins left="0.5" right="0.5" top="0.5" bottom="0.5" header="0.5" footer="0.5"/>
  <pageSetup scale="77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56643-A4E8-46CE-A289-4594F215DFBE}">
  <sheetPr codeName="Sheet4">
    <tabColor rgb="FF1F3D8E"/>
    <pageSetUpPr fitToPage="1"/>
  </sheetPr>
  <dimension ref="B2:K62"/>
  <sheetViews>
    <sheetView workbookViewId="0">
      <selection activeCell="F26" sqref="F26"/>
    </sheetView>
  </sheetViews>
  <sheetFormatPr defaultRowHeight="15" x14ac:dyDescent="0.25"/>
  <cols>
    <col min="1" max="1" width="2.28515625" customWidth="1"/>
    <col min="2" max="2" width="7.5703125" customWidth="1"/>
    <col min="3" max="3" width="17.140625" customWidth="1"/>
    <col min="4" max="4" width="22.85546875" customWidth="1"/>
    <col min="5" max="6" width="18.140625" customWidth="1"/>
    <col min="7" max="7" width="21" customWidth="1"/>
    <col min="8" max="10" width="11.42578125" customWidth="1"/>
    <col min="11" max="11" width="21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7" t="s">
        <v>514</v>
      </c>
      <c r="K2" s="134" t="s">
        <v>521</v>
      </c>
    </row>
    <row r="5" spans="2:11" ht="23.25" x14ac:dyDescent="0.35">
      <c r="B5" s="74" t="s">
        <v>500</v>
      </c>
    </row>
    <row r="6" spans="2:11" x14ac:dyDescent="0.25">
      <c r="B6" s="75" t="str">
        <f>"For Invoice " &amp; INV_CLAIM &amp; " — " &amp; IFERROR(VLOOKUP(INV_CLAIM,Claims[#All],4,FALSE),"") &amp; "  •  Deal " &amp; IFERROR(VLOOKUP(INV_CLAIM,Claims[#All],3,FALSE),"")</f>
        <v>For Invoice 187296-DEM — Rubis Energy Zambia  •  Deal 187296</v>
      </c>
    </row>
    <row r="8" spans="2:11" x14ac:dyDescent="0.25">
      <c r="B8" s="76" t="s">
        <v>501</v>
      </c>
      <c r="C8" s="78" t="str">
        <f>INV_CLAIM</f>
        <v>187296-DEM</v>
      </c>
      <c r="E8" s="76" t="s">
        <v>55</v>
      </c>
      <c r="F8" s="77" t="str">
        <f>TEXT(IFERROR(VLOOKUP(INV_CLAIM,Claims[#All],6,FALSE),""),"dd-mmm-yyyy")&amp;"  →  "&amp;TEXT(IFERROR(VLOOKUP(INV_CLAIM,Claims[#All],7,FALSE),""),"dd-mmm-yyyy")</f>
        <v>19-Feb-2026  →  09-Mar-2026</v>
      </c>
      <c r="I8" s="76" t="s">
        <v>18</v>
      </c>
      <c r="J8" s="78">
        <f>COUNTIF(Trips[Claim No.],INV_CLAIM)</f>
        <v>12</v>
      </c>
    </row>
    <row r="10" spans="2:11" ht="15.75" thickBot="1" x14ac:dyDescent="0.3"/>
    <row r="11" spans="2:11" x14ac:dyDescent="0.25">
      <c r="B11" s="84" t="s">
        <v>58</v>
      </c>
      <c r="C11" s="85" t="s">
        <v>502</v>
      </c>
      <c r="D11" s="85" t="s">
        <v>60</v>
      </c>
      <c r="E11" s="85" t="s">
        <v>61</v>
      </c>
      <c r="F11" s="85" t="s">
        <v>62</v>
      </c>
      <c r="G11" s="85" t="s">
        <v>24</v>
      </c>
      <c r="H11" s="86" t="s">
        <v>86</v>
      </c>
      <c r="I11" s="86" t="s">
        <v>87</v>
      </c>
      <c r="J11" s="86" t="s">
        <v>88</v>
      </c>
      <c r="K11" s="86" t="s">
        <v>90</v>
      </c>
    </row>
    <row r="12" spans="2:11" x14ac:dyDescent="0.25">
      <c r="B12" s="81" cm="1">
        <f t="array" ref="B12">IFERROR(IF(SMALL(IF(Trips[Claim No.]=INV_CLAIM,_xlfn.SEQUENCE(ROWS(Trips[Claim No.]))),ROW()-11)&gt;0,ROW()-11,""),"")</f>
        <v>1</v>
      </c>
      <c r="C12" s="82" cm="1">
        <f t="array" ref="C12">IFERROR(INDEX(Trips[Date Loaded],SMALL(IF(Trips[Claim No.]=INV_CLAIM,_xlfn.SEQUENCE(ROWS(Trips[Claim No.]))),ROW()-11)),"")</f>
        <v>46072</v>
      </c>
      <c r="D12" s="81" t="str" cm="1">
        <f t="array" ref="D12">IFERROR(INDEX(Trips[Truck No.],SMALL(IF(Trips[Claim No.]=INV_CLAIM,_xlfn.SEQUENCE(ROWS(Trips[Claim No.]))),ROW()-11)),"")</f>
        <v>AKN 021 MC</v>
      </c>
      <c r="E12" s="82" cm="1">
        <f t="array" ref="E12">IFERROR(INDEX(Trips[Arrival],SMALL(IF(Trips[Claim No.]=INV_CLAIM,_xlfn.SEQUENCE(ROWS(Trips[Claim No.]))),ROW()-11)),"")</f>
        <v>46076</v>
      </c>
      <c r="F12" s="82" cm="1">
        <f t="array" ref="F12">IFERROR(INDEX(Trips[Offloaded],SMALL(IF(Trips[Claim No.]=INV_CLAIM,_xlfn.SEQUENCE(ROWS(Trips[Claim No.]))),ROW()-11)),"")</f>
        <v>46084</v>
      </c>
      <c r="G12" s="81" t="str" cm="1">
        <f t="array" ref="G12">IFERROR(INDEX(Trips[Consignee],SMALL(IF(Trips[Claim No.]=INV_CLAIM,_xlfn.SEQUENCE(ROWS(Trips[Claim No.]))),ROW()-11)),"")</f>
        <v>Rubis Energy Zambia</v>
      </c>
      <c r="H12" s="83" cm="1">
        <f t="array" ref="H12">IFERROR(INDEX(Trips[Waiting (d)],SMALL(IF(Trips[Claim No.]=INV_CLAIM,_xlfn.SEQUENCE(ROWS(Trips[Claim No.]))),ROW()-11)),"")</f>
        <v>8</v>
      </c>
      <c r="I12" s="83" cm="1">
        <f t="array" ref="I12">IFERROR(INDEX(Trips[Laytime (d)],SMALL(IF(Trips[Claim No.]=INV_CLAIM,_xlfn.SEQUENCE(ROWS(Trips[Claim No.]))),ROW()-11)),"")</f>
        <v>2</v>
      </c>
      <c r="J12" s="83" cm="1">
        <f t="array" ref="J12">IFERROR(INDEX(Trips[Excess (d)],SMALL(IF(Trips[Claim No.]=INV_CLAIM,_xlfn.SEQUENCE(ROWS(Trips[Claim No.]))),ROW()-11)),"")</f>
        <v>6</v>
      </c>
      <c r="K12" s="111" cm="1">
        <f t="array" ref="K12">IFERROR(INDEX(Trips[Demurrage (USD)],SMALL(IF(Trips[Claim No.]=INV_CLAIM,_xlfn.SEQUENCE(ROWS(Trips[Claim No.]))),ROW()-11)),"")</f>
        <v>1500</v>
      </c>
    </row>
    <row r="13" spans="2:11" x14ac:dyDescent="0.25">
      <c r="B13" s="81" cm="1">
        <f t="array" ref="B13">IFERROR(IF(SMALL(IF(Trips[Claim No.]=INV_CLAIM,_xlfn.SEQUENCE(ROWS(Trips[Claim No.]))),ROW()-11)&gt;0,ROW()-11,""),"")</f>
        <v>2</v>
      </c>
      <c r="C13" s="82" cm="1">
        <f t="array" ref="C13">IFERROR(INDEX(Trips[Date Loaded],SMALL(IF(Trips[Claim No.]=INV_CLAIM,_xlfn.SEQUENCE(ROWS(Trips[Claim No.]))),ROW()-11)),"")</f>
        <v>46072</v>
      </c>
      <c r="D13" s="81" t="str" cm="1">
        <f t="array" ref="D13">IFERROR(INDEX(Trips[Truck No.],SMALL(IF(Trips[Claim No.]=INV_CLAIM,_xlfn.SEQUENCE(ROWS(Trips[Claim No.]))),ROW()-11)),"")</f>
        <v>ABC 281 SF</v>
      </c>
      <c r="E13" s="82" cm="1">
        <f t="array" ref="E13">IFERROR(INDEX(Trips[Arrival],SMALL(IF(Trips[Claim No.]=INV_CLAIM,_xlfn.SEQUENCE(ROWS(Trips[Claim No.]))),ROW()-11)),"")</f>
        <v>46076</v>
      </c>
      <c r="F13" s="82" cm="1">
        <f t="array" ref="F13">IFERROR(INDEX(Trips[Offloaded],SMALL(IF(Trips[Claim No.]=INV_CLAIM,_xlfn.SEQUENCE(ROWS(Trips[Claim No.]))),ROW()-11)),"")</f>
        <v>46080</v>
      </c>
      <c r="G13" s="81" t="str" cm="1">
        <f t="array" ref="G13">IFERROR(INDEX(Trips[Consignee],SMALL(IF(Trips[Claim No.]=INV_CLAIM,_xlfn.SEQUENCE(ROWS(Trips[Claim No.]))),ROW()-11)),"")</f>
        <v>Rubis Energy Zambia</v>
      </c>
      <c r="H13" s="83" cm="1">
        <f t="array" ref="H13">IFERROR(INDEX(Trips[Waiting (d)],SMALL(IF(Trips[Claim No.]=INV_CLAIM,_xlfn.SEQUENCE(ROWS(Trips[Claim No.]))),ROW()-11)),"")</f>
        <v>4</v>
      </c>
      <c r="I13" s="83" cm="1">
        <f t="array" ref="I13">IFERROR(INDEX(Trips[Laytime (d)],SMALL(IF(Trips[Claim No.]=INV_CLAIM,_xlfn.SEQUENCE(ROWS(Trips[Claim No.]))),ROW()-11)),"")</f>
        <v>2</v>
      </c>
      <c r="J13" s="83" cm="1">
        <f t="array" ref="J13">IFERROR(INDEX(Trips[Excess (d)],SMALL(IF(Trips[Claim No.]=INV_CLAIM,_xlfn.SEQUENCE(ROWS(Trips[Claim No.]))),ROW()-11)),"")</f>
        <v>2</v>
      </c>
      <c r="K13" s="111" cm="1">
        <f t="array" ref="K13">IFERROR(INDEX(Trips[Demurrage (USD)],SMALL(IF(Trips[Claim No.]=INV_CLAIM,_xlfn.SEQUENCE(ROWS(Trips[Claim No.]))),ROW()-11)),"")</f>
        <v>500</v>
      </c>
    </row>
    <row r="14" spans="2:11" x14ac:dyDescent="0.25">
      <c r="B14" s="81" cm="1">
        <f t="array" ref="B14">IFERROR(IF(SMALL(IF(Trips[Claim No.]=INV_CLAIM,_xlfn.SEQUENCE(ROWS(Trips[Claim No.]))),ROW()-11)&gt;0,ROW()-11,""),"")</f>
        <v>3</v>
      </c>
      <c r="C14" s="82" cm="1">
        <f t="array" ref="C14">IFERROR(INDEX(Trips[Date Loaded],SMALL(IF(Trips[Claim No.]=INV_CLAIM,_xlfn.SEQUENCE(ROWS(Trips[Claim No.]))),ROW()-11)),"")</f>
        <v>46072</v>
      </c>
      <c r="D14" s="81" t="str" cm="1">
        <f t="array" ref="D14">IFERROR(INDEX(Trips[Truck No.],SMALL(IF(Trips[Claim No.]=INV_CLAIM,_xlfn.SEQUENCE(ROWS(Trips[Claim No.]))),ROW()-11)),"")</f>
        <v>ABC 296 SF</v>
      </c>
      <c r="E14" s="82" cm="1">
        <f t="array" ref="E14">IFERROR(INDEX(Trips[Arrival],SMALL(IF(Trips[Claim No.]=INV_CLAIM,_xlfn.SEQUENCE(ROWS(Trips[Claim No.]))),ROW()-11)),"")</f>
        <v>46076</v>
      </c>
      <c r="F14" s="82" cm="1">
        <f t="array" ref="F14">IFERROR(INDEX(Trips[Offloaded],SMALL(IF(Trips[Claim No.]=INV_CLAIM,_xlfn.SEQUENCE(ROWS(Trips[Claim No.]))),ROW()-11)),"")</f>
        <v>46080</v>
      </c>
      <c r="G14" s="81" t="str" cm="1">
        <f t="array" ref="G14">IFERROR(INDEX(Trips[Consignee],SMALL(IF(Trips[Claim No.]=INV_CLAIM,_xlfn.SEQUENCE(ROWS(Trips[Claim No.]))),ROW()-11)),"")</f>
        <v>Rubis Energy Zambia</v>
      </c>
      <c r="H14" s="83" cm="1">
        <f t="array" ref="H14">IFERROR(INDEX(Trips[Waiting (d)],SMALL(IF(Trips[Claim No.]=INV_CLAIM,_xlfn.SEQUENCE(ROWS(Trips[Claim No.]))),ROW()-11)),"")</f>
        <v>4</v>
      </c>
      <c r="I14" s="83" cm="1">
        <f t="array" ref="I14">IFERROR(INDEX(Trips[Laytime (d)],SMALL(IF(Trips[Claim No.]=INV_CLAIM,_xlfn.SEQUENCE(ROWS(Trips[Claim No.]))),ROW()-11)),"")</f>
        <v>2</v>
      </c>
      <c r="J14" s="83" cm="1">
        <f t="array" ref="J14">IFERROR(INDEX(Trips[Excess (d)],SMALL(IF(Trips[Claim No.]=INV_CLAIM,_xlfn.SEQUENCE(ROWS(Trips[Claim No.]))),ROW()-11)),"")</f>
        <v>2</v>
      </c>
      <c r="K14" s="111" cm="1">
        <f t="array" ref="K14">IFERROR(INDEX(Trips[Demurrage (USD)],SMALL(IF(Trips[Claim No.]=INV_CLAIM,_xlfn.SEQUENCE(ROWS(Trips[Claim No.]))),ROW()-11)),"")</f>
        <v>500</v>
      </c>
    </row>
    <row r="15" spans="2:11" x14ac:dyDescent="0.25">
      <c r="B15" s="81" cm="1">
        <f t="array" ref="B15">IFERROR(IF(SMALL(IF(Trips[Claim No.]=INV_CLAIM,_xlfn.SEQUENCE(ROWS(Trips[Claim No.]))),ROW()-11)&gt;0,ROW()-11,""),"")</f>
        <v>4</v>
      </c>
      <c r="C15" s="82" cm="1">
        <f t="array" ref="C15">IFERROR(INDEX(Trips[Date Loaded],SMALL(IF(Trips[Claim No.]=INV_CLAIM,_xlfn.SEQUENCE(ROWS(Trips[Claim No.]))),ROW()-11)),"")</f>
        <v>46072</v>
      </c>
      <c r="D15" s="81" t="str" cm="1">
        <f t="array" ref="D15">IFERROR(INDEX(Trips[Truck No.],SMALL(IF(Trips[Claim No.]=INV_CLAIM,_xlfn.SEQUENCE(ROWS(Trips[Claim No.]))),ROW()-11)),"")</f>
        <v>ABC 288 SF</v>
      </c>
      <c r="E15" s="82" cm="1">
        <f t="array" ref="E15">IFERROR(INDEX(Trips[Arrival],SMALL(IF(Trips[Claim No.]=INV_CLAIM,_xlfn.SEQUENCE(ROWS(Trips[Claim No.]))),ROW()-11)),"")</f>
        <v>46076</v>
      </c>
      <c r="F15" s="82" cm="1">
        <f t="array" ref="F15">IFERROR(INDEX(Trips[Offloaded],SMALL(IF(Trips[Claim No.]=INV_CLAIM,_xlfn.SEQUENCE(ROWS(Trips[Claim No.]))),ROW()-11)),"")</f>
        <v>46084</v>
      </c>
      <c r="G15" s="81" t="str" cm="1">
        <f t="array" ref="G15">IFERROR(INDEX(Trips[Consignee],SMALL(IF(Trips[Claim No.]=INV_CLAIM,_xlfn.SEQUENCE(ROWS(Trips[Claim No.]))),ROW()-11)),"")</f>
        <v>Rubis Energy Zambia</v>
      </c>
      <c r="H15" s="83" cm="1">
        <f t="array" ref="H15">IFERROR(INDEX(Trips[Waiting (d)],SMALL(IF(Trips[Claim No.]=INV_CLAIM,_xlfn.SEQUENCE(ROWS(Trips[Claim No.]))),ROW()-11)),"")</f>
        <v>8</v>
      </c>
      <c r="I15" s="83" cm="1">
        <f t="array" ref="I15">IFERROR(INDEX(Trips[Laytime (d)],SMALL(IF(Trips[Claim No.]=INV_CLAIM,_xlfn.SEQUENCE(ROWS(Trips[Claim No.]))),ROW()-11)),"")</f>
        <v>2</v>
      </c>
      <c r="J15" s="83" cm="1">
        <f t="array" ref="J15">IFERROR(INDEX(Trips[Excess (d)],SMALL(IF(Trips[Claim No.]=INV_CLAIM,_xlfn.SEQUENCE(ROWS(Trips[Claim No.]))),ROW()-11)),"")</f>
        <v>6</v>
      </c>
      <c r="K15" s="111" cm="1">
        <f t="array" ref="K15">IFERROR(INDEX(Trips[Demurrage (USD)],SMALL(IF(Trips[Claim No.]=INV_CLAIM,_xlfn.SEQUENCE(ROWS(Trips[Claim No.]))),ROW()-11)),"")</f>
        <v>1500</v>
      </c>
    </row>
    <row r="16" spans="2:11" x14ac:dyDescent="0.25">
      <c r="B16" s="81" cm="1">
        <f t="array" ref="B16">IFERROR(IF(SMALL(IF(Trips[Claim No.]=INV_CLAIM,_xlfn.SEQUENCE(ROWS(Trips[Claim No.]))),ROW()-11)&gt;0,ROW()-11,""),"")</f>
        <v>5</v>
      </c>
      <c r="C16" s="82" cm="1">
        <f t="array" ref="C16">IFERROR(INDEX(Trips[Date Loaded],SMALL(IF(Trips[Claim No.]=INV_CLAIM,_xlfn.SEQUENCE(ROWS(Trips[Claim No.]))),ROW()-11)),"")</f>
        <v>46072</v>
      </c>
      <c r="D16" s="81" t="str" cm="1">
        <f t="array" ref="D16">IFERROR(INDEX(Trips[Truck No.],SMALL(IF(Trips[Claim No.]=INV_CLAIM,_xlfn.SEQUENCE(ROWS(Trips[Claim No.]))),ROW()-11)),"")</f>
        <v>AKO 096 MC</v>
      </c>
      <c r="E16" s="82" cm="1">
        <f t="array" ref="E16">IFERROR(INDEX(Trips[Arrival],SMALL(IF(Trips[Claim No.]=INV_CLAIM,_xlfn.SEQUENCE(ROWS(Trips[Claim No.]))),ROW()-11)),"")</f>
        <v>46076</v>
      </c>
      <c r="F16" s="82" cm="1">
        <f t="array" ref="F16">IFERROR(INDEX(Trips[Offloaded],SMALL(IF(Trips[Claim No.]=INV_CLAIM,_xlfn.SEQUENCE(ROWS(Trips[Claim No.]))),ROW()-11)),"")</f>
        <v>46087</v>
      </c>
      <c r="G16" s="81" t="str" cm="1">
        <f t="array" ref="G16">IFERROR(INDEX(Trips[Consignee],SMALL(IF(Trips[Claim No.]=INV_CLAIM,_xlfn.SEQUENCE(ROWS(Trips[Claim No.]))),ROW()-11)),"")</f>
        <v>Rubis Energy Zambia</v>
      </c>
      <c r="H16" s="83" cm="1">
        <f t="array" ref="H16">IFERROR(INDEX(Trips[Waiting (d)],SMALL(IF(Trips[Claim No.]=INV_CLAIM,_xlfn.SEQUENCE(ROWS(Trips[Claim No.]))),ROW()-11)),"")</f>
        <v>11</v>
      </c>
      <c r="I16" s="83" cm="1">
        <f t="array" ref="I16">IFERROR(INDEX(Trips[Laytime (d)],SMALL(IF(Trips[Claim No.]=INV_CLAIM,_xlfn.SEQUENCE(ROWS(Trips[Claim No.]))),ROW()-11)),"")</f>
        <v>2</v>
      </c>
      <c r="J16" s="83" cm="1">
        <f t="array" ref="J16">IFERROR(INDEX(Trips[Excess (d)],SMALL(IF(Trips[Claim No.]=INV_CLAIM,_xlfn.SEQUENCE(ROWS(Trips[Claim No.]))),ROW()-11)),"")</f>
        <v>9</v>
      </c>
      <c r="K16" s="111" cm="1">
        <f t="array" ref="K16">IFERROR(INDEX(Trips[Demurrage (USD)],SMALL(IF(Trips[Claim No.]=INV_CLAIM,_xlfn.SEQUENCE(ROWS(Trips[Claim No.]))),ROW()-11)),"")</f>
        <v>2250</v>
      </c>
    </row>
    <row r="17" spans="2:11" x14ac:dyDescent="0.25">
      <c r="B17" s="81" cm="1">
        <f t="array" ref="B17">IFERROR(IF(SMALL(IF(Trips[Claim No.]=INV_CLAIM,_xlfn.SEQUENCE(ROWS(Trips[Claim No.]))),ROW()-11)&gt;0,ROW()-11,""),"")</f>
        <v>6</v>
      </c>
      <c r="C17" s="82" cm="1">
        <f t="array" ref="C17">IFERROR(INDEX(Trips[Date Loaded],SMALL(IF(Trips[Claim No.]=INV_CLAIM,_xlfn.SEQUENCE(ROWS(Trips[Claim No.]))),ROW()-11)),"")</f>
        <v>46072</v>
      </c>
      <c r="D17" s="81" t="str" cm="1">
        <f t="array" ref="D17">IFERROR(INDEX(Trips[Truck No.],SMALL(IF(Trips[Claim No.]=INV_CLAIM,_xlfn.SEQUENCE(ROWS(Trips[Claim No.]))),ROW()-11)),"")</f>
        <v>AKN 003 MC</v>
      </c>
      <c r="E17" s="82" cm="1">
        <f t="array" ref="E17">IFERROR(INDEX(Trips[Arrival],SMALL(IF(Trips[Claim No.]=INV_CLAIM,_xlfn.SEQUENCE(ROWS(Trips[Claim No.]))),ROW()-11)),"")</f>
        <v>46077</v>
      </c>
      <c r="F17" s="82" cm="1">
        <f t="array" ref="F17">IFERROR(INDEX(Trips[Offloaded],SMALL(IF(Trips[Claim No.]=INV_CLAIM,_xlfn.SEQUENCE(ROWS(Trips[Claim No.]))),ROW()-11)),"")</f>
        <v>46087</v>
      </c>
      <c r="G17" s="81" t="str" cm="1">
        <f t="array" ref="G17">IFERROR(INDEX(Trips[Consignee],SMALL(IF(Trips[Claim No.]=INV_CLAIM,_xlfn.SEQUENCE(ROWS(Trips[Claim No.]))),ROW()-11)),"")</f>
        <v>Rubis Energy Zambia</v>
      </c>
      <c r="H17" s="83" cm="1">
        <f t="array" ref="H17">IFERROR(INDEX(Trips[Waiting (d)],SMALL(IF(Trips[Claim No.]=INV_CLAIM,_xlfn.SEQUENCE(ROWS(Trips[Claim No.]))),ROW()-11)),"")</f>
        <v>10</v>
      </c>
      <c r="I17" s="83" cm="1">
        <f t="array" ref="I17">IFERROR(INDEX(Trips[Laytime (d)],SMALL(IF(Trips[Claim No.]=INV_CLAIM,_xlfn.SEQUENCE(ROWS(Trips[Claim No.]))),ROW()-11)),"")</f>
        <v>2</v>
      </c>
      <c r="J17" s="83" cm="1">
        <f t="array" ref="J17">IFERROR(INDEX(Trips[Excess (d)],SMALL(IF(Trips[Claim No.]=INV_CLAIM,_xlfn.SEQUENCE(ROWS(Trips[Claim No.]))),ROW()-11)),"")</f>
        <v>8</v>
      </c>
      <c r="K17" s="111" cm="1">
        <f t="array" ref="K17">IFERROR(INDEX(Trips[Demurrage (USD)],SMALL(IF(Trips[Claim No.]=INV_CLAIM,_xlfn.SEQUENCE(ROWS(Trips[Claim No.]))),ROW()-11)),"")</f>
        <v>2000</v>
      </c>
    </row>
    <row r="18" spans="2:11" x14ac:dyDescent="0.25">
      <c r="B18" s="81" cm="1">
        <f t="array" ref="B18">IFERROR(IF(SMALL(IF(Trips[Claim No.]=INV_CLAIM,_xlfn.SEQUENCE(ROWS(Trips[Claim No.]))),ROW()-11)&gt;0,ROW()-11,""),"")</f>
        <v>7</v>
      </c>
      <c r="C18" s="82" cm="1">
        <f t="array" ref="C18">IFERROR(INDEX(Trips[Date Loaded],SMALL(IF(Trips[Claim No.]=INV_CLAIM,_xlfn.SEQUENCE(ROWS(Trips[Claim No.]))),ROW()-11)),"")</f>
        <v>46072</v>
      </c>
      <c r="D18" s="81" t="str" cm="1">
        <f t="array" ref="D18">IFERROR(INDEX(Trips[Truck No.],SMALL(IF(Trips[Claim No.]=INV_CLAIM,_xlfn.SEQUENCE(ROWS(Trips[Claim No.]))),ROW()-11)),"")</f>
        <v>AKN 017 MC</v>
      </c>
      <c r="E18" s="82" cm="1">
        <f t="array" ref="E18">IFERROR(INDEX(Trips[Arrival],SMALL(IF(Trips[Claim No.]=INV_CLAIM,_xlfn.SEQUENCE(ROWS(Trips[Claim No.]))),ROW()-11)),"")</f>
        <v>46076</v>
      </c>
      <c r="F18" s="82" cm="1">
        <f t="array" ref="F18">IFERROR(INDEX(Trips[Offloaded],SMALL(IF(Trips[Claim No.]=INV_CLAIM,_xlfn.SEQUENCE(ROWS(Trips[Claim No.]))),ROW()-11)),"")</f>
        <v>46087</v>
      </c>
      <c r="G18" s="81" t="str" cm="1">
        <f t="array" ref="G18">IFERROR(INDEX(Trips[Consignee],SMALL(IF(Trips[Claim No.]=INV_CLAIM,_xlfn.SEQUENCE(ROWS(Trips[Claim No.]))),ROW()-11)),"")</f>
        <v>Rubis Energy Zambia</v>
      </c>
      <c r="H18" s="83" cm="1">
        <f t="array" ref="H18">IFERROR(INDEX(Trips[Waiting (d)],SMALL(IF(Trips[Claim No.]=INV_CLAIM,_xlfn.SEQUENCE(ROWS(Trips[Claim No.]))),ROW()-11)),"")</f>
        <v>11</v>
      </c>
      <c r="I18" s="83" cm="1">
        <f t="array" ref="I18">IFERROR(INDEX(Trips[Laytime (d)],SMALL(IF(Trips[Claim No.]=INV_CLAIM,_xlfn.SEQUENCE(ROWS(Trips[Claim No.]))),ROW()-11)),"")</f>
        <v>2</v>
      </c>
      <c r="J18" s="83" cm="1">
        <f t="array" ref="J18">IFERROR(INDEX(Trips[Excess (d)],SMALL(IF(Trips[Claim No.]=INV_CLAIM,_xlfn.SEQUENCE(ROWS(Trips[Claim No.]))),ROW()-11)),"")</f>
        <v>9</v>
      </c>
      <c r="K18" s="111" cm="1">
        <f t="array" ref="K18">IFERROR(INDEX(Trips[Demurrage (USD)],SMALL(IF(Trips[Claim No.]=INV_CLAIM,_xlfn.SEQUENCE(ROWS(Trips[Claim No.]))),ROW()-11)),"")</f>
        <v>2250</v>
      </c>
    </row>
    <row r="19" spans="2:11" x14ac:dyDescent="0.25">
      <c r="B19" s="81" cm="1">
        <f t="array" ref="B19">IFERROR(IF(SMALL(IF(Trips[Claim No.]=INV_CLAIM,_xlfn.SEQUENCE(ROWS(Trips[Claim No.]))),ROW()-11)&gt;0,ROW()-11,""),"")</f>
        <v>8</v>
      </c>
      <c r="C19" s="82" cm="1">
        <f t="array" ref="C19">IFERROR(INDEX(Trips[Date Loaded],SMALL(IF(Trips[Claim No.]=INV_CLAIM,_xlfn.SEQUENCE(ROWS(Trips[Claim No.]))),ROW()-11)),"")</f>
        <v>46072</v>
      </c>
      <c r="D19" s="81" t="str" cm="1">
        <f t="array" ref="D19">IFERROR(INDEX(Trips[Truck No.],SMALL(IF(Trips[Claim No.]=INV_CLAIM,_xlfn.SEQUENCE(ROWS(Trips[Claim No.]))),ROW()-11)),"")</f>
        <v>AKO 141 MC</v>
      </c>
      <c r="E19" s="82" cm="1">
        <f t="array" ref="E19">IFERROR(INDEX(Trips[Arrival],SMALL(IF(Trips[Claim No.]=INV_CLAIM,_xlfn.SEQUENCE(ROWS(Trips[Claim No.]))),ROW()-11)),"")</f>
        <v>46076</v>
      </c>
      <c r="F19" s="82" cm="1">
        <f t="array" ref="F19">IFERROR(INDEX(Trips[Offloaded],SMALL(IF(Trips[Claim No.]=INV_CLAIM,_xlfn.SEQUENCE(ROWS(Trips[Claim No.]))),ROW()-11)),"")</f>
        <v>46086</v>
      </c>
      <c r="G19" s="81" t="str" cm="1">
        <f t="array" ref="G19">IFERROR(INDEX(Trips[Consignee],SMALL(IF(Trips[Claim No.]=INV_CLAIM,_xlfn.SEQUENCE(ROWS(Trips[Claim No.]))),ROW()-11)),"")</f>
        <v>Rubis Energy Zambia</v>
      </c>
      <c r="H19" s="83" cm="1">
        <f t="array" ref="H19">IFERROR(INDEX(Trips[Waiting (d)],SMALL(IF(Trips[Claim No.]=INV_CLAIM,_xlfn.SEQUENCE(ROWS(Trips[Claim No.]))),ROW()-11)),"")</f>
        <v>10</v>
      </c>
      <c r="I19" s="83" cm="1">
        <f t="array" ref="I19">IFERROR(INDEX(Trips[Laytime (d)],SMALL(IF(Trips[Claim No.]=INV_CLAIM,_xlfn.SEQUENCE(ROWS(Trips[Claim No.]))),ROW()-11)),"")</f>
        <v>2</v>
      </c>
      <c r="J19" s="83" cm="1">
        <f t="array" ref="J19">IFERROR(INDEX(Trips[Excess (d)],SMALL(IF(Trips[Claim No.]=INV_CLAIM,_xlfn.SEQUENCE(ROWS(Trips[Claim No.]))),ROW()-11)),"")</f>
        <v>8</v>
      </c>
      <c r="K19" s="111" cm="1">
        <f t="array" ref="K19">IFERROR(INDEX(Trips[Demurrage (USD)],SMALL(IF(Trips[Claim No.]=INV_CLAIM,_xlfn.SEQUENCE(ROWS(Trips[Claim No.]))),ROW()-11)),"")</f>
        <v>2000</v>
      </c>
    </row>
    <row r="20" spans="2:11" x14ac:dyDescent="0.25">
      <c r="B20" s="81" cm="1">
        <f t="array" ref="B20">IFERROR(IF(SMALL(IF(Trips[Claim No.]=INV_CLAIM,_xlfn.SEQUENCE(ROWS(Trips[Claim No.]))),ROW()-11)&gt;0,ROW()-11,""),"")</f>
        <v>9</v>
      </c>
      <c r="C20" s="82" cm="1">
        <f t="array" ref="C20">IFERROR(INDEX(Trips[Date Loaded],SMALL(IF(Trips[Claim No.]=INV_CLAIM,_xlfn.SEQUENCE(ROWS(Trips[Claim No.]))),ROW()-11)),"")</f>
        <v>46072</v>
      </c>
      <c r="D20" s="81" t="str" cm="1">
        <f t="array" ref="D20">IFERROR(INDEX(Trips[Truck No.],SMALL(IF(Trips[Claim No.]=INV_CLAIM,_xlfn.SEQUENCE(ROWS(Trips[Claim No.]))),ROW()-11)),"")</f>
        <v>ABC 257 SF</v>
      </c>
      <c r="E20" s="82" cm="1">
        <f t="array" ref="E20">IFERROR(INDEX(Trips[Arrival],SMALL(IF(Trips[Claim No.]=INV_CLAIM,_xlfn.SEQUENCE(ROWS(Trips[Claim No.]))),ROW()-11)),"")</f>
        <v>46076</v>
      </c>
      <c r="F20" s="82" cm="1">
        <f t="array" ref="F20">IFERROR(INDEX(Trips[Offloaded],SMALL(IF(Trips[Claim No.]=INV_CLAIM,_xlfn.SEQUENCE(ROWS(Trips[Claim No.]))),ROW()-11)),"")</f>
        <v>46087</v>
      </c>
      <c r="G20" s="81" t="str" cm="1">
        <f t="array" ref="G20">IFERROR(INDEX(Trips[Consignee],SMALL(IF(Trips[Claim No.]=INV_CLAIM,_xlfn.SEQUENCE(ROWS(Trips[Claim No.]))),ROW()-11)),"")</f>
        <v>Rubis Energy Zambia</v>
      </c>
      <c r="H20" s="83" cm="1">
        <f t="array" ref="H20">IFERROR(INDEX(Trips[Waiting (d)],SMALL(IF(Trips[Claim No.]=INV_CLAIM,_xlfn.SEQUENCE(ROWS(Trips[Claim No.]))),ROW()-11)),"")</f>
        <v>11</v>
      </c>
      <c r="I20" s="83" cm="1">
        <f t="array" ref="I20">IFERROR(INDEX(Trips[Laytime (d)],SMALL(IF(Trips[Claim No.]=INV_CLAIM,_xlfn.SEQUENCE(ROWS(Trips[Claim No.]))),ROW()-11)),"")</f>
        <v>2</v>
      </c>
      <c r="J20" s="83" cm="1">
        <f t="array" ref="J20">IFERROR(INDEX(Trips[Excess (d)],SMALL(IF(Trips[Claim No.]=INV_CLAIM,_xlfn.SEQUENCE(ROWS(Trips[Claim No.]))),ROW()-11)),"")</f>
        <v>9</v>
      </c>
      <c r="K20" s="111" cm="1">
        <f t="array" ref="K20">IFERROR(INDEX(Trips[Demurrage (USD)],SMALL(IF(Trips[Claim No.]=INV_CLAIM,_xlfn.SEQUENCE(ROWS(Trips[Claim No.]))),ROW()-11)),"")</f>
        <v>2250</v>
      </c>
    </row>
    <row r="21" spans="2:11" x14ac:dyDescent="0.25">
      <c r="B21" s="81" cm="1">
        <f t="array" ref="B21">IFERROR(IF(SMALL(IF(Trips[Claim No.]=INV_CLAIM,_xlfn.SEQUENCE(ROWS(Trips[Claim No.]))),ROW()-11)&gt;0,ROW()-11,""),"")</f>
        <v>10</v>
      </c>
      <c r="C21" s="82" cm="1">
        <f t="array" ref="C21">IFERROR(INDEX(Trips[Date Loaded],SMALL(IF(Trips[Claim No.]=INV_CLAIM,_xlfn.SEQUENCE(ROWS(Trips[Claim No.]))),ROW()-11)),"")</f>
        <v>46073</v>
      </c>
      <c r="D21" s="81" t="str" cm="1">
        <f t="array" ref="D21">IFERROR(INDEX(Trips[Truck No.],SMALL(IF(Trips[Claim No.]=INV_CLAIM,_xlfn.SEQUENCE(ROWS(Trips[Claim No.]))),ROW()-11)),"")</f>
        <v>AKN 777 MC</v>
      </c>
      <c r="E21" s="82" cm="1">
        <f t="array" ref="E21">IFERROR(INDEX(Trips[Arrival],SMALL(IF(Trips[Claim No.]=INV_CLAIM,_xlfn.SEQUENCE(ROWS(Trips[Claim No.]))),ROW()-11)),"")</f>
        <v>46077</v>
      </c>
      <c r="F21" s="82" cm="1">
        <f t="array" ref="F21">IFERROR(INDEX(Trips[Offloaded],SMALL(IF(Trips[Claim No.]=INV_CLAIM,_xlfn.SEQUENCE(ROWS(Trips[Claim No.]))),ROW()-11)),"")</f>
        <v>46087</v>
      </c>
      <c r="G21" s="81" t="str" cm="1">
        <f t="array" ref="G21">IFERROR(INDEX(Trips[Consignee],SMALL(IF(Trips[Claim No.]=INV_CLAIM,_xlfn.SEQUENCE(ROWS(Trips[Claim No.]))),ROW()-11)),"")</f>
        <v>Rubis Energy Zambia</v>
      </c>
      <c r="H21" s="83" cm="1">
        <f t="array" ref="H21">IFERROR(INDEX(Trips[Waiting (d)],SMALL(IF(Trips[Claim No.]=INV_CLAIM,_xlfn.SEQUENCE(ROWS(Trips[Claim No.]))),ROW()-11)),"")</f>
        <v>10</v>
      </c>
      <c r="I21" s="83" cm="1">
        <f t="array" ref="I21">IFERROR(INDEX(Trips[Laytime (d)],SMALL(IF(Trips[Claim No.]=INV_CLAIM,_xlfn.SEQUENCE(ROWS(Trips[Claim No.]))),ROW()-11)),"")</f>
        <v>2</v>
      </c>
      <c r="J21" s="83" cm="1">
        <f t="array" ref="J21">IFERROR(INDEX(Trips[Excess (d)],SMALL(IF(Trips[Claim No.]=INV_CLAIM,_xlfn.SEQUENCE(ROWS(Trips[Claim No.]))),ROW()-11)),"")</f>
        <v>8</v>
      </c>
      <c r="K21" s="111" cm="1">
        <f t="array" ref="K21">IFERROR(INDEX(Trips[Demurrage (USD)],SMALL(IF(Trips[Claim No.]=INV_CLAIM,_xlfn.SEQUENCE(ROWS(Trips[Claim No.]))),ROW()-11)),"")</f>
        <v>2000</v>
      </c>
    </row>
    <row r="22" spans="2:11" x14ac:dyDescent="0.25">
      <c r="B22" s="81" cm="1">
        <f t="array" ref="B22">IFERROR(IF(SMALL(IF(Trips[Claim No.]=INV_CLAIM,_xlfn.SEQUENCE(ROWS(Trips[Claim No.]))),ROW()-11)&gt;0,ROW()-11,""),"")</f>
        <v>11</v>
      </c>
      <c r="C22" s="82" cm="1">
        <f t="array" ref="C22">IFERROR(INDEX(Trips[Date Loaded],SMALL(IF(Trips[Claim No.]=INV_CLAIM,_xlfn.SEQUENCE(ROWS(Trips[Claim No.]))),ROW()-11)),"")</f>
        <v>46073</v>
      </c>
      <c r="D22" s="81" t="str" cm="1">
        <f t="array" ref="D22">IFERROR(INDEX(Trips[Truck No.],SMALL(IF(Trips[Claim No.]=INV_CLAIM,_xlfn.SEQUENCE(ROWS(Trips[Claim No.]))),ROW()-11)),"")</f>
        <v>ABC 241 SF</v>
      </c>
      <c r="E22" s="82" cm="1">
        <f t="array" ref="E22">IFERROR(INDEX(Trips[Arrival],SMALL(IF(Trips[Claim No.]=INV_CLAIM,_xlfn.SEQUENCE(ROWS(Trips[Claim No.]))),ROW()-11)),"")</f>
        <v>46077</v>
      </c>
      <c r="F22" s="82" cm="1">
        <f t="array" ref="F22">IFERROR(INDEX(Trips[Offloaded],SMALL(IF(Trips[Claim No.]=INV_CLAIM,_xlfn.SEQUENCE(ROWS(Trips[Claim No.]))),ROW()-11)),"")</f>
        <v>46090</v>
      </c>
      <c r="G22" s="81" t="str" cm="1">
        <f t="array" ref="G22">IFERROR(INDEX(Trips[Consignee],SMALL(IF(Trips[Claim No.]=INV_CLAIM,_xlfn.SEQUENCE(ROWS(Trips[Claim No.]))),ROW()-11)),"")</f>
        <v>Rubis Energy Zambia</v>
      </c>
      <c r="H22" s="83" cm="1">
        <f t="array" ref="H22">IFERROR(INDEX(Trips[Waiting (d)],SMALL(IF(Trips[Claim No.]=INV_CLAIM,_xlfn.SEQUENCE(ROWS(Trips[Claim No.]))),ROW()-11)),"")</f>
        <v>13</v>
      </c>
      <c r="I22" s="83" cm="1">
        <f t="array" ref="I22">IFERROR(INDEX(Trips[Laytime (d)],SMALL(IF(Trips[Claim No.]=INV_CLAIM,_xlfn.SEQUENCE(ROWS(Trips[Claim No.]))),ROW()-11)),"")</f>
        <v>2</v>
      </c>
      <c r="J22" s="83" cm="1">
        <f t="array" ref="J22">IFERROR(INDEX(Trips[Excess (d)],SMALL(IF(Trips[Claim No.]=INV_CLAIM,_xlfn.SEQUENCE(ROWS(Trips[Claim No.]))),ROW()-11)),"")</f>
        <v>11</v>
      </c>
      <c r="K22" s="111" cm="1">
        <f t="array" ref="K22">IFERROR(INDEX(Trips[Demurrage (USD)],SMALL(IF(Trips[Claim No.]=INV_CLAIM,_xlfn.SEQUENCE(ROWS(Trips[Claim No.]))),ROW()-11)),"")</f>
        <v>2750</v>
      </c>
    </row>
    <row r="23" spans="2:11" x14ac:dyDescent="0.25">
      <c r="B23" s="81" cm="1">
        <f t="array" ref="B23">IFERROR(IF(SMALL(IF(Trips[Claim No.]=INV_CLAIM,_xlfn.SEQUENCE(ROWS(Trips[Claim No.]))),ROW()-11)&gt;0,ROW()-11,""),"")</f>
        <v>12</v>
      </c>
      <c r="C23" s="82" cm="1">
        <f t="array" ref="C23">IFERROR(INDEX(Trips[Date Loaded],SMALL(IF(Trips[Claim No.]=INV_CLAIM,_xlfn.SEQUENCE(ROWS(Trips[Claim No.]))),ROW()-11)),"")</f>
        <v>46073</v>
      </c>
      <c r="D23" s="81" t="str" cm="1">
        <f t="array" ref="D23">IFERROR(INDEX(Trips[Truck No.],SMALL(IF(Trips[Claim No.]=INV_CLAIM,_xlfn.SEQUENCE(ROWS(Trips[Claim No.]))),ROW()-11)),"")</f>
        <v>ABC 248 SF</v>
      </c>
      <c r="E23" s="82" cm="1">
        <f t="array" ref="E23">IFERROR(INDEX(Trips[Arrival],SMALL(IF(Trips[Claim No.]=INV_CLAIM,_xlfn.SEQUENCE(ROWS(Trips[Claim No.]))),ROW()-11)),"")</f>
        <v>46077</v>
      </c>
      <c r="F23" s="82" cm="1">
        <f t="array" ref="F23">IFERROR(INDEX(Trips[Offloaded],SMALL(IF(Trips[Claim No.]=INV_CLAIM,_xlfn.SEQUENCE(ROWS(Trips[Claim No.]))),ROW()-11)),"")</f>
        <v>46087</v>
      </c>
      <c r="G23" s="81" t="str" cm="1">
        <f t="array" ref="G23">IFERROR(INDEX(Trips[Consignee],SMALL(IF(Trips[Claim No.]=INV_CLAIM,_xlfn.SEQUENCE(ROWS(Trips[Claim No.]))),ROW()-11)),"")</f>
        <v>Rubis Energy Zambia</v>
      </c>
      <c r="H23" s="83" cm="1">
        <f t="array" ref="H23">IFERROR(INDEX(Trips[Waiting (d)],SMALL(IF(Trips[Claim No.]=INV_CLAIM,_xlfn.SEQUENCE(ROWS(Trips[Claim No.]))),ROW()-11)),"")</f>
        <v>10</v>
      </c>
      <c r="I23" s="83" cm="1">
        <f t="array" ref="I23">IFERROR(INDEX(Trips[Laytime (d)],SMALL(IF(Trips[Claim No.]=INV_CLAIM,_xlfn.SEQUENCE(ROWS(Trips[Claim No.]))),ROW()-11)),"")</f>
        <v>2</v>
      </c>
      <c r="J23" s="83" cm="1">
        <f t="array" ref="J23">IFERROR(INDEX(Trips[Excess (d)],SMALL(IF(Trips[Claim No.]=INV_CLAIM,_xlfn.SEQUENCE(ROWS(Trips[Claim No.]))),ROW()-11)),"")</f>
        <v>8</v>
      </c>
      <c r="K23" s="111" cm="1">
        <f t="array" ref="K23">IFERROR(INDEX(Trips[Demurrage (USD)],SMALL(IF(Trips[Claim No.]=INV_CLAIM,_xlfn.SEQUENCE(ROWS(Trips[Claim No.]))),ROW()-11)),"")</f>
        <v>2000</v>
      </c>
    </row>
    <row r="24" spans="2:11" x14ac:dyDescent="0.25">
      <c r="B24" s="81" t="str" cm="1">
        <f t="array" ref="B24">IFERROR(IF(SMALL(IF(Trips[Claim No.]=INV_CLAIM,_xlfn.SEQUENCE(ROWS(Trips[Claim No.]))),ROW()-11)&gt;0,ROW()-11,""),"")</f>
        <v/>
      </c>
      <c r="C24" s="82" t="str" cm="1">
        <f t="array" ref="C24">IFERROR(INDEX(Trips[Date Loaded],SMALL(IF(Trips[Claim No.]=INV_CLAIM,_xlfn.SEQUENCE(ROWS(Trips[Claim No.]))),ROW()-11)),"")</f>
        <v/>
      </c>
      <c r="D24" s="81" t="str" cm="1">
        <f t="array" ref="D24">IFERROR(INDEX(Trips[Truck No.],SMALL(IF(Trips[Claim No.]=INV_CLAIM,_xlfn.SEQUENCE(ROWS(Trips[Claim No.]))),ROW()-11)),"")</f>
        <v/>
      </c>
      <c r="E24" s="82" t="str" cm="1">
        <f t="array" ref="E24">IFERROR(INDEX(Trips[Arrival],SMALL(IF(Trips[Claim No.]=INV_CLAIM,_xlfn.SEQUENCE(ROWS(Trips[Claim No.]))),ROW()-11)),"")</f>
        <v/>
      </c>
      <c r="F24" s="82" t="str" cm="1">
        <f t="array" ref="F24">IFERROR(INDEX(Trips[Offloaded],SMALL(IF(Trips[Claim No.]=INV_CLAIM,_xlfn.SEQUENCE(ROWS(Trips[Claim No.]))),ROW()-11)),"")</f>
        <v/>
      </c>
      <c r="G24" s="81" t="str" cm="1">
        <f t="array" ref="G24">IFERROR(INDEX(Trips[Consignee],SMALL(IF(Trips[Claim No.]=INV_CLAIM,_xlfn.SEQUENCE(ROWS(Trips[Claim No.]))),ROW()-11)),"")</f>
        <v/>
      </c>
      <c r="H24" s="83" t="str" cm="1">
        <f t="array" ref="H24">IFERROR(INDEX(Trips[Waiting (d)],SMALL(IF(Trips[Claim No.]=INV_CLAIM,_xlfn.SEQUENCE(ROWS(Trips[Claim No.]))),ROW()-11)),"")</f>
        <v/>
      </c>
      <c r="I24" s="83" t="str" cm="1">
        <f t="array" ref="I24">IFERROR(INDEX(Trips[Laytime (d)],SMALL(IF(Trips[Claim No.]=INV_CLAIM,_xlfn.SEQUENCE(ROWS(Trips[Claim No.]))),ROW()-11)),"")</f>
        <v/>
      </c>
      <c r="J24" s="83" t="str" cm="1">
        <f t="array" ref="J24">IFERROR(INDEX(Trips[Excess (d)],SMALL(IF(Trips[Claim No.]=INV_CLAIM,_xlfn.SEQUENCE(ROWS(Trips[Claim No.]))),ROW()-11)),"")</f>
        <v/>
      </c>
      <c r="K24" s="111" t="str" cm="1">
        <f t="array" ref="K24">IFERROR(INDEX(Trips[Demurrage (USD)],SMALL(IF(Trips[Claim No.]=INV_CLAIM,_xlfn.SEQUENCE(ROWS(Trips[Claim No.]))),ROW()-11)),"")</f>
        <v/>
      </c>
    </row>
    <row r="25" spans="2:11" x14ac:dyDescent="0.25">
      <c r="B25" s="81" t="str" cm="1">
        <f t="array" ref="B25">IFERROR(IF(SMALL(IF(Trips[Claim No.]=INV_CLAIM,_xlfn.SEQUENCE(ROWS(Trips[Claim No.]))),ROW()-11)&gt;0,ROW()-11,""),"")</f>
        <v/>
      </c>
      <c r="C25" s="82" t="str" cm="1">
        <f t="array" ref="C25">IFERROR(INDEX(Trips[Date Loaded],SMALL(IF(Trips[Claim No.]=INV_CLAIM,_xlfn.SEQUENCE(ROWS(Trips[Claim No.]))),ROW()-11)),"")</f>
        <v/>
      </c>
      <c r="D25" s="81" t="str" cm="1">
        <f t="array" ref="D25">IFERROR(INDEX(Trips[Truck No.],SMALL(IF(Trips[Claim No.]=INV_CLAIM,_xlfn.SEQUENCE(ROWS(Trips[Claim No.]))),ROW()-11)),"")</f>
        <v/>
      </c>
      <c r="E25" s="82" t="str" cm="1">
        <f t="array" ref="E25">IFERROR(INDEX(Trips[Arrival],SMALL(IF(Trips[Claim No.]=INV_CLAIM,_xlfn.SEQUENCE(ROWS(Trips[Claim No.]))),ROW()-11)),"")</f>
        <v/>
      </c>
      <c r="F25" s="82" t="str" cm="1">
        <f t="array" ref="F25">IFERROR(INDEX(Trips[Offloaded],SMALL(IF(Trips[Claim No.]=INV_CLAIM,_xlfn.SEQUENCE(ROWS(Trips[Claim No.]))),ROW()-11)),"")</f>
        <v/>
      </c>
      <c r="G25" s="81" t="str" cm="1">
        <f t="array" ref="G25">IFERROR(INDEX(Trips[Consignee],SMALL(IF(Trips[Claim No.]=INV_CLAIM,_xlfn.SEQUENCE(ROWS(Trips[Claim No.]))),ROW()-11)),"")</f>
        <v/>
      </c>
      <c r="H25" s="83" t="str" cm="1">
        <f t="array" ref="H25">IFERROR(INDEX(Trips[Waiting (d)],SMALL(IF(Trips[Claim No.]=INV_CLAIM,_xlfn.SEQUENCE(ROWS(Trips[Claim No.]))),ROW()-11)),"")</f>
        <v/>
      </c>
      <c r="I25" s="83" t="str" cm="1">
        <f t="array" ref="I25">IFERROR(INDEX(Trips[Laytime (d)],SMALL(IF(Trips[Claim No.]=INV_CLAIM,_xlfn.SEQUENCE(ROWS(Trips[Claim No.]))),ROW()-11)),"")</f>
        <v/>
      </c>
      <c r="J25" s="83" t="str" cm="1">
        <f t="array" ref="J25">IFERROR(INDEX(Trips[Excess (d)],SMALL(IF(Trips[Claim No.]=INV_CLAIM,_xlfn.SEQUENCE(ROWS(Trips[Claim No.]))),ROW()-11)),"")</f>
        <v/>
      </c>
      <c r="K25" s="111" t="str" cm="1">
        <f t="array" ref="K25">IFERROR(INDEX(Trips[Demurrage (USD)],SMALL(IF(Trips[Claim No.]=INV_CLAIM,_xlfn.SEQUENCE(ROWS(Trips[Claim No.]))),ROW()-11)),"")</f>
        <v/>
      </c>
    </row>
    <row r="26" spans="2:11" x14ac:dyDescent="0.25">
      <c r="B26" s="81" t="str" cm="1">
        <f t="array" ref="B26">IFERROR(IF(SMALL(IF(Trips[Claim No.]=INV_CLAIM,_xlfn.SEQUENCE(ROWS(Trips[Claim No.]))),ROW()-11)&gt;0,ROW()-11,""),"")</f>
        <v/>
      </c>
      <c r="C26" s="82" t="str" cm="1">
        <f t="array" ref="C26">IFERROR(INDEX(Trips[Date Loaded],SMALL(IF(Trips[Claim No.]=INV_CLAIM,_xlfn.SEQUENCE(ROWS(Trips[Claim No.]))),ROW()-11)),"")</f>
        <v/>
      </c>
      <c r="D26" s="81" t="str" cm="1">
        <f t="array" ref="D26">IFERROR(INDEX(Trips[Truck No.],SMALL(IF(Trips[Claim No.]=INV_CLAIM,_xlfn.SEQUENCE(ROWS(Trips[Claim No.]))),ROW()-11)),"")</f>
        <v/>
      </c>
      <c r="E26" s="82" t="str" cm="1">
        <f t="array" ref="E26">IFERROR(INDEX(Trips[Arrival],SMALL(IF(Trips[Claim No.]=INV_CLAIM,_xlfn.SEQUENCE(ROWS(Trips[Claim No.]))),ROW()-11)),"")</f>
        <v/>
      </c>
      <c r="F26" s="82" t="str" cm="1">
        <f t="array" ref="F26">IFERROR(INDEX(Trips[Offloaded],SMALL(IF(Trips[Claim No.]=INV_CLAIM,_xlfn.SEQUENCE(ROWS(Trips[Claim No.]))),ROW()-11)),"")</f>
        <v/>
      </c>
      <c r="G26" s="81" t="str" cm="1">
        <f t="array" ref="G26">IFERROR(INDEX(Trips[Consignee],SMALL(IF(Trips[Claim No.]=INV_CLAIM,_xlfn.SEQUENCE(ROWS(Trips[Claim No.]))),ROW()-11)),"")</f>
        <v/>
      </c>
      <c r="H26" s="83" t="str" cm="1">
        <f t="array" ref="H26">IFERROR(INDEX(Trips[Waiting (d)],SMALL(IF(Trips[Claim No.]=INV_CLAIM,_xlfn.SEQUENCE(ROWS(Trips[Claim No.]))),ROW()-11)),"")</f>
        <v/>
      </c>
      <c r="I26" s="83" t="str" cm="1">
        <f t="array" ref="I26">IFERROR(INDEX(Trips[Laytime (d)],SMALL(IF(Trips[Claim No.]=INV_CLAIM,_xlfn.SEQUENCE(ROWS(Trips[Claim No.]))),ROW()-11)),"")</f>
        <v/>
      </c>
      <c r="J26" s="83" t="str" cm="1">
        <f t="array" ref="J26">IFERROR(INDEX(Trips[Excess (d)],SMALL(IF(Trips[Claim No.]=INV_CLAIM,_xlfn.SEQUENCE(ROWS(Trips[Claim No.]))),ROW()-11)),"")</f>
        <v/>
      </c>
      <c r="K26" s="111" t="str" cm="1">
        <f t="array" ref="K26">IFERROR(INDEX(Trips[Demurrage (USD)],SMALL(IF(Trips[Claim No.]=INV_CLAIM,_xlfn.SEQUENCE(ROWS(Trips[Claim No.]))),ROW()-11)),"")</f>
        <v/>
      </c>
    </row>
    <row r="27" spans="2:11" x14ac:dyDescent="0.25">
      <c r="B27" s="81" t="str" cm="1">
        <f t="array" ref="B27">IFERROR(IF(SMALL(IF(Trips[Claim No.]=INV_CLAIM,_xlfn.SEQUENCE(ROWS(Trips[Claim No.]))),ROW()-11)&gt;0,ROW()-11,""),"")</f>
        <v/>
      </c>
      <c r="C27" s="82" t="str" cm="1">
        <f t="array" ref="C27">IFERROR(INDEX(Trips[Date Loaded],SMALL(IF(Trips[Claim No.]=INV_CLAIM,_xlfn.SEQUENCE(ROWS(Trips[Claim No.]))),ROW()-11)),"")</f>
        <v/>
      </c>
      <c r="D27" s="81" t="str" cm="1">
        <f t="array" ref="D27">IFERROR(INDEX(Trips[Truck No.],SMALL(IF(Trips[Claim No.]=INV_CLAIM,_xlfn.SEQUENCE(ROWS(Trips[Claim No.]))),ROW()-11)),"")</f>
        <v/>
      </c>
      <c r="E27" s="82" t="str" cm="1">
        <f t="array" ref="E27">IFERROR(INDEX(Trips[Arrival],SMALL(IF(Trips[Claim No.]=INV_CLAIM,_xlfn.SEQUENCE(ROWS(Trips[Claim No.]))),ROW()-11)),"")</f>
        <v/>
      </c>
      <c r="F27" s="82" t="str" cm="1">
        <f t="array" ref="F27">IFERROR(INDEX(Trips[Offloaded],SMALL(IF(Trips[Claim No.]=INV_CLAIM,_xlfn.SEQUENCE(ROWS(Trips[Claim No.]))),ROW()-11)),"")</f>
        <v/>
      </c>
      <c r="G27" s="81" t="str" cm="1">
        <f t="array" ref="G27">IFERROR(INDEX(Trips[Consignee],SMALL(IF(Trips[Claim No.]=INV_CLAIM,_xlfn.SEQUENCE(ROWS(Trips[Claim No.]))),ROW()-11)),"")</f>
        <v/>
      </c>
      <c r="H27" s="83" t="str" cm="1">
        <f t="array" ref="H27">IFERROR(INDEX(Trips[Waiting (d)],SMALL(IF(Trips[Claim No.]=INV_CLAIM,_xlfn.SEQUENCE(ROWS(Trips[Claim No.]))),ROW()-11)),"")</f>
        <v/>
      </c>
      <c r="I27" s="83" t="str" cm="1">
        <f t="array" ref="I27">IFERROR(INDEX(Trips[Laytime (d)],SMALL(IF(Trips[Claim No.]=INV_CLAIM,_xlfn.SEQUENCE(ROWS(Trips[Claim No.]))),ROW()-11)),"")</f>
        <v/>
      </c>
      <c r="J27" s="83" t="str" cm="1">
        <f t="array" ref="J27">IFERROR(INDEX(Trips[Excess (d)],SMALL(IF(Trips[Claim No.]=INV_CLAIM,_xlfn.SEQUENCE(ROWS(Trips[Claim No.]))),ROW()-11)),"")</f>
        <v/>
      </c>
      <c r="K27" s="111" t="str" cm="1">
        <f t="array" ref="K27">IFERROR(INDEX(Trips[Demurrage (USD)],SMALL(IF(Trips[Claim No.]=INV_CLAIM,_xlfn.SEQUENCE(ROWS(Trips[Claim No.]))),ROW()-11)),"")</f>
        <v/>
      </c>
    </row>
    <row r="28" spans="2:11" x14ac:dyDescent="0.25">
      <c r="B28" s="81" t="str" cm="1">
        <f t="array" ref="B28">IFERROR(IF(SMALL(IF(Trips[Claim No.]=INV_CLAIM,_xlfn.SEQUENCE(ROWS(Trips[Claim No.]))),ROW()-11)&gt;0,ROW()-11,""),"")</f>
        <v/>
      </c>
      <c r="C28" s="82" t="str" cm="1">
        <f t="array" ref="C28">IFERROR(INDEX(Trips[Date Loaded],SMALL(IF(Trips[Claim No.]=INV_CLAIM,_xlfn.SEQUENCE(ROWS(Trips[Claim No.]))),ROW()-11)),"")</f>
        <v/>
      </c>
      <c r="D28" s="81" t="str" cm="1">
        <f t="array" ref="D28">IFERROR(INDEX(Trips[Truck No.],SMALL(IF(Trips[Claim No.]=INV_CLAIM,_xlfn.SEQUENCE(ROWS(Trips[Claim No.]))),ROW()-11)),"")</f>
        <v/>
      </c>
      <c r="E28" s="82" t="str" cm="1">
        <f t="array" ref="E28">IFERROR(INDEX(Trips[Arrival],SMALL(IF(Trips[Claim No.]=INV_CLAIM,_xlfn.SEQUENCE(ROWS(Trips[Claim No.]))),ROW()-11)),"")</f>
        <v/>
      </c>
      <c r="F28" s="82" t="str" cm="1">
        <f t="array" ref="F28">IFERROR(INDEX(Trips[Offloaded],SMALL(IF(Trips[Claim No.]=INV_CLAIM,_xlfn.SEQUENCE(ROWS(Trips[Claim No.]))),ROW()-11)),"")</f>
        <v/>
      </c>
      <c r="G28" s="81" t="str" cm="1">
        <f t="array" ref="G28">IFERROR(INDEX(Trips[Consignee],SMALL(IF(Trips[Claim No.]=INV_CLAIM,_xlfn.SEQUENCE(ROWS(Trips[Claim No.]))),ROW()-11)),"")</f>
        <v/>
      </c>
      <c r="H28" s="83" t="str" cm="1">
        <f t="array" ref="H28">IFERROR(INDEX(Trips[Waiting (d)],SMALL(IF(Trips[Claim No.]=INV_CLAIM,_xlfn.SEQUENCE(ROWS(Trips[Claim No.]))),ROW()-11)),"")</f>
        <v/>
      </c>
      <c r="I28" s="83" t="str" cm="1">
        <f t="array" ref="I28">IFERROR(INDEX(Trips[Laytime (d)],SMALL(IF(Trips[Claim No.]=INV_CLAIM,_xlfn.SEQUENCE(ROWS(Trips[Claim No.]))),ROW()-11)),"")</f>
        <v/>
      </c>
      <c r="J28" s="83" t="str" cm="1">
        <f t="array" ref="J28">IFERROR(INDEX(Trips[Excess (d)],SMALL(IF(Trips[Claim No.]=INV_CLAIM,_xlfn.SEQUENCE(ROWS(Trips[Claim No.]))),ROW()-11)),"")</f>
        <v/>
      </c>
      <c r="K28" s="111" t="str" cm="1">
        <f t="array" ref="K28">IFERROR(INDEX(Trips[Demurrage (USD)],SMALL(IF(Trips[Claim No.]=INV_CLAIM,_xlfn.SEQUENCE(ROWS(Trips[Claim No.]))),ROW()-11)),"")</f>
        <v/>
      </c>
    </row>
    <row r="29" spans="2:11" x14ac:dyDescent="0.25">
      <c r="B29" s="81" t="str" cm="1">
        <f t="array" ref="B29">IFERROR(IF(SMALL(IF(Trips[Claim No.]=INV_CLAIM,_xlfn.SEQUENCE(ROWS(Trips[Claim No.]))),ROW()-11)&gt;0,ROW()-11,""),"")</f>
        <v/>
      </c>
      <c r="C29" s="82" t="str" cm="1">
        <f t="array" ref="C29">IFERROR(INDEX(Trips[Date Loaded],SMALL(IF(Trips[Claim No.]=INV_CLAIM,_xlfn.SEQUENCE(ROWS(Trips[Claim No.]))),ROW()-11)),"")</f>
        <v/>
      </c>
      <c r="D29" s="81" t="str" cm="1">
        <f t="array" ref="D29">IFERROR(INDEX(Trips[Truck No.],SMALL(IF(Trips[Claim No.]=INV_CLAIM,_xlfn.SEQUENCE(ROWS(Trips[Claim No.]))),ROW()-11)),"")</f>
        <v/>
      </c>
      <c r="E29" s="82" t="str" cm="1">
        <f t="array" ref="E29">IFERROR(INDEX(Trips[Arrival],SMALL(IF(Trips[Claim No.]=INV_CLAIM,_xlfn.SEQUENCE(ROWS(Trips[Claim No.]))),ROW()-11)),"")</f>
        <v/>
      </c>
      <c r="F29" s="82" t="str" cm="1">
        <f t="array" ref="F29">IFERROR(INDEX(Trips[Offloaded],SMALL(IF(Trips[Claim No.]=INV_CLAIM,_xlfn.SEQUENCE(ROWS(Trips[Claim No.]))),ROW()-11)),"")</f>
        <v/>
      </c>
      <c r="G29" s="81" t="str" cm="1">
        <f t="array" ref="G29">IFERROR(INDEX(Trips[Consignee],SMALL(IF(Trips[Claim No.]=INV_CLAIM,_xlfn.SEQUENCE(ROWS(Trips[Claim No.]))),ROW()-11)),"")</f>
        <v/>
      </c>
      <c r="H29" s="83" t="str" cm="1">
        <f t="array" ref="H29">IFERROR(INDEX(Trips[Waiting (d)],SMALL(IF(Trips[Claim No.]=INV_CLAIM,_xlfn.SEQUENCE(ROWS(Trips[Claim No.]))),ROW()-11)),"")</f>
        <v/>
      </c>
      <c r="I29" s="83" t="str" cm="1">
        <f t="array" ref="I29">IFERROR(INDEX(Trips[Laytime (d)],SMALL(IF(Trips[Claim No.]=INV_CLAIM,_xlfn.SEQUENCE(ROWS(Trips[Claim No.]))),ROW()-11)),"")</f>
        <v/>
      </c>
      <c r="J29" s="83" t="str" cm="1">
        <f t="array" ref="J29">IFERROR(INDEX(Trips[Excess (d)],SMALL(IF(Trips[Claim No.]=INV_CLAIM,_xlfn.SEQUENCE(ROWS(Trips[Claim No.]))),ROW()-11)),"")</f>
        <v/>
      </c>
      <c r="K29" s="111" t="str" cm="1">
        <f t="array" ref="K29">IFERROR(INDEX(Trips[Demurrage (USD)],SMALL(IF(Trips[Claim No.]=INV_CLAIM,_xlfn.SEQUENCE(ROWS(Trips[Claim No.]))),ROW()-11)),"")</f>
        <v/>
      </c>
    </row>
    <row r="30" spans="2:11" x14ac:dyDescent="0.25">
      <c r="B30" s="81" t="str" cm="1">
        <f t="array" ref="B30">IFERROR(IF(SMALL(IF(Trips[Claim No.]=INV_CLAIM,_xlfn.SEQUENCE(ROWS(Trips[Claim No.]))),ROW()-11)&gt;0,ROW()-11,""),"")</f>
        <v/>
      </c>
      <c r="C30" s="82" t="str" cm="1">
        <f t="array" ref="C30">IFERROR(INDEX(Trips[Date Loaded],SMALL(IF(Trips[Claim No.]=INV_CLAIM,_xlfn.SEQUENCE(ROWS(Trips[Claim No.]))),ROW()-11)),"")</f>
        <v/>
      </c>
      <c r="D30" s="81" t="str" cm="1">
        <f t="array" ref="D30">IFERROR(INDEX(Trips[Truck No.],SMALL(IF(Trips[Claim No.]=INV_CLAIM,_xlfn.SEQUENCE(ROWS(Trips[Claim No.]))),ROW()-11)),"")</f>
        <v/>
      </c>
      <c r="E30" s="82" t="str" cm="1">
        <f t="array" ref="E30">IFERROR(INDEX(Trips[Arrival],SMALL(IF(Trips[Claim No.]=INV_CLAIM,_xlfn.SEQUENCE(ROWS(Trips[Claim No.]))),ROW()-11)),"")</f>
        <v/>
      </c>
      <c r="F30" s="82" t="str" cm="1">
        <f t="array" ref="F30">IFERROR(INDEX(Trips[Offloaded],SMALL(IF(Trips[Claim No.]=INV_CLAIM,_xlfn.SEQUENCE(ROWS(Trips[Claim No.]))),ROW()-11)),"")</f>
        <v/>
      </c>
      <c r="G30" s="81" t="str" cm="1">
        <f t="array" ref="G30">IFERROR(INDEX(Trips[Consignee],SMALL(IF(Trips[Claim No.]=INV_CLAIM,_xlfn.SEQUENCE(ROWS(Trips[Claim No.]))),ROW()-11)),"")</f>
        <v/>
      </c>
      <c r="H30" s="83" t="str" cm="1">
        <f t="array" ref="H30">IFERROR(INDEX(Trips[Waiting (d)],SMALL(IF(Trips[Claim No.]=INV_CLAIM,_xlfn.SEQUENCE(ROWS(Trips[Claim No.]))),ROW()-11)),"")</f>
        <v/>
      </c>
      <c r="I30" s="83" t="str" cm="1">
        <f t="array" ref="I30">IFERROR(INDEX(Trips[Laytime (d)],SMALL(IF(Trips[Claim No.]=INV_CLAIM,_xlfn.SEQUENCE(ROWS(Trips[Claim No.]))),ROW()-11)),"")</f>
        <v/>
      </c>
      <c r="J30" s="83" t="str" cm="1">
        <f t="array" ref="J30">IFERROR(INDEX(Trips[Excess (d)],SMALL(IF(Trips[Claim No.]=INV_CLAIM,_xlfn.SEQUENCE(ROWS(Trips[Claim No.]))),ROW()-11)),"")</f>
        <v/>
      </c>
      <c r="K30" s="111" t="str" cm="1">
        <f t="array" ref="K30">IFERROR(INDEX(Trips[Demurrage (USD)],SMALL(IF(Trips[Claim No.]=INV_CLAIM,_xlfn.SEQUENCE(ROWS(Trips[Claim No.]))),ROW()-11)),"")</f>
        <v/>
      </c>
    </row>
    <row r="31" spans="2:11" x14ac:dyDescent="0.25">
      <c r="B31" s="81" t="str" cm="1">
        <f t="array" ref="B31">IFERROR(IF(SMALL(IF(Trips[Claim No.]=INV_CLAIM,_xlfn.SEQUENCE(ROWS(Trips[Claim No.]))),ROW()-11)&gt;0,ROW()-11,""),"")</f>
        <v/>
      </c>
      <c r="C31" s="82" t="str" cm="1">
        <f t="array" ref="C31">IFERROR(INDEX(Trips[Date Loaded],SMALL(IF(Trips[Claim No.]=INV_CLAIM,_xlfn.SEQUENCE(ROWS(Trips[Claim No.]))),ROW()-11)),"")</f>
        <v/>
      </c>
      <c r="D31" s="81" t="str" cm="1">
        <f t="array" ref="D31">IFERROR(INDEX(Trips[Truck No.],SMALL(IF(Trips[Claim No.]=INV_CLAIM,_xlfn.SEQUENCE(ROWS(Trips[Claim No.]))),ROW()-11)),"")</f>
        <v/>
      </c>
      <c r="E31" s="82" t="str" cm="1">
        <f t="array" ref="E31">IFERROR(INDEX(Trips[Arrival],SMALL(IF(Trips[Claim No.]=INV_CLAIM,_xlfn.SEQUENCE(ROWS(Trips[Claim No.]))),ROW()-11)),"")</f>
        <v/>
      </c>
      <c r="F31" s="82" t="str" cm="1">
        <f t="array" ref="F31">IFERROR(INDEX(Trips[Offloaded],SMALL(IF(Trips[Claim No.]=INV_CLAIM,_xlfn.SEQUENCE(ROWS(Trips[Claim No.]))),ROW()-11)),"")</f>
        <v/>
      </c>
      <c r="G31" s="81" t="str" cm="1">
        <f t="array" ref="G31">IFERROR(INDEX(Trips[Consignee],SMALL(IF(Trips[Claim No.]=INV_CLAIM,_xlfn.SEQUENCE(ROWS(Trips[Claim No.]))),ROW()-11)),"")</f>
        <v/>
      </c>
      <c r="H31" s="83" t="str" cm="1">
        <f t="array" ref="H31">IFERROR(INDEX(Trips[Waiting (d)],SMALL(IF(Trips[Claim No.]=INV_CLAIM,_xlfn.SEQUENCE(ROWS(Trips[Claim No.]))),ROW()-11)),"")</f>
        <v/>
      </c>
      <c r="I31" s="83" t="str" cm="1">
        <f t="array" ref="I31">IFERROR(INDEX(Trips[Laytime (d)],SMALL(IF(Trips[Claim No.]=INV_CLAIM,_xlfn.SEQUENCE(ROWS(Trips[Claim No.]))),ROW()-11)),"")</f>
        <v/>
      </c>
      <c r="J31" s="83" t="str" cm="1">
        <f t="array" ref="J31">IFERROR(INDEX(Trips[Excess (d)],SMALL(IF(Trips[Claim No.]=INV_CLAIM,_xlfn.SEQUENCE(ROWS(Trips[Claim No.]))),ROW()-11)),"")</f>
        <v/>
      </c>
      <c r="K31" s="111" t="str" cm="1">
        <f t="array" ref="K31">IFERROR(INDEX(Trips[Demurrage (USD)],SMALL(IF(Trips[Claim No.]=INV_CLAIM,_xlfn.SEQUENCE(ROWS(Trips[Claim No.]))),ROW()-11)),"")</f>
        <v/>
      </c>
    </row>
    <row r="32" spans="2:11" x14ac:dyDescent="0.25">
      <c r="B32" s="81" t="str" cm="1">
        <f t="array" ref="B32">IFERROR(IF(SMALL(IF(Trips[Claim No.]=INV_CLAIM,_xlfn.SEQUENCE(ROWS(Trips[Claim No.]))),ROW()-11)&gt;0,ROW()-11,""),"")</f>
        <v/>
      </c>
      <c r="C32" s="82" t="str" cm="1">
        <f t="array" ref="C32">IFERROR(INDEX(Trips[Date Loaded],SMALL(IF(Trips[Claim No.]=INV_CLAIM,_xlfn.SEQUENCE(ROWS(Trips[Claim No.]))),ROW()-11)),"")</f>
        <v/>
      </c>
      <c r="D32" s="81" t="str" cm="1">
        <f t="array" ref="D32">IFERROR(INDEX(Trips[Truck No.],SMALL(IF(Trips[Claim No.]=INV_CLAIM,_xlfn.SEQUENCE(ROWS(Trips[Claim No.]))),ROW()-11)),"")</f>
        <v/>
      </c>
      <c r="E32" s="82" t="str" cm="1">
        <f t="array" ref="E32">IFERROR(INDEX(Trips[Arrival],SMALL(IF(Trips[Claim No.]=INV_CLAIM,_xlfn.SEQUENCE(ROWS(Trips[Claim No.]))),ROW()-11)),"")</f>
        <v/>
      </c>
      <c r="F32" s="82" t="str" cm="1">
        <f t="array" ref="F32">IFERROR(INDEX(Trips[Offloaded],SMALL(IF(Trips[Claim No.]=INV_CLAIM,_xlfn.SEQUENCE(ROWS(Trips[Claim No.]))),ROW()-11)),"")</f>
        <v/>
      </c>
      <c r="G32" s="81" t="str" cm="1">
        <f t="array" ref="G32">IFERROR(INDEX(Trips[Consignee],SMALL(IF(Trips[Claim No.]=INV_CLAIM,_xlfn.SEQUENCE(ROWS(Trips[Claim No.]))),ROW()-11)),"")</f>
        <v/>
      </c>
      <c r="H32" s="83" t="str" cm="1">
        <f t="array" ref="H32">IFERROR(INDEX(Trips[Waiting (d)],SMALL(IF(Trips[Claim No.]=INV_CLAIM,_xlfn.SEQUENCE(ROWS(Trips[Claim No.]))),ROW()-11)),"")</f>
        <v/>
      </c>
      <c r="I32" s="83" t="str" cm="1">
        <f t="array" ref="I32">IFERROR(INDEX(Trips[Laytime (d)],SMALL(IF(Trips[Claim No.]=INV_CLAIM,_xlfn.SEQUENCE(ROWS(Trips[Claim No.]))),ROW()-11)),"")</f>
        <v/>
      </c>
      <c r="J32" s="83" t="str" cm="1">
        <f t="array" ref="J32">IFERROR(INDEX(Trips[Excess (d)],SMALL(IF(Trips[Claim No.]=INV_CLAIM,_xlfn.SEQUENCE(ROWS(Trips[Claim No.]))),ROW()-11)),"")</f>
        <v/>
      </c>
      <c r="K32" s="111" t="str" cm="1">
        <f t="array" ref="K32">IFERROR(INDEX(Trips[Demurrage (USD)],SMALL(IF(Trips[Claim No.]=INV_CLAIM,_xlfn.SEQUENCE(ROWS(Trips[Claim No.]))),ROW()-11)),"")</f>
        <v/>
      </c>
    </row>
    <row r="33" spans="2:11" x14ac:dyDescent="0.25">
      <c r="B33" s="81" t="str" cm="1">
        <f t="array" ref="B33">IFERROR(IF(SMALL(IF(Trips[Claim No.]=INV_CLAIM,_xlfn.SEQUENCE(ROWS(Trips[Claim No.]))),ROW()-11)&gt;0,ROW()-11,""),"")</f>
        <v/>
      </c>
      <c r="C33" s="82" t="str" cm="1">
        <f t="array" ref="C33">IFERROR(INDEX(Trips[Date Loaded],SMALL(IF(Trips[Claim No.]=INV_CLAIM,_xlfn.SEQUENCE(ROWS(Trips[Claim No.]))),ROW()-11)),"")</f>
        <v/>
      </c>
      <c r="D33" s="81" t="str" cm="1">
        <f t="array" ref="D33">IFERROR(INDEX(Trips[Truck No.],SMALL(IF(Trips[Claim No.]=INV_CLAIM,_xlfn.SEQUENCE(ROWS(Trips[Claim No.]))),ROW()-11)),"")</f>
        <v/>
      </c>
      <c r="E33" s="82" t="str" cm="1">
        <f t="array" ref="E33">IFERROR(INDEX(Trips[Arrival],SMALL(IF(Trips[Claim No.]=INV_CLAIM,_xlfn.SEQUENCE(ROWS(Trips[Claim No.]))),ROW()-11)),"")</f>
        <v/>
      </c>
      <c r="F33" s="82" t="str" cm="1">
        <f t="array" ref="F33">IFERROR(INDEX(Trips[Offloaded],SMALL(IF(Trips[Claim No.]=INV_CLAIM,_xlfn.SEQUENCE(ROWS(Trips[Claim No.]))),ROW()-11)),"")</f>
        <v/>
      </c>
      <c r="G33" s="81" t="str" cm="1">
        <f t="array" ref="G33">IFERROR(INDEX(Trips[Consignee],SMALL(IF(Trips[Claim No.]=INV_CLAIM,_xlfn.SEQUENCE(ROWS(Trips[Claim No.]))),ROW()-11)),"")</f>
        <v/>
      </c>
      <c r="H33" s="83" t="str" cm="1">
        <f t="array" ref="H33">IFERROR(INDEX(Trips[Waiting (d)],SMALL(IF(Trips[Claim No.]=INV_CLAIM,_xlfn.SEQUENCE(ROWS(Trips[Claim No.]))),ROW()-11)),"")</f>
        <v/>
      </c>
      <c r="I33" s="83" t="str" cm="1">
        <f t="array" ref="I33">IFERROR(INDEX(Trips[Laytime (d)],SMALL(IF(Trips[Claim No.]=INV_CLAIM,_xlfn.SEQUENCE(ROWS(Trips[Claim No.]))),ROW()-11)),"")</f>
        <v/>
      </c>
      <c r="J33" s="83" t="str" cm="1">
        <f t="array" ref="J33">IFERROR(INDEX(Trips[Excess (d)],SMALL(IF(Trips[Claim No.]=INV_CLAIM,_xlfn.SEQUENCE(ROWS(Trips[Claim No.]))),ROW()-11)),"")</f>
        <v/>
      </c>
      <c r="K33" s="111" t="str" cm="1">
        <f t="array" ref="K33">IFERROR(INDEX(Trips[Demurrage (USD)],SMALL(IF(Trips[Claim No.]=INV_CLAIM,_xlfn.SEQUENCE(ROWS(Trips[Claim No.]))),ROW()-11)),"")</f>
        <v/>
      </c>
    </row>
    <row r="34" spans="2:11" x14ac:dyDescent="0.25">
      <c r="B34" s="81" t="str" cm="1">
        <f t="array" ref="B34">IFERROR(IF(SMALL(IF(Trips[Claim No.]=INV_CLAIM,_xlfn.SEQUENCE(ROWS(Trips[Claim No.]))),ROW()-11)&gt;0,ROW()-11,""),"")</f>
        <v/>
      </c>
      <c r="C34" s="82" t="str" cm="1">
        <f t="array" ref="C34">IFERROR(INDEX(Trips[Date Loaded],SMALL(IF(Trips[Claim No.]=INV_CLAIM,_xlfn.SEQUENCE(ROWS(Trips[Claim No.]))),ROW()-11)),"")</f>
        <v/>
      </c>
      <c r="D34" s="81" t="str" cm="1">
        <f t="array" ref="D34">IFERROR(INDEX(Trips[Truck No.],SMALL(IF(Trips[Claim No.]=INV_CLAIM,_xlfn.SEQUENCE(ROWS(Trips[Claim No.]))),ROW()-11)),"")</f>
        <v/>
      </c>
      <c r="E34" s="82" t="str" cm="1">
        <f t="array" ref="E34">IFERROR(INDEX(Trips[Arrival],SMALL(IF(Trips[Claim No.]=INV_CLAIM,_xlfn.SEQUENCE(ROWS(Trips[Claim No.]))),ROW()-11)),"")</f>
        <v/>
      </c>
      <c r="F34" s="82" t="str" cm="1">
        <f t="array" ref="F34">IFERROR(INDEX(Trips[Offloaded],SMALL(IF(Trips[Claim No.]=INV_CLAIM,_xlfn.SEQUENCE(ROWS(Trips[Claim No.]))),ROW()-11)),"")</f>
        <v/>
      </c>
      <c r="G34" s="81" t="str" cm="1">
        <f t="array" ref="G34">IFERROR(INDEX(Trips[Consignee],SMALL(IF(Trips[Claim No.]=INV_CLAIM,_xlfn.SEQUENCE(ROWS(Trips[Claim No.]))),ROW()-11)),"")</f>
        <v/>
      </c>
      <c r="H34" s="83" t="str" cm="1">
        <f t="array" ref="H34">IFERROR(INDEX(Trips[Waiting (d)],SMALL(IF(Trips[Claim No.]=INV_CLAIM,_xlfn.SEQUENCE(ROWS(Trips[Claim No.]))),ROW()-11)),"")</f>
        <v/>
      </c>
      <c r="I34" s="83" t="str" cm="1">
        <f t="array" ref="I34">IFERROR(INDEX(Trips[Laytime (d)],SMALL(IF(Trips[Claim No.]=INV_CLAIM,_xlfn.SEQUENCE(ROWS(Trips[Claim No.]))),ROW()-11)),"")</f>
        <v/>
      </c>
      <c r="J34" s="83" t="str" cm="1">
        <f t="array" ref="J34">IFERROR(INDEX(Trips[Excess (d)],SMALL(IF(Trips[Claim No.]=INV_CLAIM,_xlfn.SEQUENCE(ROWS(Trips[Claim No.]))),ROW()-11)),"")</f>
        <v/>
      </c>
      <c r="K34" s="111" t="str" cm="1">
        <f t="array" ref="K34">IFERROR(INDEX(Trips[Demurrage (USD)],SMALL(IF(Trips[Claim No.]=INV_CLAIM,_xlfn.SEQUENCE(ROWS(Trips[Claim No.]))),ROW()-11)),"")</f>
        <v/>
      </c>
    </row>
    <row r="35" spans="2:11" x14ac:dyDescent="0.25">
      <c r="B35" s="81" t="str" cm="1">
        <f t="array" ref="B35">IFERROR(IF(SMALL(IF(Trips[Claim No.]=INV_CLAIM,_xlfn.SEQUENCE(ROWS(Trips[Claim No.]))),ROW()-11)&gt;0,ROW()-11,""),"")</f>
        <v/>
      </c>
      <c r="C35" s="82" t="str" cm="1">
        <f t="array" ref="C35">IFERROR(INDEX(Trips[Date Loaded],SMALL(IF(Trips[Claim No.]=INV_CLAIM,_xlfn.SEQUENCE(ROWS(Trips[Claim No.]))),ROW()-11)),"")</f>
        <v/>
      </c>
      <c r="D35" s="81" t="str" cm="1">
        <f t="array" ref="D35">IFERROR(INDEX(Trips[Truck No.],SMALL(IF(Trips[Claim No.]=INV_CLAIM,_xlfn.SEQUENCE(ROWS(Trips[Claim No.]))),ROW()-11)),"")</f>
        <v/>
      </c>
      <c r="E35" s="82" t="str" cm="1">
        <f t="array" ref="E35">IFERROR(INDEX(Trips[Arrival],SMALL(IF(Trips[Claim No.]=INV_CLAIM,_xlfn.SEQUENCE(ROWS(Trips[Claim No.]))),ROW()-11)),"")</f>
        <v/>
      </c>
      <c r="F35" s="82" t="str" cm="1">
        <f t="array" ref="F35">IFERROR(INDEX(Trips[Offloaded],SMALL(IF(Trips[Claim No.]=INV_CLAIM,_xlfn.SEQUENCE(ROWS(Trips[Claim No.]))),ROW()-11)),"")</f>
        <v/>
      </c>
      <c r="G35" s="81" t="str" cm="1">
        <f t="array" ref="G35">IFERROR(INDEX(Trips[Consignee],SMALL(IF(Trips[Claim No.]=INV_CLAIM,_xlfn.SEQUENCE(ROWS(Trips[Claim No.]))),ROW()-11)),"")</f>
        <v/>
      </c>
      <c r="H35" s="83" t="str" cm="1">
        <f t="array" ref="H35">IFERROR(INDEX(Trips[Waiting (d)],SMALL(IF(Trips[Claim No.]=INV_CLAIM,_xlfn.SEQUENCE(ROWS(Trips[Claim No.]))),ROW()-11)),"")</f>
        <v/>
      </c>
      <c r="I35" s="83" t="str" cm="1">
        <f t="array" ref="I35">IFERROR(INDEX(Trips[Laytime (d)],SMALL(IF(Trips[Claim No.]=INV_CLAIM,_xlfn.SEQUENCE(ROWS(Trips[Claim No.]))),ROW()-11)),"")</f>
        <v/>
      </c>
      <c r="J35" s="83" t="str" cm="1">
        <f t="array" ref="J35">IFERROR(INDEX(Trips[Excess (d)],SMALL(IF(Trips[Claim No.]=INV_CLAIM,_xlfn.SEQUENCE(ROWS(Trips[Claim No.]))),ROW()-11)),"")</f>
        <v/>
      </c>
      <c r="K35" s="111" t="str" cm="1">
        <f t="array" ref="K35">IFERROR(INDEX(Trips[Demurrage (USD)],SMALL(IF(Trips[Claim No.]=INV_CLAIM,_xlfn.SEQUENCE(ROWS(Trips[Claim No.]))),ROW()-11)),"")</f>
        <v/>
      </c>
    </row>
    <row r="36" spans="2:11" x14ac:dyDescent="0.25">
      <c r="B36" s="81" t="str" cm="1">
        <f t="array" ref="B36">IFERROR(IF(SMALL(IF(Trips[Claim No.]=INV_CLAIM,_xlfn.SEQUENCE(ROWS(Trips[Claim No.]))),ROW()-11)&gt;0,ROW()-11,""),"")</f>
        <v/>
      </c>
      <c r="C36" s="82" t="str" cm="1">
        <f t="array" ref="C36">IFERROR(INDEX(Trips[Date Loaded],SMALL(IF(Trips[Claim No.]=INV_CLAIM,_xlfn.SEQUENCE(ROWS(Trips[Claim No.]))),ROW()-11)),"")</f>
        <v/>
      </c>
      <c r="D36" s="81" t="str" cm="1">
        <f t="array" ref="D36">IFERROR(INDEX(Trips[Truck No.],SMALL(IF(Trips[Claim No.]=INV_CLAIM,_xlfn.SEQUENCE(ROWS(Trips[Claim No.]))),ROW()-11)),"")</f>
        <v/>
      </c>
      <c r="E36" s="82" t="str" cm="1">
        <f t="array" ref="E36">IFERROR(INDEX(Trips[Arrival],SMALL(IF(Trips[Claim No.]=INV_CLAIM,_xlfn.SEQUENCE(ROWS(Trips[Claim No.]))),ROW()-11)),"")</f>
        <v/>
      </c>
      <c r="F36" s="82" t="str" cm="1">
        <f t="array" ref="F36">IFERROR(INDEX(Trips[Offloaded],SMALL(IF(Trips[Claim No.]=INV_CLAIM,_xlfn.SEQUENCE(ROWS(Trips[Claim No.]))),ROW()-11)),"")</f>
        <v/>
      </c>
      <c r="G36" s="81" t="str" cm="1">
        <f t="array" ref="G36">IFERROR(INDEX(Trips[Consignee],SMALL(IF(Trips[Claim No.]=INV_CLAIM,_xlfn.SEQUENCE(ROWS(Trips[Claim No.]))),ROW()-11)),"")</f>
        <v/>
      </c>
      <c r="H36" s="83" t="str" cm="1">
        <f t="array" ref="H36">IFERROR(INDEX(Trips[Waiting (d)],SMALL(IF(Trips[Claim No.]=INV_CLAIM,_xlfn.SEQUENCE(ROWS(Trips[Claim No.]))),ROW()-11)),"")</f>
        <v/>
      </c>
      <c r="I36" s="83" t="str" cm="1">
        <f t="array" ref="I36">IFERROR(INDEX(Trips[Laytime (d)],SMALL(IF(Trips[Claim No.]=INV_CLAIM,_xlfn.SEQUENCE(ROWS(Trips[Claim No.]))),ROW()-11)),"")</f>
        <v/>
      </c>
      <c r="J36" s="83" t="str" cm="1">
        <f t="array" ref="J36">IFERROR(INDEX(Trips[Excess (d)],SMALL(IF(Trips[Claim No.]=INV_CLAIM,_xlfn.SEQUENCE(ROWS(Trips[Claim No.]))),ROW()-11)),"")</f>
        <v/>
      </c>
      <c r="K36" s="111" t="str" cm="1">
        <f t="array" ref="K36">IFERROR(INDEX(Trips[Demurrage (USD)],SMALL(IF(Trips[Claim No.]=INV_CLAIM,_xlfn.SEQUENCE(ROWS(Trips[Claim No.]))),ROW()-11)),"")</f>
        <v/>
      </c>
    </row>
    <row r="37" spans="2:11" x14ac:dyDescent="0.25">
      <c r="B37" s="81" t="str" cm="1">
        <f t="array" ref="B37">IFERROR(IF(SMALL(IF(Trips[Claim No.]=INV_CLAIM,_xlfn.SEQUENCE(ROWS(Trips[Claim No.]))),ROW()-11)&gt;0,ROW()-11,""),"")</f>
        <v/>
      </c>
      <c r="C37" s="82" t="str" cm="1">
        <f t="array" ref="C37">IFERROR(INDEX(Trips[Date Loaded],SMALL(IF(Trips[Claim No.]=INV_CLAIM,_xlfn.SEQUENCE(ROWS(Trips[Claim No.]))),ROW()-11)),"")</f>
        <v/>
      </c>
      <c r="D37" s="81" t="str" cm="1">
        <f t="array" ref="D37">IFERROR(INDEX(Trips[Truck No.],SMALL(IF(Trips[Claim No.]=INV_CLAIM,_xlfn.SEQUENCE(ROWS(Trips[Claim No.]))),ROW()-11)),"")</f>
        <v/>
      </c>
      <c r="E37" s="82" t="str" cm="1">
        <f t="array" ref="E37">IFERROR(INDEX(Trips[Arrival],SMALL(IF(Trips[Claim No.]=INV_CLAIM,_xlfn.SEQUENCE(ROWS(Trips[Claim No.]))),ROW()-11)),"")</f>
        <v/>
      </c>
      <c r="F37" s="82" t="str" cm="1">
        <f t="array" ref="F37">IFERROR(INDEX(Trips[Offloaded],SMALL(IF(Trips[Claim No.]=INV_CLAIM,_xlfn.SEQUENCE(ROWS(Trips[Claim No.]))),ROW()-11)),"")</f>
        <v/>
      </c>
      <c r="G37" s="81" t="str" cm="1">
        <f t="array" ref="G37">IFERROR(INDEX(Trips[Consignee],SMALL(IF(Trips[Claim No.]=INV_CLAIM,_xlfn.SEQUENCE(ROWS(Trips[Claim No.]))),ROW()-11)),"")</f>
        <v/>
      </c>
      <c r="H37" s="83" t="str" cm="1">
        <f t="array" ref="H37">IFERROR(INDEX(Trips[Waiting (d)],SMALL(IF(Trips[Claim No.]=INV_CLAIM,_xlfn.SEQUENCE(ROWS(Trips[Claim No.]))),ROW()-11)),"")</f>
        <v/>
      </c>
      <c r="I37" s="83" t="str" cm="1">
        <f t="array" ref="I37">IFERROR(INDEX(Trips[Laytime (d)],SMALL(IF(Trips[Claim No.]=INV_CLAIM,_xlfn.SEQUENCE(ROWS(Trips[Claim No.]))),ROW()-11)),"")</f>
        <v/>
      </c>
      <c r="J37" s="83" t="str" cm="1">
        <f t="array" ref="J37">IFERROR(INDEX(Trips[Excess (d)],SMALL(IF(Trips[Claim No.]=INV_CLAIM,_xlfn.SEQUENCE(ROWS(Trips[Claim No.]))),ROW()-11)),"")</f>
        <v/>
      </c>
      <c r="K37" s="111" t="str" cm="1">
        <f t="array" ref="K37">IFERROR(INDEX(Trips[Demurrage (USD)],SMALL(IF(Trips[Claim No.]=INV_CLAIM,_xlfn.SEQUENCE(ROWS(Trips[Claim No.]))),ROW()-11)),"")</f>
        <v/>
      </c>
    </row>
    <row r="38" spans="2:11" x14ac:dyDescent="0.25">
      <c r="B38" s="81" t="str" cm="1">
        <f t="array" ref="B38">IFERROR(IF(SMALL(IF(Trips[Claim No.]=INV_CLAIM,_xlfn.SEQUENCE(ROWS(Trips[Claim No.]))),ROW()-11)&gt;0,ROW()-11,""),"")</f>
        <v/>
      </c>
      <c r="C38" s="82" t="str" cm="1">
        <f t="array" ref="C38">IFERROR(INDEX(Trips[Date Loaded],SMALL(IF(Trips[Claim No.]=INV_CLAIM,_xlfn.SEQUENCE(ROWS(Trips[Claim No.]))),ROW()-11)),"")</f>
        <v/>
      </c>
      <c r="D38" s="81" t="str" cm="1">
        <f t="array" ref="D38">IFERROR(INDEX(Trips[Truck No.],SMALL(IF(Trips[Claim No.]=INV_CLAIM,_xlfn.SEQUENCE(ROWS(Trips[Claim No.]))),ROW()-11)),"")</f>
        <v/>
      </c>
      <c r="E38" s="82" t="str" cm="1">
        <f t="array" ref="E38">IFERROR(INDEX(Trips[Arrival],SMALL(IF(Trips[Claim No.]=INV_CLAIM,_xlfn.SEQUENCE(ROWS(Trips[Claim No.]))),ROW()-11)),"")</f>
        <v/>
      </c>
      <c r="F38" s="82" t="str" cm="1">
        <f t="array" ref="F38">IFERROR(INDEX(Trips[Offloaded],SMALL(IF(Trips[Claim No.]=INV_CLAIM,_xlfn.SEQUENCE(ROWS(Trips[Claim No.]))),ROW()-11)),"")</f>
        <v/>
      </c>
      <c r="G38" s="81" t="str" cm="1">
        <f t="array" ref="G38">IFERROR(INDEX(Trips[Consignee],SMALL(IF(Trips[Claim No.]=INV_CLAIM,_xlfn.SEQUENCE(ROWS(Trips[Claim No.]))),ROW()-11)),"")</f>
        <v/>
      </c>
      <c r="H38" s="83" t="str" cm="1">
        <f t="array" ref="H38">IFERROR(INDEX(Trips[Waiting (d)],SMALL(IF(Trips[Claim No.]=INV_CLAIM,_xlfn.SEQUENCE(ROWS(Trips[Claim No.]))),ROW()-11)),"")</f>
        <v/>
      </c>
      <c r="I38" s="83" t="str" cm="1">
        <f t="array" ref="I38">IFERROR(INDEX(Trips[Laytime (d)],SMALL(IF(Trips[Claim No.]=INV_CLAIM,_xlfn.SEQUENCE(ROWS(Trips[Claim No.]))),ROW()-11)),"")</f>
        <v/>
      </c>
      <c r="J38" s="83" t="str" cm="1">
        <f t="array" ref="J38">IFERROR(INDEX(Trips[Excess (d)],SMALL(IF(Trips[Claim No.]=INV_CLAIM,_xlfn.SEQUENCE(ROWS(Trips[Claim No.]))),ROW()-11)),"")</f>
        <v/>
      </c>
      <c r="K38" s="111" t="str" cm="1">
        <f t="array" ref="K38">IFERROR(INDEX(Trips[Demurrage (USD)],SMALL(IF(Trips[Claim No.]=INV_CLAIM,_xlfn.SEQUENCE(ROWS(Trips[Claim No.]))),ROW()-11)),"")</f>
        <v/>
      </c>
    </row>
    <row r="39" spans="2:11" x14ac:dyDescent="0.25">
      <c r="B39" s="81" t="str" cm="1">
        <f t="array" ref="B39">IFERROR(IF(SMALL(IF(Trips[Claim No.]=INV_CLAIM,_xlfn.SEQUENCE(ROWS(Trips[Claim No.]))),ROW()-11)&gt;0,ROW()-11,""),"")</f>
        <v/>
      </c>
      <c r="C39" s="82" t="str" cm="1">
        <f t="array" ref="C39">IFERROR(INDEX(Trips[Date Loaded],SMALL(IF(Trips[Claim No.]=INV_CLAIM,_xlfn.SEQUENCE(ROWS(Trips[Claim No.]))),ROW()-11)),"")</f>
        <v/>
      </c>
      <c r="D39" s="81" t="str" cm="1">
        <f t="array" ref="D39">IFERROR(INDEX(Trips[Truck No.],SMALL(IF(Trips[Claim No.]=INV_CLAIM,_xlfn.SEQUENCE(ROWS(Trips[Claim No.]))),ROW()-11)),"")</f>
        <v/>
      </c>
      <c r="E39" s="82" t="str" cm="1">
        <f t="array" ref="E39">IFERROR(INDEX(Trips[Arrival],SMALL(IF(Trips[Claim No.]=INV_CLAIM,_xlfn.SEQUENCE(ROWS(Trips[Claim No.]))),ROW()-11)),"")</f>
        <v/>
      </c>
      <c r="F39" s="82" t="str" cm="1">
        <f t="array" ref="F39">IFERROR(INDEX(Trips[Offloaded],SMALL(IF(Trips[Claim No.]=INV_CLAIM,_xlfn.SEQUENCE(ROWS(Trips[Claim No.]))),ROW()-11)),"")</f>
        <v/>
      </c>
      <c r="G39" s="81" t="str" cm="1">
        <f t="array" ref="G39">IFERROR(INDEX(Trips[Consignee],SMALL(IF(Trips[Claim No.]=INV_CLAIM,_xlfn.SEQUENCE(ROWS(Trips[Claim No.]))),ROW()-11)),"")</f>
        <v/>
      </c>
      <c r="H39" s="83" t="str" cm="1">
        <f t="array" ref="H39">IFERROR(INDEX(Trips[Waiting (d)],SMALL(IF(Trips[Claim No.]=INV_CLAIM,_xlfn.SEQUENCE(ROWS(Trips[Claim No.]))),ROW()-11)),"")</f>
        <v/>
      </c>
      <c r="I39" s="83" t="str" cm="1">
        <f t="array" ref="I39">IFERROR(INDEX(Trips[Laytime (d)],SMALL(IF(Trips[Claim No.]=INV_CLAIM,_xlfn.SEQUENCE(ROWS(Trips[Claim No.]))),ROW()-11)),"")</f>
        <v/>
      </c>
      <c r="J39" s="83" t="str" cm="1">
        <f t="array" ref="J39">IFERROR(INDEX(Trips[Excess (d)],SMALL(IF(Trips[Claim No.]=INV_CLAIM,_xlfn.SEQUENCE(ROWS(Trips[Claim No.]))),ROW()-11)),"")</f>
        <v/>
      </c>
      <c r="K39" s="111" t="str" cm="1">
        <f t="array" ref="K39">IFERROR(INDEX(Trips[Demurrage (USD)],SMALL(IF(Trips[Claim No.]=INV_CLAIM,_xlfn.SEQUENCE(ROWS(Trips[Claim No.]))),ROW()-11)),"")</f>
        <v/>
      </c>
    </row>
    <row r="40" spans="2:11" x14ac:dyDescent="0.25">
      <c r="B40" s="81" t="str" cm="1">
        <f t="array" ref="B40">IFERROR(IF(SMALL(IF(Trips[Claim No.]=INV_CLAIM,_xlfn.SEQUENCE(ROWS(Trips[Claim No.]))),ROW()-11)&gt;0,ROW()-11,""),"")</f>
        <v/>
      </c>
      <c r="C40" s="82" t="str" cm="1">
        <f t="array" ref="C40">IFERROR(INDEX(Trips[Date Loaded],SMALL(IF(Trips[Claim No.]=INV_CLAIM,_xlfn.SEQUENCE(ROWS(Trips[Claim No.]))),ROW()-11)),"")</f>
        <v/>
      </c>
      <c r="D40" s="81" t="str" cm="1">
        <f t="array" ref="D40">IFERROR(INDEX(Trips[Truck No.],SMALL(IF(Trips[Claim No.]=INV_CLAIM,_xlfn.SEQUENCE(ROWS(Trips[Claim No.]))),ROW()-11)),"")</f>
        <v/>
      </c>
      <c r="E40" s="82" t="str" cm="1">
        <f t="array" ref="E40">IFERROR(INDEX(Trips[Arrival],SMALL(IF(Trips[Claim No.]=INV_CLAIM,_xlfn.SEQUENCE(ROWS(Trips[Claim No.]))),ROW()-11)),"")</f>
        <v/>
      </c>
      <c r="F40" s="82" t="str" cm="1">
        <f t="array" ref="F40">IFERROR(INDEX(Trips[Offloaded],SMALL(IF(Trips[Claim No.]=INV_CLAIM,_xlfn.SEQUENCE(ROWS(Trips[Claim No.]))),ROW()-11)),"")</f>
        <v/>
      </c>
      <c r="G40" s="81" t="str" cm="1">
        <f t="array" ref="G40">IFERROR(INDEX(Trips[Consignee],SMALL(IF(Trips[Claim No.]=INV_CLAIM,_xlfn.SEQUENCE(ROWS(Trips[Claim No.]))),ROW()-11)),"")</f>
        <v/>
      </c>
      <c r="H40" s="83" t="str" cm="1">
        <f t="array" ref="H40">IFERROR(INDEX(Trips[Waiting (d)],SMALL(IF(Trips[Claim No.]=INV_CLAIM,_xlfn.SEQUENCE(ROWS(Trips[Claim No.]))),ROW()-11)),"")</f>
        <v/>
      </c>
      <c r="I40" s="83" t="str" cm="1">
        <f t="array" ref="I40">IFERROR(INDEX(Trips[Laytime (d)],SMALL(IF(Trips[Claim No.]=INV_CLAIM,_xlfn.SEQUENCE(ROWS(Trips[Claim No.]))),ROW()-11)),"")</f>
        <v/>
      </c>
      <c r="J40" s="83" t="str" cm="1">
        <f t="array" ref="J40">IFERROR(INDEX(Trips[Excess (d)],SMALL(IF(Trips[Claim No.]=INV_CLAIM,_xlfn.SEQUENCE(ROWS(Trips[Claim No.]))),ROW()-11)),"")</f>
        <v/>
      </c>
      <c r="K40" s="111" t="str" cm="1">
        <f t="array" ref="K40">IFERROR(INDEX(Trips[Demurrage (USD)],SMALL(IF(Trips[Claim No.]=INV_CLAIM,_xlfn.SEQUENCE(ROWS(Trips[Claim No.]))),ROW()-11)),"")</f>
        <v/>
      </c>
    </row>
    <row r="41" spans="2:11" x14ac:dyDescent="0.25">
      <c r="B41" s="81" t="str" cm="1">
        <f t="array" ref="B41">IFERROR(IF(SMALL(IF(Trips[Claim No.]=INV_CLAIM,_xlfn.SEQUENCE(ROWS(Trips[Claim No.]))),ROW()-11)&gt;0,ROW()-11,""),"")</f>
        <v/>
      </c>
      <c r="C41" s="82" t="str" cm="1">
        <f t="array" ref="C41">IFERROR(INDEX(Trips[Date Loaded],SMALL(IF(Trips[Claim No.]=INV_CLAIM,_xlfn.SEQUENCE(ROWS(Trips[Claim No.]))),ROW()-11)),"")</f>
        <v/>
      </c>
      <c r="D41" s="81" t="str" cm="1">
        <f t="array" ref="D41">IFERROR(INDEX(Trips[Truck No.],SMALL(IF(Trips[Claim No.]=INV_CLAIM,_xlfn.SEQUENCE(ROWS(Trips[Claim No.]))),ROW()-11)),"")</f>
        <v/>
      </c>
      <c r="E41" s="82" t="str" cm="1">
        <f t="array" ref="E41">IFERROR(INDEX(Trips[Arrival],SMALL(IF(Trips[Claim No.]=INV_CLAIM,_xlfn.SEQUENCE(ROWS(Trips[Claim No.]))),ROW()-11)),"")</f>
        <v/>
      </c>
      <c r="F41" s="82" t="str" cm="1">
        <f t="array" ref="F41">IFERROR(INDEX(Trips[Offloaded],SMALL(IF(Trips[Claim No.]=INV_CLAIM,_xlfn.SEQUENCE(ROWS(Trips[Claim No.]))),ROW()-11)),"")</f>
        <v/>
      </c>
      <c r="G41" s="81" t="str" cm="1">
        <f t="array" ref="G41">IFERROR(INDEX(Trips[Consignee],SMALL(IF(Trips[Claim No.]=INV_CLAIM,_xlfn.SEQUENCE(ROWS(Trips[Claim No.]))),ROW()-11)),"")</f>
        <v/>
      </c>
      <c r="H41" s="83" t="str" cm="1">
        <f t="array" ref="H41">IFERROR(INDEX(Trips[Waiting (d)],SMALL(IF(Trips[Claim No.]=INV_CLAIM,_xlfn.SEQUENCE(ROWS(Trips[Claim No.]))),ROW()-11)),"")</f>
        <v/>
      </c>
      <c r="I41" s="83" t="str" cm="1">
        <f t="array" ref="I41">IFERROR(INDEX(Trips[Laytime (d)],SMALL(IF(Trips[Claim No.]=INV_CLAIM,_xlfn.SEQUENCE(ROWS(Trips[Claim No.]))),ROW()-11)),"")</f>
        <v/>
      </c>
      <c r="J41" s="83" t="str" cm="1">
        <f t="array" ref="J41">IFERROR(INDEX(Trips[Excess (d)],SMALL(IF(Trips[Claim No.]=INV_CLAIM,_xlfn.SEQUENCE(ROWS(Trips[Claim No.]))),ROW()-11)),"")</f>
        <v/>
      </c>
      <c r="K41" s="111" t="str" cm="1">
        <f t="array" ref="K41">IFERROR(INDEX(Trips[Demurrage (USD)],SMALL(IF(Trips[Claim No.]=INV_CLAIM,_xlfn.SEQUENCE(ROWS(Trips[Claim No.]))),ROW()-11)),"")</f>
        <v/>
      </c>
    </row>
    <row r="42" spans="2:11" x14ac:dyDescent="0.25">
      <c r="B42" s="81" t="str" cm="1">
        <f t="array" ref="B42">IFERROR(IF(SMALL(IF(Trips[Claim No.]=INV_CLAIM,_xlfn.SEQUENCE(ROWS(Trips[Claim No.]))),ROW()-11)&gt;0,ROW()-11,""),"")</f>
        <v/>
      </c>
      <c r="C42" s="82" t="str" cm="1">
        <f t="array" ref="C42">IFERROR(INDEX(Trips[Date Loaded],SMALL(IF(Trips[Claim No.]=INV_CLAIM,_xlfn.SEQUENCE(ROWS(Trips[Claim No.]))),ROW()-11)),"")</f>
        <v/>
      </c>
      <c r="D42" s="81" t="str" cm="1">
        <f t="array" ref="D42">IFERROR(INDEX(Trips[Truck No.],SMALL(IF(Trips[Claim No.]=INV_CLAIM,_xlfn.SEQUENCE(ROWS(Trips[Claim No.]))),ROW()-11)),"")</f>
        <v/>
      </c>
      <c r="E42" s="82" t="str" cm="1">
        <f t="array" ref="E42">IFERROR(INDEX(Trips[Arrival],SMALL(IF(Trips[Claim No.]=INV_CLAIM,_xlfn.SEQUENCE(ROWS(Trips[Claim No.]))),ROW()-11)),"")</f>
        <v/>
      </c>
      <c r="F42" s="82" t="str" cm="1">
        <f t="array" ref="F42">IFERROR(INDEX(Trips[Offloaded],SMALL(IF(Trips[Claim No.]=INV_CLAIM,_xlfn.SEQUENCE(ROWS(Trips[Claim No.]))),ROW()-11)),"")</f>
        <v/>
      </c>
      <c r="G42" s="81" t="str" cm="1">
        <f t="array" ref="G42">IFERROR(INDEX(Trips[Consignee],SMALL(IF(Trips[Claim No.]=INV_CLAIM,_xlfn.SEQUENCE(ROWS(Trips[Claim No.]))),ROW()-11)),"")</f>
        <v/>
      </c>
      <c r="H42" s="83" t="str" cm="1">
        <f t="array" ref="H42">IFERROR(INDEX(Trips[Waiting (d)],SMALL(IF(Trips[Claim No.]=INV_CLAIM,_xlfn.SEQUENCE(ROWS(Trips[Claim No.]))),ROW()-11)),"")</f>
        <v/>
      </c>
      <c r="I42" s="83" t="str" cm="1">
        <f t="array" ref="I42">IFERROR(INDEX(Trips[Laytime (d)],SMALL(IF(Trips[Claim No.]=INV_CLAIM,_xlfn.SEQUENCE(ROWS(Trips[Claim No.]))),ROW()-11)),"")</f>
        <v/>
      </c>
      <c r="J42" s="83" t="str" cm="1">
        <f t="array" ref="J42">IFERROR(INDEX(Trips[Excess (d)],SMALL(IF(Trips[Claim No.]=INV_CLAIM,_xlfn.SEQUENCE(ROWS(Trips[Claim No.]))),ROW()-11)),"")</f>
        <v/>
      </c>
      <c r="K42" s="111" t="str" cm="1">
        <f t="array" ref="K42">IFERROR(INDEX(Trips[Demurrage (USD)],SMALL(IF(Trips[Claim No.]=INV_CLAIM,_xlfn.SEQUENCE(ROWS(Trips[Claim No.]))),ROW()-11)),"")</f>
        <v/>
      </c>
    </row>
    <row r="43" spans="2:11" x14ac:dyDescent="0.25">
      <c r="B43" s="81" t="str" cm="1">
        <f t="array" ref="B43">IFERROR(IF(SMALL(IF(Trips[Claim No.]=INV_CLAIM,_xlfn.SEQUENCE(ROWS(Trips[Claim No.]))),ROW()-11)&gt;0,ROW()-11,""),"")</f>
        <v/>
      </c>
      <c r="C43" s="82" t="str" cm="1">
        <f t="array" ref="C43">IFERROR(INDEX(Trips[Date Loaded],SMALL(IF(Trips[Claim No.]=INV_CLAIM,_xlfn.SEQUENCE(ROWS(Trips[Claim No.]))),ROW()-11)),"")</f>
        <v/>
      </c>
      <c r="D43" s="81" t="str" cm="1">
        <f t="array" ref="D43">IFERROR(INDEX(Trips[Truck No.],SMALL(IF(Trips[Claim No.]=INV_CLAIM,_xlfn.SEQUENCE(ROWS(Trips[Claim No.]))),ROW()-11)),"")</f>
        <v/>
      </c>
      <c r="E43" s="82" t="str" cm="1">
        <f t="array" ref="E43">IFERROR(INDEX(Trips[Arrival],SMALL(IF(Trips[Claim No.]=INV_CLAIM,_xlfn.SEQUENCE(ROWS(Trips[Claim No.]))),ROW()-11)),"")</f>
        <v/>
      </c>
      <c r="F43" s="82" t="str" cm="1">
        <f t="array" ref="F43">IFERROR(INDEX(Trips[Offloaded],SMALL(IF(Trips[Claim No.]=INV_CLAIM,_xlfn.SEQUENCE(ROWS(Trips[Claim No.]))),ROW()-11)),"")</f>
        <v/>
      </c>
      <c r="G43" s="81" t="str" cm="1">
        <f t="array" ref="G43">IFERROR(INDEX(Trips[Consignee],SMALL(IF(Trips[Claim No.]=INV_CLAIM,_xlfn.SEQUENCE(ROWS(Trips[Claim No.]))),ROW()-11)),"")</f>
        <v/>
      </c>
      <c r="H43" s="83" t="str" cm="1">
        <f t="array" ref="H43">IFERROR(INDEX(Trips[Waiting (d)],SMALL(IF(Trips[Claim No.]=INV_CLAIM,_xlfn.SEQUENCE(ROWS(Trips[Claim No.]))),ROW()-11)),"")</f>
        <v/>
      </c>
      <c r="I43" s="83" t="str" cm="1">
        <f t="array" ref="I43">IFERROR(INDEX(Trips[Laytime (d)],SMALL(IF(Trips[Claim No.]=INV_CLAIM,_xlfn.SEQUENCE(ROWS(Trips[Claim No.]))),ROW()-11)),"")</f>
        <v/>
      </c>
      <c r="J43" s="83" t="str" cm="1">
        <f t="array" ref="J43">IFERROR(INDEX(Trips[Excess (d)],SMALL(IF(Trips[Claim No.]=INV_CLAIM,_xlfn.SEQUENCE(ROWS(Trips[Claim No.]))),ROW()-11)),"")</f>
        <v/>
      </c>
      <c r="K43" s="111" t="str" cm="1">
        <f t="array" ref="K43">IFERROR(INDEX(Trips[Demurrage (USD)],SMALL(IF(Trips[Claim No.]=INV_CLAIM,_xlfn.SEQUENCE(ROWS(Trips[Claim No.]))),ROW()-11)),"")</f>
        <v/>
      </c>
    </row>
    <row r="44" spans="2:11" x14ac:dyDescent="0.25">
      <c r="B44" s="81" t="str" cm="1">
        <f t="array" ref="B44">IFERROR(IF(SMALL(IF(Trips[Claim No.]=INV_CLAIM,_xlfn.SEQUENCE(ROWS(Trips[Claim No.]))),ROW()-11)&gt;0,ROW()-11,""),"")</f>
        <v/>
      </c>
      <c r="C44" s="82" t="str" cm="1">
        <f t="array" ref="C44">IFERROR(INDEX(Trips[Date Loaded],SMALL(IF(Trips[Claim No.]=INV_CLAIM,_xlfn.SEQUENCE(ROWS(Trips[Claim No.]))),ROW()-11)),"")</f>
        <v/>
      </c>
      <c r="D44" s="81" t="str" cm="1">
        <f t="array" ref="D44">IFERROR(INDEX(Trips[Truck No.],SMALL(IF(Trips[Claim No.]=INV_CLAIM,_xlfn.SEQUENCE(ROWS(Trips[Claim No.]))),ROW()-11)),"")</f>
        <v/>
      </c>
      <c r="E44" s="82" t="str" cm="1">
        <f t="array" ref="E44">IFERROR(INDEX(Trips[Arrival],SMALL(IF(Trips[Claim No.]=INV_CLAIM,_xlfn.SEQUENCE(ROWS(Trips[Claim No.]))),ROW()-11)),"")</f>
        <v/>
      </c>
      <c r="F44" s="82" t="str" cm="1">
        <f t="array" ref="F44">IFERROR(INDEX(Trips[Offloaded],SMALL(IF(Trips[Claim No.]=INV_CLAIM,_xlfn.SEQUENCE(ROWS(Trips[Claim No.]))),ROW()-11)),"")</f>
        <v/>
      </c>
      <c r="G44" s="81" t="str" cm="1">
        <f t="array" ref="G44">IFERROR(INDEX(Trips[Consignee],SMALL(IF(Trips[Claim No.]=INV_CLAIM,_xlfn.SEQUENCE(ROWS(Trips[Claim No.]))),ROW()-11)),"")</f>
        <v/>
      </c>
      <c r="H44" s="83" t="str" cm="1">
        <f t="array" ref="H44">IFERROR(INDEX(Trips[Waiting (d)],SMALL(IF(Trips[Claim No.]=INV_CLAIM,_xlfn.SEQUENCE(ROWS(Trips[Claim No.]))),ROW()-11)),"")</f>
        <v/>
      </c>
      <c r="I44" s="83" t="str" cm="1">
        <f t="array" ref="I44">IFERROR(INDEX(Trips[Laytime (d)],SMALL(IF(Trips[Claim No.]=INV_CLAIM,_xlfn.SEQUENCE(ROWS(Trips[Claim No.]))),ROW()-11)),"")</f>
        <v/>
      </c>
      <c r="J44" s="83" t="str" cm="1">
        <f t="array" ref="J44">IFERROR(INDEX(Trips[Excess (d)],SMALL(IF(Trips[Claim No.]=INV_CLAIM,_xlfn.SEQUENCE(ROWS(Trips[Claim No.]))),ROW()-11)),"")</f>
        <v/>
      </c>
      <c r="K44" s="111" t="str" cm="1">
        <f t="array" ref="K44">IFERROR(INDEX(Trips[Demurrage (USD)],SMALL(IF(Trips[Claim No.]=INV_CLAIM,_xlfn.SEQUENCE(ROWS(Trips[Claim No.]))),ROW()-11)),"")</f>
        <v/>
      </c>
    </row>
    <row r="45" spans="2:11" x14ac:dyDescent="0.25">
      <c r="B45" s="81" t="str" cm="1">
        <f t="array" ref="B45">IFERROR(IF(SMALL(IF(Trips[Claim No.]=INV_CLAIM,_xlfn.SEQUENCE(ROWS(Trips[Claim No.]))),ROW()-11)&gt;0,ROW()-11,""),"")</f>
        <v/>
      </c>
      <c r="C45" s="82" t="str" cm="1">
        <f t="array" ref="C45">IFERROR(INDEX(Trips[Date Loaded],SMALL(IF(Trips[Claim No.]=INV_CLAIM,_xlfn.SEQUENCE(ROWS(Trips[Claim No.]))),ROW()-11)),"")</f>
        <v/>
      </c>
      <c r="D45" s="81" t="str" cm="1">
        <f t="array" ref="D45">IFERROR(INDEX(Trips[Truck No.],SMALL(IF(Trips[Claim No.]=INV_CLAIM,_xlfn.SEQUENCE(ROWS(Trips[Claim No.]))),ROW()-11)),"")</f>
        <v/>
      </c>
      <c r="E45" s="82" t="str" cm="1">
        <f t="array" ref="E45">IFERROR(INDEX(Trips[Arrival],SMALL(IF(Trips[Claim No.]=INV_CLAIM,_xlfn.SEQUENCE(ROWS(Trips[Claim No.]))),ROW()-11)),"")</f>
        <v/>
      </c>
      <c r="F45" s="82" t="str" cm="1">
        <f t="array" ref="F45">IFERROR(INDEX(Trips[Offloaded],SMALL(IF(Trips[Claim No.]=INV_CLAIM,_xlfn.SEQUENCE(ROWS(Trips[Claim No.]))),ROW()-11)),"")</f>
        <v/>
      </c>
      <c r="G45" s="81" t="str" cm="1">
        <f t="array" ref="G45">IFERROR(INDEX(Trips[Consignee],SMALL(IF(Trips[Claim No.]=INV_CLAIM,_xlfn.SEQUENCE(ROWS(Trips[Claim No.]))),ROW()-11)),"")</f>
        <v/>
      </c>
      <c r="H45" s="83" t="str" cm="1">
        <f t="array" ref="H45">IFERROR(INDEX(Trips[Waiting (d)],SMALL(IF(Trips[Claim No.]=INV_CLAIM,_xlfn.SEQUENCE(ROWS(Trips[Claim No.]))),ROW()-11)),"")</f>
        <v/>
      </c>
      <c r="I45" s="83" t="str" cm="1">
        <f t="array" ref="I45">IFERROR(INDEX(Trips[Laytime (d)],SMALL(IF(Trips[Claim No.]=INV_CLAIM,_xlfn.SEQUENCE(ROWS(Trips[Claim No.]))),ROW()-11)),"")</f>
        <v/>
      </c>
      <c r="J45" s="83" t="str" cm="1">
        <f t="array" ref="J45">IFERROR(INDEX(Trips[Excess (d)],SMALL(IF(Trips[Claim No.]=INV_CLAIM,_xlfn.SEQUENCE(ROWS(Trips[Claim No.]))),ROW()-11)),"")</f>
        <v/>
      </c>
      <c r="K45" s="111" t="str" cm="1">
        <f t="array" ref="K45">IFERROR(INDEX(Trips[Demurrage (USD)],SMALL(IF(Trips[Claim No.]=INV_CLAIM,_xlfn.SEQUENCE(ROWS(Trips[Claim No.]))),ROW()-11)),"")</f>
        <v/>
      </c>
    </row>
    <row r="46" spans="2:11" x14ac:dyDescent="0.25">
      <c r="B46" s="81" t="str" cm="1">
        <f t="array" ref="B46">IFERROR(IF(SMALL(IF(Trips[Claim No.]=INV_CLAIM,_xlfn.SEQUENCE(ROWS(Trips[Claim No.]))),ROW()-11)&gt;0,ROW()-11,""),"")</f>
        <v/>
      </c>
      <c r="C46" s="82" t="str" cm="1">
        <f t="array" ref="C46">IFERROR(INDEX(Trips[Date Loaded],SMALL(IF(Trips[Claim No.]=INV_CLAIM,_xlfn.SEQUENCE(ROWS(Trips[Claim No.]))),ROW()-11)),"")</f>
        <v/>
      </c>
      <c r="D46" s="81" t="str" cm="1">
        <f t="array" ref="D46">IFERROR(INDEX(Trips[Truck No.],SMALL(IF(Trips[Claim No.]=INV_CLAIM,_xlfn.SEQUENCE(ROWS(Trips[Claim No.]))),ROW()-11)),"")</f>
        <v/>
      </c>
      <c r="E46" s="82" t="str" cm="1">
        <f t="array" ref="E46">IFERROR(INDEX(Trips[Arrival],SMALL(IF(Trips[Claim No.]=INV_CLAIM,_xlfn.SEQUENCE(ROWS(Trips[Claim No.]))),ROW()-11)),"")</f>
        <v/>
      </c>
      <c r="F46" s="82" t="str" cm="1">
        <f t="array" ref="F46">IFERROR(INDEX(Trips[Offloaded],SMALL(IF(Trips[Claim No.]=INV_CLAIM,_xlfn.SEQUENCE(ROWS(Trips[Claim No.]))),ROW()-11)),"")</f>
        <v/>
      </c>
      <c r="G46" s="81" t="str" cm="1">
        <f t="array" ref="G46">IFERROR(INDEX(Trips[Consignee],SMALL(IF(Trips[Claim No.]=INV_CLAIM,_xlfn.SEQUENCE(ROWS(Trips[Claim No.]))),ROW()-11)),"")</f>
        <v/>
      </c>
      <c r="H46" s="83" t="str" cm="1">
        <f t="array" ref="H46">IFERROR(INDEX(Trips[Waiting (d)],SMALL(IF(Trips[Claim No.]=INV_CLAIM,_xlfn.SEQUENCE(ROWS(Trips[Claim No.]))),ROW()-11)),"")</f>
        <v/>
      </c>
      <c r="I46" s="83" t="str" cm="1">
        <f t="array" ref="I46">IFERROR(INDEX(Trips[Laytime (d)],SMALL(IF(Trips[Claim No.]=INV_CLAIM,_xlfn.SEQUENCE(ROWS(Trips[Claim No.]))),ROW()-11)),"")</f>
        <v/>
      </c>
      <c r="J46" s="83" t="str" cm="1">
        <f t="array" ref="J46">IFERROR(INDEX(Trips[Excess (d)],SMALL(IF(Trips[Claim No.]=INV_CLAIM,_xlfn.SEQUENCE(ROWS(Trips[Claim No.]))),ROW()-11)),"")</f>
        <v/>
      </c>
      <c r="K46" s="111" t="str" cm="1">
        <f t="array" ref="K46">IFERROR(INDEX(Trips[Demurrage (USD)],SMALL(IF(Trips[Claim No.]=INV_CLAIM,_xlfn.SEQUENCE(ROWS(Trips[Claim No.]))),ROW()-11)),"")</f>
        <v/>
      </c>
    </row>
    <row r="47" spans="2:11" x14ac:dyDescent="0.25">
      <c r="B47" s="81" t="str" cm="1">
        <f t="array" ref="B47">IFERROR(IF(SMALL(IF(Trips[Claim No.]=INV_CLAIM,_xlfn.SEQUENCE(ROWS(Trips[Claim No.]))),ROW()-11)&gt;0,ROW()-11,""),"")</f>
        <v/>
      </c>
      <c r="C47" s="82" t="str" cm="1">
        <f t="array" ref="C47">IFERROR(INDEX(Trips[Date Loaded],SMALL(IF(Trips[Claim No.]=INV_CLAIM,_xlfn.SEQUENCE(ROWS(Trips[Claim No.]))),ROW()-11)),"")</f>
        <v/>
      </c>
      <c r="D47" s="81" t="str" cm="1">
        <f t="array" ref="D47">IFERROR(INDEX(Trips[Truck No.],SMALL(IF(Trips[Claim No.]=INV_CLAIM,_xlfn.SEQUENCE(ROWS(Trips[Claim No.]))),ROW()-11)),"")</f>
        <v/>
      </c>
      <c r="E47" s="82" t="str" cm="1">
        <f t="array" ref="E47">IFERROR(INDEX(Trips[Arrival],SMALL(IF(Trips[Claim No.]=INV_CLAIM,_xlfn.SEQUENCE(ROWS(Trips[Claim No.]))),ROW()-11)),"")</f>
        <v/>
      </c>
      <c r="F47" s="82" t="str" cm="1">
        <f t="array" ref="F47">IFERROR(INDEX(Trips[Offloaded],SMALL(IF(Trips[Claim No.]=INV_CLAIM,_xlfn.SEQUENCE(ROWS(Trips[Claim No.]))),ROW()-11)),"")</f>
        <v/>
      </c>
      <c r="G47" s="81" t="str" cm="1">
        <f t="array" ref="G47">IFERROR(INDEX(Trips[Consignee],SMALL(IF(Trips[Claim No.]=INV_CLAIM,_xlfn.SEQUENCE(ROWS(Trips[Claim No.]))),ROW()-11)),"")</f>
        <v/>
      </c>
      <c r="H47" s="83" t="str" cm="1">
        <f t="array" ref="H47">IFERROR(INDEX(Trips[Waiting (d)],SMALL(IF(Trips[Claim No.]=INV_CLAIM,_xlfn.SEQUENCE(ROWS(Trips[Claim No.]))),ROW()-11)),"")</f>
        <v/>
      </c>
      <c r="I47" s="83" t="str" cm="1">
        <f t="array" ref="I47">IFERROR(INDEX(Trips[Laytime (d)],SMALL(IF(Trips[Claim No.]=INV_CLAIM,_xlfn.SEQUENCE(ROWS(Trips[Claim No.]))),ROW()-11)),"")</f>
        <v/>
      </c>
      <c r="J47" s="83" t="str" cm="1">
        <f t="array" ref="J47">IFERROR(INDEX(Trips[Excess (d)],SMALL(IF(Trips[Claim No.]=INV_CLAIM,_xlfn.SEQUENCE(ROWS(Trips[Claim No.]))),ROW()-11)),"")</f>
        <v/>
      </c>
      <c r="K47" s="111" t="str" cm="1">
        <f t="array" ref="K47">IFERROR(INDEX(Trips[Demurrage (USD)],SMALL(IF(Trips[Claim No.]=INV_CLAIM,_xlfn.SEQUENCE(ROWS(Trips[Claim No.]))),ROW()-11)),"")</f>
        <v/>
      </c>
    </row>
    <row r="48" spans="2:11" x14ac:dyDescent="0.25">
      <c r="B48" s="81" t="str" cm="1">
        <f t="array" ref="B48">IFERROR(IF(SMALL(IF(Trips[Claim No.]=INV_CLAIM,_xlfn.SEQUENCE(ROWS(Trips[Claim No.]))),ROW()-11)&gt;0,ROW()-11,""),"")</f>
        <v/>
      </c>
      <c r="C48" s="82" t="str" cm="1">
        <f t="array" ref="C48">IFERROR(INDEX(Trips[Date Loaded],SMALL(IF(Trips[Claim No.]=INV_CLAIM,_xlfn.SEQUENCE(ROWS(Trips[Claim No.]))),ROW()-11)),"")</f>
        <v/>
      </c>
      <c r="D48" s="81" t="str" cm="1">
        <f t="array" ref="D48">IFERROR(INDEX(Trips[Truck No.],SMALL(IF(Trips[Claim No.]=INV_CLAIM,_xlfn.SEQUENCE(ROWS(Trips[Claim No.]))),ROW()-11)),"")</f>
        <v/>
      </c>
      <c r="E48" s="82" t="str" cm="1">
        <f t="array" ref="E48">IFERROR(INDEX(Trips[Arrival],SMALL(IF(Trips[Claim No.]=INV_CLAIM,_xlfn.SEQUENCE(ROWS(Trips[Claim No.]))),ROW()-11)),"")</f>
        <v/>
      </c>
      <c r="F48" s="82" t="str" cm="1">
        <f t="array" ref="F48">IFERROR(INDEX(Trips[Offloaded],SMALL(IF(Trips[Claim No.]=INV_CLAIM,_xlfn.SEQUENCE(ROWS(Trips[Claim No.]))),ROW()-11)),"")</f>
        <v/>
      </c>
      <c r="G48" s="81" t="str" cm="1">
        <f t="array" ref="G48">IFERROR(INDEX(Trips[Consignee],SMALL(IF(Trips[Claim No.]=INV_CLAIM,_xlfn.SEQUENCE(ROWS(Trips[Claim No.]))),ROW()-11)),"")</f>
        <v/>
      </c>
      <c r="H48" s="83" t="str" cm="1">
        <f t="array" ref="H48">IFERROR(INDEX(Trips[Waiting (d)],SMALL(IF(Trips[Claim No.]=INV_CLAIM,_xlfn.SEQUENCE(ROWS(Trips[Claim No.]))),ROW()-11)),"")</f>
        <v/>
      </c>
      <c r="I48" s="83" t="str" cm="1">
        <f t="array" ref="I48">IFERROR(INDEX(Trips[Laytime (d)],SMALL(IF(Trips[Claim No.]=INV_CLAIM,_xlfn.SEQUENCE(ROWS(Trips[Claim No.]))),ROW()-11)),"")</f>
        <v/>
      </c>
      <c r="J48" s="83" t="str" cm="1">
        <f t="array" ref="J48">IFERROR(INDEX(Trips[Excess (d)],SMALL(IF(Trips[Claim No.]=INV_CLAIM,_xlfn.SEQUENCE(ROWS(Trips[Claim No.]))),ROW()-11)),"")</f>
        <v/>
      </c>
      <c r="K48" s="111" t="str" cm="1">
        <f t="array" ref="K48">IFERROR(INDEX(Trips[Demurrage (USD)],SMALL(IF(Trips[Claim No.]=INV_CLAIM,_xlfn.SEQUENCE(ROWS(Trips[Claim No.]))),ROW()-11)),"")</f>
        <v/>
      </c>
    </row>
    <row r="49" spans="2:11" x14ac:dyDescent="0.25">
      <c r="B49" s="81" t="str" cm="1">
        <f t="array" ref="B49">IFERROR(IF(SMALL(IF(Trips[Claim No.]=INV_CLAIM,_xlfn.SEQUENCE(ROWS(Trips[Claim No.]))),ROW()-11)&gt;0,ROW()-11,""),"")</f>
        <v/>
      </c>
      <c r="C49" s="82" t="str" cm="1">
        <f t="array" ref="C49">IFERROR(INDEX(Trips[Date Loaded],SMALL(IF(Trips[Claim No.]=INV_CLAIM,_xlfn.SEQUENCE(ROWS(Trips[Claim No.]))),ROW()-11)),"")</f>
        <v/>
      </c>
      <c r="D49" s="81" t="str" cm="1">
        <f t="array" ref="D49">IFERROR(INDEX(Trips[Truck No.],SMALL(IF(Trips[Claim No.]=INV_CLAIM,_xlfn.SEQUENCE(ROWS(Trips[Claim No.]))),ROW()-11)),"")</f>
        <v/>
      </c>
      <c r="E49" s="82" t="str" cm="1">
        <f t="array" ref="E49">IFERROR(INDEX(Trips[Arrival],SMALL(IF(Trips[Claim No.]=INV_CLAIM,_xlfn.SEQUENCE(ROWS(Trips[Claim No.]))),ROW()-11)),"")</f>
        <v/>
      </c>
      <c r="F49" s="82" t="str" cm="1">
        <f t="array" ref="F49">IFERROR(INDEX(Trips[Offloaded],SMALL(IF(Trips[Claim No.]=INV_CLAIM,_xlfn.SEQUENCE(ROWS(Trips[Claim No.]))),ROW()-11)),"")</f>
        <v/>
      </c>
      <c r="G49" s="81" t="str" cm="1">
        <f t="array" ref="G49">IFERROR(INDEX(Trips[Consignee],SMALL(IF(Trips[Claim No.]=INV_CLAIM,_xlfn.SEQUENCE(ROWS(Trips[Claim No.]))),ROW()-11)),"")</f>
        <v/>
      </c>
      <c r="H49" s="83" t="str" cm="1">
        <f t="array" ref="H49">IFERROR(INDEX(Trips[Waiting (d)],SMALL(IF(Trips[Claim No.]=INV_CLAIM,_xlfn.SEQUENCE(ROWS(Trips[Claim No.]))),ROW()-11)),"")</f>
        <v/>
      </c>
      <c r="I49" s="83" t="str" cm="1">
        <f t="array" ref="I49">IFERROR(INDEX(Trips[Laytime (d)],SMALL(IF(Trips[Claim No.]=INV_CLAIM,_xlfn.SEQUENCE(ROWS(Trips[Claim No.]))),ROW()-11)),"")</f>
        <v/>
      </c>
      <c r="J49" s="83" t="str" cm="1">
        <f t="array" ref="J49">IFERROR(INDEX(Trips[Excess (d)],SMALL(IF(Trips[Claim No.]=INV_CLAIM,_xlfn.SEQUENCE(ROWS(Trips[Claim No.]))),ROW()-11)),"")</f>
        <v/>
      </c>
      <c r="K49" s="111" t="str" cm="1">
        <f t="array" ref="K49">IFERROR(INDEX(Trips[Demurrage (USD)],SMALL(IF(Trips[Claim No.]=INV_CLAIM,_xlfn.SEQUENCE(ROWS(Trips[Claim No.]))),ROW()-11)),"")</f>
        <v/>
      </c>
    </row>
    <row r="50" spans="2:11" x14ac:dyDescent="0.25">
      <c r="B50" s="81" t="str" cm="1">
        <f t="array" ref="B50">IFERROR(IF(SMALL(IF(Trips[Claim No.]=INV_CLAIM,_xlfn.SEQUENCE(ROWS(Trips[Claim No.]))),ROW()-11)&gt;0,ROW()-11,""),"")</f>
        <v/>
      </c>
      <c r="C50" s="82" t="str" cm="1">
        <f t="array" ref="C50">IFERROR(INDEX(Trips[Date Loaded],SMALL(IF(Trips[Claim No.]=INV_CLAIM,_xlfn.SEQUENCE(ROWS(Trips[Claim No.]))),ROW()-11)),"")</f>
        <v/>
      </c>
      <c r="D50" s="81" t="str" cm="1">
        <f t="array" ref="D50">IFERROR(INDEX(Trips[Truck No.],SMALL(IF(Trips[Claim No.]=INV_CLAIM,_xlfn.SEQUENCE(ROWS(Trips[Claim No.]))),ROW()-11)),"")</f>
        <v/>
      </c>
      <c r="E50" s="82" t="str" cm="1">
        <f t="array" ref="E50">IFERROR(INDEX(Trips[Arrival],SMALL(IF(Trips[Claim No.]=INV_CLAIM,_xlfn.SEQUENCE(ROWS(Trips[Claim No.]))),ROW()-11)),"")</f>
        <v/>
      </c>
      <c r="F50" s="82" t="str" cm="1">
        <f t="array" ref="F50">IFERROR(INDEX(Trips[Offloaded],SMALL(IF(Trips[Claim No.]=INV_CLAIM,_xlfn.SEQUENCE(ROWS(Trips[Claim No.]))),ROW()-11)),"")</f>
        <v/>
      </c>
      <c r="G50" s="81" t="str" cm="1">
        <f t="array" ref="G50">IFERROR(INDEX(Trips[Consignee],SMALL(IF(Trips[Claim No.]=INV_CLAIM,_xlfn.SEQUENCE(ROWS(Trips[Claim No.]))),ROW()-11)),"")</f>
        <v/>
      </c>
      <c r="H50" s="83" t="str" cm="1">
        <f t="array" ref="H50">IFERROR(INDEX(Trips[Waiting (d)],SMALL(IF(Trips[Claim No.]=INV_CLAIM,_xlfn.SEQUENCE(ROWS(Trips[Claim No.]))),ROW()-11)),"")</f>
        <v/>
      </c>
      <c r="I50" s="83" t="str" cm="1">
        <f t="array" ref="I50">IFERROR(INDEX(Trips[Laytime (d)],SMALL(IF(Trips[Claim No.]=INV_CLAIM,_xlfn.SEQUENCE(ROWS(Trips[Claim No.]))),ROW()-11)),"")</f>
        <v/>
      </c>
      <c r="J50" s="83" t="str" cm="1">
        <f t="array" ref="J50">IFERROR(INDEX(Trips[Excess (d)],SMALL(IF(Trips[Claim No.]=INV_CLAIM,_xlfn.SEQUENCE(ROWS(Trips[Claim No.]))),ROW()-11)),"")</f>
        <v/>
      </c>
      <c r="K50" s="111" t="str" cm="1">
        <f t="array" ref="K50">IFERROR(INDEX(Trips[Demurrage (USD)],SMALL(IF(Trips[Claim No.]=INV_CLAIM,_xlfn.SEQUENCE(ROWS(Trips[Claim No.]))),ROW()-11)),"")</f>
        <v/>
      </c>
    </row>
    <row r="51" spans="2:11" x14ac:dyDescent="0.25">
      <c r="B51" s="81" t="str" cm="1">
        <f t="array" ref="B51">IFERROR(IF(SMALL(IF(Trips[Claim No.]=INV_CLAIM,_xlfn.SEQUENCE(ROWS(Trips[Claim No.]))),ROW()-11)&gt;0,ROW()-11,""),"")</f>
        <v/>
      </c>
      <c r="C51" s="82" t="str" cm="1">
        <f t="array" ref="C51">IFERROR(INDEX(Trips[Date Loaded],SMALL(IF(Trips[Claim No.]=INV_CLAIM,_xlfn.SEQUENCE(ROWS(Trips[Claim No.]))),ROW()-11)),"")</f>
        <v/>
      </c>
      <c r="D51" s="81" t="str" cm="1">
        <f t="array" ref="D51">IFERROR(INDEX(Trips[Truck No.],SMALL(IF(Trips[Claim No.]=INV_CLAIM,_xlfn.SEQUENCE(ROWS(Trips[Claim No.]))),ROW()-11)),"")</f>
        <v/>
      </c>
      <c r="E51" s="82" t="str" cm="1">
        <f t="array" ref="E51">IFERROR(INDEX(Trips[Arrival],SMALL(IF(Trips[Claim No.]=INV_CLAIM,_xlfn.SEQUENCE(ROWS(Trips[Claim No.]))),ROW()-11)),"")</f>
        <v/>
      </c>
      <c r="F51" s="82" t="str" cm="1">
        <f t="array" ref="F51">IFERROR(INDEX(Trips[Offloaded],SMALL(IF(Trips[Claim No.]=INV_CLAIM,_xlfn.SEQUENCE(ROWS(Trips[Claim No.]))),ROW()-11)),"")</f>
        <v/>
      </c>
      <c r="G51" s="81" t="str" cm="1">
        <f t="array" ref="G51">IFERROR(INDEX(Trips[Consignee],SMALL(IF(Trips[Claim No.]=INV_CLAIM,_xlfn.SEQUENCE(ROWS(Trips[Claim No.]))),ROW()-11)),"")</f>
        <v/>
      </c>
      <c r="H51" s="83" t="str" cm="1">
        <f t="array" ref="H51">IFERROR(INDEX(Trips[Waiting (d)],SMALL(IF(Trips[Claim No.]=INV_CLAIM,_xlfn.SEQUENCE(ROWS(Trips[Claim No.]))),ROW()-11)),"")</f>
        <v/>
      </c>
      <c r="I51" s="83" t="str" cm="1">
        <f t="array" ref="I51">IFERROR(INDEX(Trips[Laytime (d)],SMALL(IF(Trips[Claim No.]=INV_CLAIM,_xlfn.SEQUENCE(ROWS(Trips[Claim No.]))),ROW()-11)),"")</f>
        <v/>
      </c>
      <c r="J51" s="83" t="str" cm="1">
        <f t="array" ref="J51">IFERROR(INDEX(Trips[Excess (d)],SMALL(IF(Trips[Claim No.]=INV_CLAIM,_xlfn.SEQUENCE(ROWS(Trips[Claim No.]))),ROW()-11)),"")</f>
        <v/>
      </c>
      <c r="K51" s="111" t="str" cm="1">
        <f t="array" ref="K51">IFERROR(INDEX(Trips[Demurrage (USD)],SMALL(IF(Trips[Claim No.]=INV_CLAIM,_xlfn.SEQUENCE(ROWS(Trips[Claim No.]))),ROW()-11)),"")</f>
        <v/>
      </c>
    </row>
    <row r="52" spans="2:11" x14ac:dyDescent="0.25">
      <c r="B52" s="81" t="str" cm="1">
        <f t="array" ref="B52">IFERROR(IF(SMALL(IF(Trips[Claim No.]=INV_CLAIM,_xlfn.SEQUENCE(ROWS(Trips[Claim No.]))),ROW()-11)&gt;0,ROW()-11,""),"")</f>
        <v/>
      </c>
      <c r="C52" s="82" t="str" cm="1">
        <f t="array" ref="C52">IFERROR(INDEX(Trips[Date Loaded],SMALL(IF(Trips[Claim No.]=INV_CLAIM,_xlfn.SEQUENCE(ROWS(Trips[Claim No.]))),ROW()-11)),"")</f>
        <v/>
      </c>
      <c r="D52" s="81" t="str" cm="1">
        <f t="array" ref="D52">IFERROR(INDEX(Trips[Truck No.],SMALL(IF(Trips[Claim No.]=INV_CLAIM,_xlfn.SEQUENCE(ROWS(Trips[Claim No.]))),ROW()-11)),"")</f>
        <v/>
      </c>
      <c r="E52" s="82" t="str" cm="1">
        <f t="array" ref="E52">IFERROR(INDEX(Trips[Arrival],SMALL(IF(Trips[Claim No.]=INV_CLAIM,_xlfn.SEQUENCE(ROWS(Trips[Claim No.]))),ROW()-11)),"")</f>
        <v/>
      </c>
      <c r="F52" s="82" t="str" cm="1">
        <f t="array" ref="F52">IFERROR(INDEX(Trips[Offloaded],SMALL(IF(Trips[Claim No.]=INV_CLAIM,_xlfn.SEQUENCE(ROWS(Trips[Claim No.]))),ROW()-11)),"")</f>
        <v/>
      </c>
      <c r="G52" s="81" t="str" cm="1">
        <f t="array" ref="G52">IFERROR(INDEX(Trips[Consignee],SMALL(IF(Trips[Claim No.]=INV_CLAIM,_xlfn.SEQUENCE(ROWS(Trips[Claim No.]))),ROW()-11)),"")</f>
        <v/>
      </c>
      <c r="H52" s="83" t="str" cm="1">
        <f t="array" ref="H52">IFERROR(INDEX(Trips[Waiting (d)],SMALL(IF(Trips[Claim No.]=INV_CLAIM,_xlfn.SEQUENCE(ROWS(Trips[Claim No.]))),ROW()-11)),"")</f>
        <v/>
      </c>
      <c r="I52" s="83" t="str" cm="1">
        <f t="array" ref="I52">IFERROR(INDEX(Trips[Laytime (d)],SMALL(IF(Trips[Claim No.]=INV_CLAIM,_xlfn.SEQUENCE(ROWS(Trips[Claim No.]))),ROW()-11)),"")</f>
        <v/>
      </c>
      <c r="J52" s="83" t="str" cm="1">
        <f t="array" ref="J52">IFERROR(INDEX(Trips[Excess (d)],SMALL(IF(Trips[Claim No.]=INV_CLAIM,_xlfn.SEQUENCE(ROWS(Trips[Claim No.]))),ROW()-11)),"")</f>
        <v/>
      </c>
      <c r="K52" s="111" t="str" cm="1">
        <f t="array" ref="K52">IFERROR(INDEX(Trips[Demurrage (USD)],SMALL(IF(Trips[Claim No.]=INV_CLAIM,_xlfn.SEQUENCE(ROWS(Trips[Claim No.]))),ROW()-11)),"")</f>
        <v/>
      </c>
    </row>
    <row r="53" spans="2:11" x14ac:dyDescent="0.25">
      <c r="B53" s="81" t="str" cm="1">
        <f t="array" ref="B53">IFERROR(IF(SMALL(IF(Trips[Claim No.]=INV_CLAIM,_xlfn.SEQUENCE(ROWS(Trips[Claim No.]))),ROW()-11)&gt;0,ROW()-11,""),"")</f>
        <v/>
      </c>
      <c r="C53" s="82" t="str" cm="1">
        <f t="array" ref="C53">IFERROR(INDEX(Trips[Date Loaded],SMALL(IF(Trips[Claim No.]=INV_CLAIM,_xlfn.SEQUENCE(ROWS(Trips[Claim No.]))),ROW()-11)),"")</f>
        <v/>
      </c>
      <c r="D53" s="81" t="str" cm="1">
        <f t="array" ref="D53">IFERROR(INDEX(Trips[Truck No.],SMALL(IF(Trips[Claim No.]=INV_CLAIM,_xlfn.SEQUENCE(ROWS(Trips[Claim No.]))),ROW()-11)),"")</f>
        <v/>
      </c>
      <c r="E53" s="82" t="str" cm="1">
        <f t="array" ref="E53">IFERROR(INDEX(Trips[Arrival],SMALL(IF(Trips[Claim No.]=INV_CLAIM,_xlfn.SEQUENCE(ROWS(Trips[Claim No.]))),ROW()-11)),"")</f>
        <v/>
      </c>
      <c r="F53" s="82" t="str" cm="1">
        <f t="array" ref="F53">IFERROR(INDEX(Trips[Offloaded],SMALL(IF(Trips[Claim No.]=INV_CLAIM,_xlfn.SEQUENCE(ROWS(Trips[Claim No.]))),ROW()-11)),"")</f>
        <v/>
      </c>
      <c r="G53" s="81" t="str" cm="1">
        <f t="array" ref="G53">IFERROR(INDEX(Trips[Consignee],SMALL(IF(Trips[Claim No.]=INV_CLAIM,_xlfn.SEQUENCE(ROWS(Trips[Claim No.]))),ROW()-11)),"")</f>
        <v/>
      </c>
      <c r="H53" s="83" t="str" cm="1">
        <f t="array" ref="H53">IFERROR(INDEX(Trips[Waiting (d)],SMALL(IF(Trips[Claim No.]=INV_CLAIM,_xlfn.SEQUENCE(ROWS(Trips[Claim No.]))),ROW()-11)),"")</f>
        <v/>
      </c>
      <c r="I53" s="83" t="str" cm="1">
        <f t="array" ref="I53">IFERROR(INDEX(Trips[Laytime (d)],SMALL(IF(Trips[Claim No.]=INV_CLAIM,_xlfn.SEQUENCE(ROWS(Trips[Claim No.]))),ROW()-11)),"")</f>
        <v/>
      </c>
      <c r="J53" s="83" t="str" cm="1">
        <f t="array" ref="J53">IFERROR(INDEX(Trips[Excess (d)],SMALL(IF(Trips[Claim No.]=INV_CLAIM,_xlfn.SEQUENCE(ROWS(Trips[Claim No.]))),ROW()-11)),"")</f>
        <v/>
      </c>
      <c r="K53" s="111" t="str" cm="1">
        <f t="array" ref="K53">IFERROR(INDEX(Trips[Demurrage (USD)],SMALL(IF(Trips[Claim No.]=INV_CLAIM,_xlfn.SEQUENCE(ROWS(Trips[Claim No.]))),ROW()-11)),"")</f>
        <v/>
      </c>
    </row>
    <row r="54" spans="2:11" x14ac:dyDescent="0.25">
      <c r="B54" s="81" t="str" cm="1">
        <f t="array" ref="B54">IFERROR(IF(SMALL(IF(Trips[Claim No.]=INV_CLAIM,_xlfn.SEQUENCE(ROWS(Trips[Claim No.]))),ROW()-11)&gt;0,ROW()-11,""),"")</f>
        <v/>
      </c>
      <c r="C54" s="82" t="str" cm="1">
        <f t="array" ref="C54">IFERROR(INDEX(Trips[Date Loaded],SMALL(IF(Trips[Claim No.]=INV_CLAIM,_xlfn.SEQUENCE(ROWS(Trips[Claim No.]))),ROW()-11)),"")</f>
        <v/>
      </c>
      <c r="D54" s="81" t="str" cm="1">
        <f t="array" ref="D54">IFERROR(INDEX(Trips[Truck No.],SMALL(IF(Trips[Claim No.]=INV_CLAIM,_xlfn.SEQUENCE(ROWS(Trips[Claim No.]))),ROW()-11)),"")</f>
        <v/>
      </c>
      <c r="E54" s="82" t="str" cm="1">
        <f t="array" ref="E54">IFERROR(INDEX(Trips[Arrival],SMALL(IF(Trips[Claim No.]=INV_CLAIM,_xlfn.SEQUENCE(ROWS(Trips[Claim No.]))),ROW()-11)),"")</f>
        <v/>
      </c>
      <c r="F54" s="82" t="str" cm="1">
        <f t="array" ref="F54">IFERROR(INDEX(Trips[Offloaded],SMALL(IF(Trips[Claim No.]=INV_CLAIM,_xlfn.SEQUENCE(ROWS(Trips[Claim No.]))),ROW()-11)),"")</f>
        <v/>
      </c>
      <c r="G54" s="81" t="str" cm="1">
        <f t="array" ref="G54">IFERROR(INDEX(Trips[Consignee],SMALL(IF(Trips[Claim No.]=INV_CLAIM,_xlfn.SEQUENCE(ROWS(Trips[Claim No.]))),ROW()-11)),"")</f>
        <v/>
      </c>
      <c r="H54" s="83" t="str" cm="1">
        <f t="array" ref="H54">IFERROR(INDEX(Trips[Waiting (d)],SMALL(IF(Trips[Claim No.]=INV_CLAIM,_xlfn.SEQUENCE(ROWS(Trips[Claim No.]))),ROW()-11)),"")</f>
        <v/>
      </c>
      <c r="I54" s="83" t="str" cm="1">
        <f t="array" ref="I54">IFERROR(INDEX(Trips[Laytime (d)],SMALL(IF(Trips[Claim No.]=INV_CLAIM,_xlfn.SEQUENCE(ROWS(Trips[Claim No.]))),ROW()-11)),"")</f>
        <v/>
      </c>
      <c r="J54" s="83" t="str" cm="1">
        <f t="array" ref="J54">IFERROR(INDEX(Trips[Excess (d)],SMALL(IF(Trips[Claim No.]=INV_CLAIM,_xlfn.SEQUENCE(ROWS(Trips[Claim No.]))),ROW()-11)),"")</f>
        <v/>
      </c>
      <c r="K54" s="111" t="str" cm="1">
        <f t="array" ref="K54">IFERROR(INDEX(Trips[Demurrage (USD)],SMALL(IF(Trips[Claim No.]=INV_CLAIM,_xlfn.SEQUENCE(ROWS(Trips[Claim No.]))),ROW()-11)),"")</f>
        <v/>
      </c>
    </row>
    <row r="55" spans="2:11" x14ac:dyDescent="0.25">
      <c r="B55" s="81" t="str" cm="1">
        <f t="array" ref="B55">IFERROR(IF(SMALL(IF(Trips[Claim No.]=INV_CLAIM,_xlfn.SEQUENCE(ROWS(Trips[Claim No.]))),ROW()-11)&gt;0,ROW()-11,""),"")</f>
        <v/>
      </c>
      <c r="C55" s="82" t="str" cm="1">
        <f t="array" ref="C55">IFERROR(INDEX(Trips[Date Loaded],SMALL(IF(Trips[Claim No.]=INV_CLAIM,_xlfn.SEQUENCE(ROWS(Trips[Claim No.]))),ROW()-11)),"")</f>
        <v/>
      </c>
      <c r="D55" s="81" t="str" cm="1">
        <f t="array" ref="D55">IFERROR(INDEX(Trips[Truck No.],SMALL(IF(Trips[Claim No.]=INV_CLAIM,_xlfn.SEQUENCE(ROWS(Trips[Claim No.]))),ROW()-11)),"")</f>
        <v/>
      </c>
      <c r="E55" s="82" t="str" cm="1">
        <f t="array" ref="E55">IFERROR(INDEX(Trips[Arrival],SMALL(IF(Trips[Claim No.]=INV_CLAIM,_xlfn.SEQUENCE(ROWS(Trips[Claim No.]))),ROW()-11)),"")</f>
        <v/>
      </c>
      <c r="F55" s="82" t="str" cm="1">
        <f t="array" ref="F55">IFERROR(INDEX(Trips[Offloaded],SMALL(IF(Trips[Claim No.]=INV_CLAIM,_xlfn.SEQUENCE(ROWS(Trips[Claim No.]))),ROW()-11)),"")</f>
        <v/>
      </c>
      <c r="G55" s="81" t="str" cm="1">
        <f t="array" ref="G55">IFERROR(INDEX(Trips[Consignee],SMALL(IF(Trips[Claim No.]=INV_CLAIM,_xlfn.SEQUENCE(ROWS(Trips[Claim No.]))),ROW()-11)),"")</f>
        <v/>
      </c>
      <c r="H55" s="83" t="str" cm="1">
        <f t="array" ref="H55">IFERROR(INDEX(Trips[Waiting (d)],SMALL(IF(Trips[Claim No.]=INV_CLAIM,_xlfn.SEQUENCE(ROWS(Trips[Claim No.]))),ROW()-11)),"")</f>
        <v/>
      </c>
      <c r="I55" s="83" t="str" cm="1">
        <f t="array" ref="I55">IFERROR(INDEX(Trips[Laytime (d)],SMALL(IF(Trips[Claim No.]=INV_CLAIM,_xlfn.SEQUENCE(ROWS(Trips[Claim No.]))),ROW()-11)),"")</f>
        <v/>
      </c>
      <c r="J55" s="83" t="str" cm="1">
        <f t="array" ref="J55">IFERROR(INDEX(Trips[Excess (d)],SMALL(IF(Trips[Claim No.]=INV_CLAIM,_xlfn.SEQUENCE(ROWS(Trips[Claim No.]))),ROW()-11)),"")</f>
        <v/>
      </c>
      <c r="K55" s="111" t="str" cm="1">
        <f t="array" ref="K55">IFERROR(INDEX(Trips[Demurrage (USD)],SMALL(IF(Trips[Claim No.]=INV_CLAIM,_xlfn.SEQUENCE(ROWS(Trips[Claim No.]))),ROW()-11)),"")</f>
        <v/>
      </c>
    </row>
    <row r="56" spans="2:11" x14ac:dyDescent="0.25">
      <c r="B56" s="81" t="str" cm="1">
        <f t="array" ref="B56">IFERROR(IF(SMALL(IF(Trips[Claim No.]=INV_CLAIM,_xlfn.SEQUENCE(ROWS(Trips[Claim No.]))),ROW()-11)&gt;0,ROW()-11,""),"")</f>
        <v/>
      </c>
      <c r="C56" s="82" t="str" cm="1">
        <f t="array" ref="C56">IFERROR(INDEX(Trips[Date Loaded],SMALL(IF(Trips[Claim No.]=INV_CLAIM,_xlfn.SEQUENCE(ROWS(Trips[Claim No.]))),ROW()-11)),"")</f>
        <v/>
      </c>
      <c r="D56" s="81" t="str" cm="1">
        <f t="array" ref="D56">IFERROR(INDEX(Trips[Truck No.],SMALL(IF(Trips[Claim No.]=INV_CLAIM,_xlfn.SEQUENCE(ROWS(Trips[Claim No.]))),ROW()-11)),"")</f>
        <v/>
      </c>
      <c r="E56" s="82" t="str" cm="1">
        <f t="array" ref="E56">IFERROR(INDEX(Trips[Arrival],SMALL(IF(Trips[Claim No.]=INV_CLAIM,_xlfn.SEQUENCE(ROWS(Trips[Claim No.]))),ROW()-11)),"")</f>
        <v/>
      </c>
      <c r="F56" s="82" t="str" cm="1">
        <f t="array" ref="F56">IFERROR(INDEX(Trips[Offloaded],SMALL(IF(Trips[Claim No.]=INV_CLAIM,_xlfn.SEQUENCE(ROWS(Trips[Claim No.]))),ROW()-11)),"")</f>
        <v/>
      </c>
      <c r="G56" s="81" t="str" cm="1">
        <f t="array" ref="G56">IFERROR(INDEX(Trips[Consignee],SMALL(IF(Trips[Claim No.]=INV_CLAIM,_xlfn.SEQUENCE(ROWS(Trips[Claim No.]))),ROW()-11)),"")</f>
        <v/>
      </c>
      <c r="H56" s="83" t="str" cm="1">
        <f t="array" ref="H56">IFERROR(INDEX(Trips[Waiting (d)],SMALL(IF(Trips[Claim No.]=INV_CLAIM,_xlfn.SEQUENCE(ROWS(Trips[Claim No.]))),ROW()-11)),"")</f>
        <v/>
      </c>
      <c r="I56" s="83" t="str" cm="1">
        <f t="array" ref="I56">IFERROR(INDEX(Trips[Laytime (d)],SMALL(IF(Trips[Claim No.]=INV_CLAIM,_xlfn.SEQUENCE(ROWS(Trips[Claim No.]))),ROW()-11)),"")</f>
        <v/>
      </c>
      <c r="J56" s="83" t="str" cm="1">
        <f t="array" ref="J56">IFERROR(INDEX(Trips[Excess (d)],SMALL(IF(Trips[Claim No.]=INV_CLAIM,_xlfn.SEQUENCE(ROWS(Trips[Claim No.]))),ROW()-11)),"")</f>
        <v/>
      </c>
      <c r="K56" s="111" t="str" cm="1">
        <f t="array" ref="K56">IFERROR(INDEX(Trips[Demurrage (USD)],SMALL(IF(Trips[Claim No.]=INV_CLAIM,_xlfn.SEQUENCE(ROWS(Trips[Claim No.]))),ROW()-11)),"")</f>
        <v/>
      </c>
    </row>
    <row r="57" spans="2:11" x14ac:dyDescent="0.25">
      <c r="B57" s="81" t="str" cm="1">
        <f t="array" ref="B57">IFERROR(IF(SMALL(IF(Trips[Claim No.]=INV_CLAIM,_xlfn.SEQUENCE(ROWS(Trips[Claim No.]))),ROW()-11)&gt;0,ROW()-11,""),"")</f>
        <v/>
      </c>
      <c r="C57" s="82" t="str" cm="1">
        <f t="array" ref="C57">IFERROR(INDEX(Trips[Date Loaded],SMALL(IF(Trips[Claim No.]=INV_CLAIM,_xlfn.SEQUENCE(ROWS(Trips[Claim No.]))),ROW()-11)),"")</f>
        <v/>
      </c>
      <c r="D57" s="81" t="str" cm="1">
        <f t="array" ref="D57">IFERROR(INDEX(Trips[Truck No.],SMALL(IF(Trips[Claim No.]=INV_CLAIM,_xlfn.SEQUENCE(ROWS(Trips[Claim No.]))),ROW()-11)),"")</f>
        <v/>
      </c>
      <c r="E57" s="82" t="str" cm="1">
        <f t="array" ref="E57">IFERROR(INDEX(Trips[Arrival],SMALL(IF(Trips[Claim No.]=INV_CLAIM,_xlfn.SEQUENCE(ROWS(Trips[Claim No.]))),ROW()-11)),"")</f>
        <v/>
      </c>
      <c r="F57" s="82" t="str" cm="1">
        <f t="array" ref="F57">IFERROR(INDEX(Trips[Offloaded],SMALL(IF(Trips[Claim No.]=INV_CLAIM,_xlfn.SEQUENCE(ROWS(Trips[Claim No.]))),ROW()-11)),"")</f>
        <v/>
      </c>
      <c r="G57" s="81" t="str" cm="1">
        <f t="array" ref="G57">IFERROR(INDEX(Trips[Consignee],SMALL(IF(Trips[Claim No.]=INV_CLAIM,_xlfn.SEQUENCE(ROWS(Trips[Claim No.]))),ROW()-11)),"")</f>
        <v/>
      </c>
      <c r="H57" s="83" t="str" cm="1">
        <f t="array" ref="H57">IFERROR(INDEX(Trips[Waiting (d)],SMALL(IF(Trips[Claim No.]=INV_CLAIM,_xlfn.SEQUENCE(ROWS(Trips[Claim No.]))),ROW()-11)),"")</f>
        <v/>
      </c>
      <c r="I57" s="83" t="str" cm="1">
        <f t="array" ref="I57">IFERROR(INDEX(Trips[Laytime (d)],SMALL(IF(Trips[Claim No.]=INV_CLAIM,_xlfn.SEQUENCE(ROWS(Trips[Claim No.]))),ROW()-11)),"")</f>
        <v/>
      </c>
      <c r="J57" s="83" t="str" cm="1">
        <f t="array" ref="J57">IFERROR(INDEX(Trips[Excess (d)],SMALL(IF(Trips[Claim No.]=INV_CLAIM,_xlfn.SEQUENCE(ROWS(Trips[Claim No.]))),ROW()-11)),"")</f>
        <v/>
      </c>
      <c r="K57" s="111" t="str" cm="1">
        <f t="array" ref="K57">IFERROR(INDEX(Trips[Demurrage (USD)],SMALL(IF(Trips[Claim No.]=INV_CLAIM,_xlfn.SEQUENCE(ROWS(Trips[Claim No.]))),ROW()-11)),"")</f>
        <v/>
      </c>
    </row>
    <row r="58" spans="2:11" x14ac:dyDescent="0.25">
      <c r="B58" s="81" t="str" cm="1">
        <f t="array" ref="B58">IFERROR(IF(SMALL(IF(Trips[Claim No.]=INV_CLAIM,_xlfn.SEQUENCE(ROWS(Trips[Claim No.]))),ROW()-11)&gt;0,ROW()-11,""),"")</f>
        <v/>
      </c>
      <c r="C58" s="82" t="str" cm="1">
        <f t="array" ref="C58">IFERROR(INDEX(Trips[Date Loaded],SMALL(IF(Trips[Claim No.]=INV_CLAIM,_xlfn.SEQUENCE(ROWS(Trips[Claim No.]))),ROW()-11)),"")</f>
        <v/>
      </c>
      <c r="D58" s="81" t="str" cm="1">
        <f t="array" ref="D58">IFERROR(INDEX(Trips[Truck No.],SMALL(IF(Trips[Claim No.]=INV_CLAIM,_xlfn.SEQUENCE(ROWS(Trips[Claim No.]))),ROW()-11)),"")</f>
        <v/>
      </c>
      <c r="E58" s="82" t="str" cm="1">
        <f t="array" ref="E58">IFERROR(INDEX(Trips[Arrival],SMALL(IF(Trips[Claim No.]=INV_CLAIM,_xlfn.SEQUENCE(ROWS(Trips[Claim No.]))),ROW()-11)),"")</f>
        <v/>
      </c>
      <c r="F58" s="82" t="str" cm="1">
        <f t="array" ref="F58">IFERROR(INDEX(Trips[Offloaded],SMALL(IF(Trips[Claim No.]=INV_CLAIM,_xlfn.SEQUENCE(ROWS(Trips[Claim No.]))),ROW()-11)),"")</f>
        <v/>
      </c>
      <c r="G58" s="81" t="str" cm="1">
        <f t="array" ref="G58">IFERROR(INDEX(Trips[Consignee],SMALL(IF(Trips[Claim No.]=INV_CLAIM,_xlfn.SEQUENCE(ROWS(Trips[Claim No.]))),ROW()-11)),"")</f>
        <v/>
      </c>
      <c r="H58" s="83" t="str" cm="1">
        <f t="array" ref="H58">IFERROR(INDEX(Trips[Waiting (d)],SMALL(IF(Trips[Claim No.]=INV_CLAIM,_xlfn.SEQUENCE(ROWS(Trips[Claim No.]))),ROW()-11)),"")</f>
        <v/>
      </c>
      <c r="I58" s="83" t="str" cm="1">
        <f t="array" ref="I58">IFERROR(INDEX(Trips[Laytime (d)],SMALL(IF(Trips[Claim No.]=INV_CLAIM,_xlfn.SEQUENCE(ROWS(Trips[Claim No.]))),ROW()-11)),"")</f>
        <v/>
      </c>
      <c r="J58" s="83" t="str" cm="1">
        <f t="array" ref="J58">IFERROR(INDEX(Trips[Excess (d)],SMALL(IF(Trips[Claim No.]=INV_CLAIM,_xlfn.SEQUENCE(ROWS(Trips[Claim No.]))),ROW()-11)),"")</f>
        <v/>
      </c>
      <c r="K58" s="111" t="str" cm="1">
        <f t="array" ref="K58">IFERROR(INDEX(Trips[Demurrage (USD)],SMALL(IF(Trips[Claim No.]=INV_CLAIM,_xlfn.SEQUENCE(ROWS(Trips[Claim No.]))),ROW()-11)),"")</f>
        <v/>
      </c>
    </row>
    <row r="59" spans="2:11" x14ac:dyDescent="0.25">
      <c r="B59" s="81" t="str" cm="1">
        <f t="array" ref="B59">IFERROR(IF(SMALL(IF(Trips[Claim No.]=INV_CLAIM,_xlfn.SEQUENCE(ROWS(Trips[Claim No.]))),ROW()-11)&gt;0,ROW()-11,""),"")</f>
        <v/>
      </c>
      <c r="C59" s="82" t="str" cm="1">
        <f t="array" ref="C59">IFERROR(INDEX(Trips[Date Loaded],SMALL(IF(Trips[Claim No.]=INV_CLAIM,_xlfn.SEQUENCE(ROWS(Trips[Claim No.]))),ROW()-11)),"")</f>
        <v/>
      </c>
      <c r="D59" s="81" t="str" cm="1">
        <f t="array" ref="D59">IFERROR(INDEX(Trips[Truck No.],SMALL(IF(Trips[Claim No.]=INV_CLAIM,_xlfn.SEQUENCE(ROWS(Trips[Claim No.]))),ROW()-11)),"")</f>
        <v/>
      </c>
      <c r="E59" s="82" t="str" cm="1">
        <f t="array" ref="E59">IFERROR(INDEX(Trips[Arrival],SMALL(IF(Trips[Claim No.]=INV_CLAIM,_xlfn.SEQUENCE(ROWS(Trips[Claim No.]))),ROW()-11)),"")</f>
        <v/>
      </c>
      <c r="F59" s="82" t="str" cm="1">
        <f t="array" ref="F59">IFERROR(INDEX(Trips[Offloaded],SMALL(IF(Trips[Claim No.]=INV_CLAIM,_xlfn.SEQUENCE(ROWS(Trips[Claim No.]))),ROW()-11)),"")</f>
        <v/>
      </c>
      <c r="G59" s="81" t="str" cm="1">
        <f t="array" ref="G59">IFERROR(INDEX(Trips[Consignee],SMALL(IF(Trips[Claim No.]=INV_CLAIM,_xlfn.SEQUENCE(ROWS(Trips[Claim No.]))),ROW()-11)),"")</f>
        <v/>
      </c>
      <c r="H59" s="83" t="str" cm="1">
        <f t="array" ref="H59">IFERROR(INDEX(Trips[Waiting (d)],SMALL(IF(Trips[Claim No.]=INV_CLAIM,_xlfn.SEQUENCE(ROWS(Trips[Claim No.]))),ROW()-11)),"")</f>
        <v/>
      </c>
      <c r="I59" s="83" t="str" cm="1">
        <f t="array" ref="I59">IFERROR(INDEX(Trips[Laytime (d)],SMALL(IF(Trips[Claim No.]=INV_CLAIM,_xlfn.SEQUENCE(ROWS(Trips[Claim No.]))),ROW()-11)),"")</f>
        <v/>
      </c>
      <c r="J59" s="83" t="str" cm="1">
        <f t="array" ref="J59">IFERROR(INDEX(Trips[Excess (d)],SMALL(IF(Trips[Claim No.]=INV_CLAIM,_xlfn.SEQUENCE(ROWS(Trips[Claim No.]))),ROW()-11)),"")</f>
        <v/>
      </c>
      <c r="K59" s="111" t="str" cm="1">
        <f t="array" ref="K59">IFERROR(INDEX(Trips[Demurrage (USD)],SMALL(IF(Trips[Claim No.]=INV_CLAIM,_xlfn.SEQUENCE(ROWS(Trips[Claim No.]))),ROW()-11)),"")</f>
        <v/>
      </c>
    </row>
    <row r="60" spans="2:11" x14ac:dyDescent="0.25">
      <c r="B60" s="81" t="str" cm="1">
        <f t="array" ref="B60">IFERROR(IF(SMALL(IF(Trips[Claim No.]=INV_CLAIM,_xlfn.SEQUENCE(ROWS(Trips[Claim No.]))),ROW()-11)&gt;0,ROW()-11,""),"")</f>
        <v/>
      </c>
      <c r="C60" s="82" t="str" cm="1">
        <f t="array" ref="C60">IFERROR(INDEX(Trips[Date Loaded],SMALL(IF(Trips[Claim No.]=INV_CLAIM,_xlfn.SEQUENCE(ROWS(Trips[Claim No.]))),ROW()-11)),"")</f>
        <v/>
      </c>
      <c r="D60" s="81" t="str" cm="1">
        <f t="array" ref="D60">IFERROR(INDEX(Trips[Truck No.],SMALL(IF(Trips[Claim No.]=INV_CLAIM,_xlfn.SEQUENCE(ROWS(Trips[Claim No.]))),ROW()-11)),"")</f>
        <v/>
      </c>
      <c r="E60" s="82" t="str" cm="1">
        <f t="array" ref="E60">IFERROR(INDEX(Trips[Arrival],SMALL(IF(Trips[Claim No.]=INV_CLAIM,_xlfn.SEQUENCE(ROWS(Trips[Claim No.]))),ROW()-11)),"")</f>
        <v/>
      </c>
      <c r="F60" s="82" t="str" cm="1">
        <f t="array" ref="F60">IFERROR(INDEX(Trips[Offloaded],SMALL(IF(Trips[Claim No.]=INV_CLAIM,_xlfn.SEQUENCE(ROWS(Trips[Claim No.]))),ROW()-11)),"")</f>
        <v/>
      </c>
      <c r="G60" s="81" t="str" cm="1">
        <f t="array" ref="G60">IFERROR(INDEX(Trips[Consignee],SMALL(IF(Trips[Claim No.]=INV_CLAIM,_xlfn.SEQUENCE(ROWS(Trips[Claim No.]))),ROW()-11)),"")</f>
        <v/>
      </c>
      <c r="H60" s="83" t="str" cm="1">
        <f t="array" ref="H60">IFERROR(INDEX(Trips[Waiting (d)],SMALL(IF(Trips[Claim No.]=INV_CLAIM,_xlfn.SEQUENCE(ROWS(Trips[Claim No.]))),ROW()-11)),"")</f>
        <v/>
      </c>
      <c r="I60" s="83" t="str" cm="1">
        <f t="array" ref="I60">IFERROR(INDEX(Trips[Laytime (d)],SMALL(IF(Trips[Claim No.]=INV_CLAIM,_xlfn.SEQUENCE(ROWS(Trips[Claim No.]))),ROW()-11)),"")</f>
        <v/>
      </c>
      <c r="J60" s="83" t="str" cm="1">
        <f t="array" ref="J60">IFERROR(INDEX(Trips[Excess (d)],SMALL(IF(Trips[Claim No.]=INV_CLAIM,_xlfn.SEQUENCE(ROWS(Trips[Claim No.]))),ROW()-11)),"")</f>
        <v/>
      </c>
      <c r="K60" s="111" t="str" cm="1">
        <f t="array" ref="K60">IFERROR(INDEX(Trips[Demurrage (USD)],SMALL(IF(Trips[Claim No.]=INV_CLAIM,_xlfn.SEQUENCE(ROWS(Trips[Claim No.]))),ROW()-11)),"")</f>
        <v/>
      </c>
    </row>
    <row r="61" spans="2:11" x14ac:dyDescent="0.25">
      <c r="B61" s="81" t="str" cm="1">
        <f t="array" ref="B61">IFERROR(IF(SMALL(IF(Trips[Claim No.]=INV_CLAIM,_xlfn.SEQUENCE(ROWS(Trips[Claim No.]))),ROW()-11)&gt;0,ROW()-11,""),"")</f>
        <v/>
      </c>
      <c r="C61" s="82" t="str" cm="1">
        <f t="array" ref="C61">IFERROR(INDEX(Trips[Date Loaded],SMALL(IF(Trips[Claim No.]=INV_CLAIM,_xlfn.SEQUENCE(ROWS(Trips[Claim No.]))),ROW()-11)),"")</f>
        <v/>
      </c>
      <c r="D61" s="81" t="str" cm="1">
        <f t="array" ref="D61">IFERROR(INDEX(Trips[Truck No.],SMALL(IF(Trips[Claim No.]=INV_CLAIM,_xlfn.SEQUENCE(ROWS(Trips[Claim No.]))),ROW()-11)),"")</f>
        <v/>
      </c>
      <c r="E61" s="82" t="str" cm="1">
        <f t="array" ref="E61">IFERROR(INDEX(Trips[Arrival],SMALL(IF(Trips[Claim No.]=INV_CLAIM,_xlfn.SEQUENCE(ROWS(Trips[Claim No.]))),ROW()-11)),"")</f>
        <v/>
      </c>
      <c r="F61" s="82" t="str" cm="1">
        <f t="array" ref="F61">IFERROR(INDEX(Trips[Offloaded],SMALL(IF(Trips[Claim No.]=INV_CLAIM,_xlfn.SEQUENCE(ROWS(Trips[Claim No.]))),ROW()-11)),"")</f>
        <v/>
      </c>
      <c r="G61" s="81" t="str" cm="1">
        <f t="array" ref="G61">IFERROR(INDEX(Trips[Consignee],SMALL(IF(Trips[Claim No.]=INV_CLAIM,_xlfn.SEQUENCE(ROWS(Trips[Claim No.]))),ROW()-11)),"")</f>
        <v/>
      </c>
      <c r="H61" s="83" t="str" cm="1">
        <f t="array" ref="H61">IFERROR(INDEX(Trips[Waiting (d)],SMALL(IF(Trips[Claim No.]=INV_CLAIM,_xlfn.SEQUENCE(ROWS(Trips[Claim No.]))),ROW()-11)),"")</f>
        <v/>
      </c>
      <c r="I61" s="83" t="str" cm="1">
        <f t="array" ref="I61">IFERROR(INDEX(Trips[Laytime (d)],SMALL(IF(Trips[Claim No.]=INV_CLAIM,_xlfn.SEQUENCE(ROWS(Trips[Claim No.]))),ROW()-11)),"")</f>
        <v/>
      </c>
      <c r="J61" s="83" t="str" cm="1">
        <f t="array" ref="J61">IFERROR(INDEX(Trips[Excess (d)],SMALL(IF(Trips[Claim No.]=INV_CLAIM,_xlfn.SEQUENCE(ROWS(Trips[Claim No.]))),ROW()-11)),"")</f>
        <v/>
      </c>
      <c r="K61" s="111" t="str" cm="1">
        <f t="array" ref="K61">IFERROR(INDEX(Trips[Demurrage (USD)],SMALL(IF(Trips[Claim No.]=INV_CLAIM,_xlfn.SEQUENCE(ROWS(Trips[Claim No.]))),ROW()-11)),"")</f>
        <v/>
      </c>
    </row>
    <row r="62" spans="2:11" ht="15.75" thickBot="1" x14ac:dyDescent="0.3">
      <c r="B62" s="87" t="s">
        <v>481</v>
      </c>
      <c r="C62" s="88"/>
      <c r="D62" s="88"/>
      <c r="E62" s="88"/>
      <c r="F62" s="88"/>
      <c r="G62" s="88"/>
      <c r="H62" s="89">
        <f>SUMIF(Trips[Claim No.],INV_CLAIM,Trips[Waiting (d)])</f>
        <v>110</v>
      </c>
      <c r="I62" s="88"/>
      <c r="J62" s="89">
        <f>SUMIF(Trips[Claim No.],INV_CLAIM,Trips[Excess (d)])</f>
        <v>86</v>
      </c>
      <c r="K62" s="112">
        <f>SUMIF(Trips[Claim No.],INV_CLAIM,Trips[Demurrage (USD)])</f>
        <v>21500</v>
      </c>
    </row>
  </sheetData>
  <conditionalFormatting sqref="B12:K61">
    <cfRule type="expression" dxfId="38" priority="1">
      <formula>AND(MOD(ROW(),2)=0,$B12&lt;&gt;"")</formula>
    </cfRule>
  </conditionalFormatting>
  <hyperlinks>
    <hyperlink ref="B2" location="Cover!A1" tooltip="Go to 📋 Cover" display="📋 Cover" xr:uid="{4F155A45-9D62-40C2-9112-54F3D05CE315}"/>
    <hyperlink ref="C2" location="Dashboard!A1" tooltip="Go to 📊 Dashboard" display="📊 Dashboard" xr:uid="{1F6A62F8-D9F9-4D86-904F-9A1D51C619BC}"/>
    <hyperlink ref="D2" location="'Trips Ledger'!A1" tooltip="Go to 🚚 Trips" display="🚚 Trips" xr:uid="{173C8454-EA8C-4A9D-ABB5-88000575C61C}"/>
    <hyperlink ref="E2" location="Claims!A1" tooltip="Go to 🧾 Claims" display="🧾 Claims" xr:uid="{83AAE085-F042-4654-8C3B-6E46BE41861D}"/>
    <hyperlink ref="F2" location="Deals!A1" tooltip="Go to 📑 Deals" display="📑 Deals" xr:uid="{8089D7E4-A6AD-4AA1-85BB-250E479A7FB0}"/>
    <hyperlink ref="G2" location="Invoice!A1" tooltip="Go to 💰 Invoice" display="💰 Invoice" xr:uid="{A1EA4660-71B5-467C-A051-B7F764298EA4}"/>
  </hyperlinks>
  <printOptions horizontalCentered="1"/>
  <pageMargins left="0.41666666666666669" right="0.41666666666666669" top="0.41666666666666669" bottom="0.41666666666666669" header="0.3" footer="0.3"/>
  <pageSetup scale="53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5A623"/>
    <pageSetUpPr fitToPage="1"/>
  </sheetPr>
  <dimension ref="B2:R200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H11" sqref="H11"/>
    </sheetView>
  </sheetViews>
  <sheetFormatPr defaultRowHeight="15" x14ac:dyDescent="0.25"/>
  <cols>
    <col min="1" max="1" width="2" customWidth="1"/>
    <col min="2" max="2" width="18" customWidth="1"/>
    <col min="3" max="3" width="13" customWidth="1"/>
    <col min="4" max="4" width="11" customWidth="1"/>
    <col min="5" max="5" width="26" customWidth="1"/>
    <col min="6" max="6" width="36" customWidth="1"/>
    <col min="7" max="8" width="13" customWidth="1"/>
    <col min="9" max="9" width="9" customWidth="1"/>
    <col min="10" max="10" width="14" customWidth="1"/>
    <col min="11" max="11" width="10" customWidth="1"/>
    <col min="12" max="12" width="12" customWidth="1"/>
    <col min="13" max="14" width="13" customWidth="1"/>
    <col min="15" max="16" width="12" customWidth="1"/>
    <col min="17" max="17" width="32" customWidth="1"/>
  </cols>
  <sheetData>
    <row r="2" spans="2:18" ht="21.95" customHeight="1" x14ac:dyDescent="0.25">
      <c r="B2" s="125" t="s">
        <v>482</v>
      </c>
      <c r="C2" s="125" t="s">
        <v>483</v>
      </c>
      <c r="D2" s="125" t="s">
        <v>484</v>
      </c>
      <c r="E2" s="124" t="s">
        <v>485</v>
      </c>
      <c r="F2" s="125" t="s">
        <v>486</v>
      </c>
      <c r="G2" s="125" t="s">
        <v>487</v>
      </c>
      <c r="H2" s="125" t="s">
        <v>514</v>
      </c>
    </row>
    <row r="3" spans="2:18" x14ac:dyDescent="0.25">
      <c r="B3" s="37" t="s">
        <v>66</v>
      </c>
      <c r="C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</row>
    <row r="4" spans="2:18" x14ac:dyDescent="0.2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</row>
    <row r="6" spans="2:18" ht="36" customHeight="1" x14ac:dyDescent="0.25">
      <c r="B6" s="15" t="s">
        <v>67</v>
      </c>
      <c r="C6" s="15" t="s">
        <v>68</v>
      </c>
      <c r="D6" s="15" t="s">
        <v>28</v>
      </c>
      <c r="E6" s="15" t="s">
        <v>24</v>
      </c>
      <c r="F6" s="15" t="s">
        <v>69</v>
      </c>
      <c r="G6" s="15" t="s">
        <v>70</v>
      </c>
      <c r="H6" s="15" t="s">
        <v>71</v>
      </c>
      <c r="I6" s="15" t="s">
        <v>72</v>
      </c>
      <c r="J6" s="15" t="s">
        <v>63</v>
      </c>
      <c r="K6" s="15" t="s">
        <v>73</v>
      </c>
      <c r="L6" s="15" t="s">
        <v>74</v>
      </c>
      <c r="M6" s="15" t="s">
        <v>75</v>
      </c>
      <c r="N6" s="15" t="s">
        <v>76</v>
      </c>
      <c r="O6" s="15" t="s">
        <v>77</v>
      </c>
      <c r="P6" s="15" t="s">
        <v>78</v>
      </c>
      <c r="Q6" s="15" t="s">
        <v>79</v>
      </c>
      <c r="R6" s="80" t="s">
        <v>544</v>
      </c>
    </row>
    <row r="7" spans="2:18" ht="48" customHeight="1" x14ac:dyDescent="0.25">
      <c r="B7" s="16" t="str">
        <f>IF(Claims[[#This Row],[Deal No.]]="","",Claims[[#This Row],[Deal No.]]&amp;"-DEM")</f>
        <v>184182-DEM</v>
      </c>
      <c r="C7" s="17">
        <v>46157</v>
      </c>
      <c r="D7" s="16">
        <v>184182</v>
      </c>
      <c r="E7" s="18" t="str">
        <f>IFERROR(VLOOKUP(D7,Deals[#All],2,FALSE),"")</f>
        <v>Rubis Energy Zambia</v>
      </c>
      <c r="F7" s="18" t="str">
        <f>IFERROR(VLOOKUP(E7,Consignees[],2,FALSE),"")</f>
        <v>PLOT NO. 1630, MALAMBO ROAD
LUSAKA, ZAMBIA
[VAT / TIN]</v>
      </c>
      <c r="G7" s="17">
        <f>IFERROR(_xlfn.MINIFS(Trips[Date Loaded],Trips[Claim No.],Claims[[#This Row],[Claim No.]]),"")</f>
        <v>45992</v>
      </c>
      <c r="H7" s="17">
        <f>IFERROR(_xlfn.MAXIFS(Trips[Offloaded],Trips[Claim No.],Claims[[#This Row],[Claim No.]]),"")</f>
        <v>46009</v>
      </c>
      <c r="I7" s="19">
        <f>COUNTIF(Trips[Claim No.],B7)</f>
        <v>13</v>
      </c>
      <c r="J7" s="121">
        <f>SUMIF(Trips[Claim No.],B7,Trips[Demurrage (USD)])</f>
        <v>3250</v>
      </c>
      <c r="K7" s="16" t="str">
        <f t="shared" ref="K7:K15" si="0">CCY</f>
        <v>USD</v>
      </c>
      <c r="L7" s="16" t="s">
        <v>80</v>
      </c>
      <c r="M7" s="17">
        <f t="shared" ref="M7:M15" si="1">C7+PAY_TERMS</f>
        <v>46171</v>
      </c>
      <c r="N7" s="17"/>
      <c r="O7" s="19" t="str">
        <f t="shared" ref="O7:O15" ca="1" si="2">IF(L7="Paid",0,IF(L7="Sent",MAX(0,TODAY()-M7),""))</f>
        <v/>
      </c>
      <c r="P7" s="16" t="str">
        <f>IF(L7="Paid","Paid",IF(L7&lt;&gt;"Sent","",IF(ISNUMBER(O7),IF(O7&lt;=0,"Current",IF(O7&lt;=30,"1-30",IF(O7&lt;=60,"31-60",IF(O7&lt;=90,"61-90","90+")))),"")))</f>
        <v/>
      </c>
      <c r="Q7" s="18" t="str">
        <f>"Demurrage on Deal "&amp;Claims[[#This Row],[Deal No.]]&amp;" — "&amp;IFERROR(VLOOKUP(Claims[[#This Row],[Deal No.]],Deals[#All],3,FALSE),"")</f>
        <v>Demurrage on Deal 184182 — Beira → Lusaka</v>
      </c>
      <c r="R7" s="80" t="s">
        <v>544</v>
      </c>
    </row>
    <row r="8" spans="2:18" ht="48" customHeight="1" x14ac:dyDescent="0.25">
      <c r="B8" s="16" t="str">
        <f>IF(Claims[[#This Row],[Deal No.]]="","",Claims[[#This Row],[Deal No.]]&amp;"-DEM")</f>
        <v>184752-DEM</v>
      </c>
      <c r="C8" s="17">
        <v>46157</v>
      </c>
      <c r="D8" s="16">
        <v>184752</v>
      </c>
      <c r="E8" s="18" t="str">
        <f>IFERROR(VLOOKUP(D8,Deals[#All],2,FALSE),"")</f>
        <v>Rubis Energy Zambia</v>
      </c>
      <c r="F8" s="18" t="str">
        <f>IFERROR(VLOOKUP(E8,Consignees[],2,FALSE),"")</f>
        <v>PLOT NO. 1630, MALAMBO ROAD
LUSAKA, ZAMBIA
[VAT / TIN]</v>
      </c>
      <c r="G8" s="17">
        <f>IFERROR(_xlfn.MINIFS(Trips[Date Loaded],Trips[Claim No.],Claims[[#This Row],[Claim No.]]),"")</f>
        <v>46006</v>
      </c>
      <c r="H8" s="17">
        <f>IFERROR(_xlfn.MAXIFS(Trips[Offloaded],Trips[Claim No.],Claims[[#This Row],[Claim No.]]),"")</f>
        <v>46035</v>
      </c>
      <c r="I8" s="19">
        <f>COUNTIF(Trips[Claim No.],B8)</f>
        <v>10</v>
      </c>
      <c r="J8" s="121">
        <f>SUMIF(Trips[Claim No.],B8,Trips[Demurrage (USD)])</f>
        <v>5500</v>
      </c>
      <c r="K8" s="16" t="str">
        <f t="shared" si="0"/>
        <v>USD</v>
      </c>
      <c r="L8" s="16" t="s">
        <v>80</v>
      </c>
      <c r="M8" s="17">
        <f t="shared" si="1"/>
        <v>46171</v>
      </c>
      <c r="N8" s="17"/>
      <c r="O8" s="19" t="str">
        <f t="shared" ca="1" si="2"/>
        <v/>
      </c>
      <c r="P8" s="16" t="str">
        <f t="shared" ref="P8:P15" si="3">IF(L8="Paid","Paid",IF(L8&lt;&gt;"Sent","",IF(ISNUMBER(O8),IF(O8&lt;=0,"Current",IF(O8&lt;=30,"1-30",IF(O8&lt;=60,"31-60",IF(O8&lt;=90,"61-90","90+")))),"")))</f>
        <v/>
      </c>
      <c r="Q8" s="18" t="str">
        <f>"Demurrage on Deal "&amp;Claims[[#This Row],[Deal No.]]&amp;" — "&amp;IFERROR(VLOOKUP(Claims[[#This Row],[Deal No.]],Deals[#All],3,FALSE),"")</f>
        <v>Demurrage on Deal 184752 — Beira → Lusaka</v>
      </c>
      <c r="R8" s="149" t="s">
        <v>545</v>
      </c>
    </row>
    <row r="9" spans="2:18" ht="48" customHeight="1" x14ac:dyDescent="0.25">
      <c r="B9" s="16" t="str">
        <f>IF(Claims[[#This Row],[Deal No.]]="","",Claims[[#This Row],[Deal No.]]&amp;"-DEM")</f>
        <v>184834-DEM</v>
      </c>
      <c r="C9" s="17">
        <v>46157</v>
      </c>
      <c r="D9" s="16">
        <v>184834</v>
      </c>
      <c r="E9" s="18" t="str">
        <f>IFERROR(VLOOKUP(D9,Deals[#All],2,FALSE),"")</f>
        <v>Reliance Energy Zambia</v>
      </c>
      <c r="F9" s="18" t="str">
        <f>IFERROR(VLOOKUP(E9,Consignees[],2,FALSE),"")</f>
        <v>[Plot / Street]
[City], ZAMBIA
[VAT / TIN]</v>
      </c>
      <c r="G9" s="17">
        <f>IFERROR(_xlfn.MINIFS(Trips[Date Loaded],Trips[Claim No.],Claims[[#This Row],[Claim No.]]),"")</f>
        <v>46011</v>
      </c>
      <c r="H9" s="17">
        <f>IFERROR(_xlfn.MAXIFS(Trips[Offloaded],Trips[Claim No.],Claims[[#This Row],[Claim No.]]),"")</f>
        <v>46017</v>
      </c>
      <c r="I9" s="19">
        <f>COUNTIF(Trips[Claim No.],B9)</f>
        <v>4</v>
      </c>
      <c r="J9" s="121">
        <f>SUMIF(Trips[Claim No.],B9,Trips[Demurrage (USD)])</f>
        <v>0</v>
      </c>
      <c r="K9" s="16" t="str">
        <f t="shared" si="0"/>
        <v>USD</v>
      </c>
      <c r="L9" s="16" t="s">
        <v>80</v>
      </c>
      <c r="M9" s="17">
        <f t="shared" si="1"/>
        <v>46171</v>
      </c>
      <c r="N9" s="17"/>
      <c r="O9" s="19" t="str">
        <f t="shared" ca="1" si="2"/>
        <v/>
      </c>
      <c r="P9" s="16" t="str">
        <f t="shared" si="3"/>
        <v/>
      </c>
      <c r="Q9" s="18" t="str">
        <f>"Demurrage on Deal "&amp;Claims[[#This Row],[Deal No.]]&amp;" — "&amp;IFERROR(VLOOKUP(Claims[[#This Row],[Deal No.]],Deals[#All],3,FALSE),"")</f>
        <v>Demurrage on Deal 184834 — Beira → Lusaka</v>
      </c>
    </row>
    <row r="10" spans="2:18" ht="48" customHeight="1" x14ac:dyDescent="0.25">
      <c r="B10" s="16" t="str">
        <f>IF(Claims[[#This Row],[Deal No.]]="","",Claims[[#This Row],[Deal No.]]&amp;"-DEM")</f>
        <v>187293-DEM</v>
      </c>
      <c r="C10" s="17">
        <v>46157</v>
      </c>
      <c r="D10" s="16">
        <v>187293</v>
      </c>
      <c r="E10" s="18" t="str">
        <f>IFERROR(VLOOKUP(D10,Deals[#All],2,FALSE),"")</f>
        <v>Lake Petroleum Zambia</v>
      </c>
      <c r="F10" s="18" t="str">
        <f>IFERROR(VLOOKUP(E10,Consignees[],2,FALSE),"")</f>
        <v>PLOT NO. 10958, CORNER OF LIMA / LUANSHYA ROAD
P.O. BOX 71030, NDOLA, ZAMBIA
[VAT / TIN]</v>
      </c>
      <c r="G10" s="17">
        <f>IFERROR(_xlfn.MINIFS(Trips[Date Loaded],Trips[Claim No.],Claims[[#This Row],[Claim No.]]),"")</f>
        <v>46079</v>
      </c>
      <c r="H10" s="17">
        <f>IFERROR(_xlfn.MAXIFS(Trips[Offloaded],Trips[Claim No.],Claims[[#This Row],[Claim No.]]),"")</f>
        <v>46114</v>
      </c>
      <c r="I10" s="19">
        <f>COUNTIF(Trips[Claim No.],B10)</f>
        <v>29</v>
      </c>
      <c r="J10" s="121">
        <f>SUMIF(Trips[Claim No.],B10,Trips[Demurrage (USD)])</f>
        <v>50750</v>
      </c>
      <c r="K10" s="16" t="str">
        <f t="shared" si="0"/>
        <v>USD</v>
      </c>
      <c r="L10" s="16" t="s">
        <v>80</v>
      </c>
      <c r="M10" s="17">
        <f t="shared" si="1"/>
        <v>46171</v>
      </c>
      <c r="N10" s="17"/>
      <c r="O10" s="19" t="str">
        <f t="shared" ca="1" si="2"/>
        <v/>
      </c>
      <c r="P10" s="16" t="str">
        <f t="shared" si="3"/>
        <v/>
      </c>
      <c r="Q10" s="18" t="str">
        <f>"Demurrage on Deal "&amp;Claims[[#This Row],[Deal No.]]&amp;" — "&amp;IFERROR(VLOOKUP(Claims[[#This Row],[Deal No.]],Deals[#All],3,FALSE),"")</f>
        <v>Demurrage on Deal 187293 — Beira → Lusaka</v>
      </c>
    </row>
    <row r="11" spans="2:18" ht="48" customHeight="1" x14ac:dyDescent="0.25">
      <c r="B11" s="16" t="str">
        <f>IF(Claims[[#This Row],[Deal No.]]="","",Claims[[#This Row],[Deal No.]]&amp;"-DEM")</f>
        <v>187296-DEM</v>
      </c>
      <c r="C11" s="17">
        <v>46157</v>
      </c>
      <c r="D11" s="16">
        <v>187296</v>
      </c>
      <c r="E11" s="18" t="str">
        <f>IFERROR(VLOOKUP(D11,Deals[#All],2,FALSE),"")</f>
        <v>Rubis Energy Zambia</v>
      </c>
      <c r="F11" s="18" t="str">
        <f>IFERROR(VLOOKUP(E11,Consignees[],2,FALSE),"")</f>
        <v>PLOT NO. 1630, MALAMBO ROAD
LUSAKA, ZAMBIA
[VAT / TIN]</v>
      </c>
      <c r="G11" s="17">
        <f>IFERROR(_xlfn.MINIFS(Trips[Date Loaded],Trips[Claim No.],Claims[[#This Row],[Claim No.]]),"")</f>
        <v>46072</v>
      </c>
      <c r="H11" s="17">
        <f>IFERROR(_xlfn.MAXIFS(Trips[Offloaded],Trips[Claim No.],Claims[[#This Row],[Claim No.]]),"")</f>
        <v>46090</v>
      </c>
      <c r="I11" s="19">
        <f>COUNTIF(Trips[Claim No.],B11)</f>
        <v>12</v>
      </c>
      <c r="J11" s="121">
        <f>SUMIF(Trips[Claim No.],B11,Trips[Demurrage (USD)])</f>
        <v>21500</v>
      </c>
      <c r="K11" s="16" t="str">
        <f t="shared" si="0"/>
        <v>USD</v>
      </c>
      <c r="L11" s="16" t="s">
        <v>80</v>
      </c>
      <c r="M11" s="17">
        <f t="shared" si="1"/>
        <v>46171</v>
      </c>
      <c r="N11" s="17"/>
      <c r="O11" s="19" t="str">
        <f t="shared" ca="1" si="2"/>
        <v/>
      </c>
      <c r="P11" s="16" t="str">
        <f t="shared" si="3"/>
        <v/>
      </c>
      <c r="Q11" s="18" t="str">
        <f>"Demurrage on Deal "&amp;Claims[[#This Row],[Deal No.]]&amp;" — "&amp;IFERROR(VLOOKUP(Claims[[#This Row],[Deal No.]],Deals[#All],3,FALSE),"")</f>
        <v>Demurrage on Deal 187296 — Beira → Lusaka</v>
      </c>
    </row>
    <row r="12" spans="2:18" ht="48" customHeight="1" x14ac:dyDescent="0.25">
      <c r="B12" s="16" t="str">
        <f>IF(Claims[[#This Row],[Deal No.]]="","",Claims[[#This Row],[Deal No.]]&amp;"-DEM")</f>
        <v>189084-DEM</v>
      </c>
      <c r="C12" s="17">
        <v>46157</v>
      </c>
      <c r="D12" s="16">
        <v>189084</v>
      </c>
      <c r="E12" s="18" t="str">
        <f>IFERROR(VLOOKUP(D12,Deals[#All],2,FALSE),"")</f>
        <v>Rubis Energy Zambia</v>
      </c>
      <c r="F12" s="18" t="str">
        <f>IFERROR(VLOOKUP(E12,Consignees[],2,FALSE),"")</f>
        <v>PLOT NO. 1630, MALAMBO ROAD
LUSAKA, ZAMBIA
[VAT / TIN]</v>
      </c>
      <c r="G12" s="17">
        <f>IFERROR(_xlfn.MINIFS(Trips[Date Loaded],Trips[Claim No.],Claims[[#This Row],[Claim No.]]),"")</f>
        <v>46105</v>
      </c>
      <c r="H12" s="17">
        <f>IFERROR(_xlfn.MAXIFS(Trips[Offloaded],Trips[Claim No.],Claims[[#This Row],[Claim No.]]),"")</f>
        <v>46116</v>
      </c>
      <c r="I12" s="19">
        <f>COUNTIF(Trips[Claim No.],B12)</f>
        <v>12</v>
      </c>
      <c r="J12" s="121">
        <f>SUMIF(Trips[Claim No.],B12,Trips[Demurrage (USD)])</f>
        <v>500</v>
      </c>
      <c r="K12" s="16" t="str">
        <f t="shared" si="0"/>
        <v>USD</v>
      </c>
      <c r="L12" s="16" t="s">
        <v>80</v>
      </c>
      <c r="M12" s="17">
        <f t="shared" si="1"/>
        <v>46171</v>
      </c>
      <c r="N12" s="17"/>
      <c r="O12" s="19" t="str">
        <f t="shared" ca="1" si="2"/>
        <v/>
      </c>
      <c r="P12" s="16" t="str">
        <f t="shared" si="3"/>
        <v/>
      </c>
      <c r="Q12" s="18" t="str">
        <f>"Demurrage on Deal "&amp;Claims[[#This Row],[Deal No.]]&amp;" — "&amp;IFERROR(VLOOKUP(Claims[[#This Row],[Deal No.]],Deals[#All],3,FALSE),"")</f>
        <v>Demurrage on Deal 189084 — Beira → Lusaka</v>
      </c>
    </row>
    <row r="13" spans="2:18" ht="48" customHeight="1" x14ac:dyDescent="0.25">
      <c r="B13" s="16" t="str">
        <f>IF(Claims[[#This Row],[Deal No.]]="","",Claims[[#This Row],[Deal No.]]&amp;"-DEM")</f>
        <v>190261-DEM</v>
      </c>
      <c r="C13" s="17">
        <v>46157</v>
      </c>
      <c r="D13" s="16">
        <v>190261</v>
      </c>
      <c r="E13" s="18" t="str">
        <f>IFERROR(VLOOKUP(D13,Deals[#All],2,FALSE),"")</f>
        <v>Lake Petroleum Zambia</v>
      </c>
      <c r="F13" s="18" t="str">
        <f>IFERROR(VLOOKUP(E13,Consignees[],2,FALSE),"")</f>
        <v>PLOT NO. 10958, CORNER OF LIMA / LUANSHYA ROAD
P.O. BOX 71030, NDOLA, ZAMBIA
[VAT / TIN]</v>
      </c>
      <c r="G13" s="17">
        <f>IFERROR(_xlfn.MINIFS(Trips[Date Loaded],Trips[Claim No.],Claims[[#This Row],[Claim No.]]),"")</f>
        <v>46147</v>
      </c>
      <c r="H13" s="17">
        <f>IFERROR(_xlfn.MAXIFS(Trips[Offloaded],Trips[Claim No.],Claims[[#This Row],[Claim No.]]),"")</f>
        <v>0</v>
      </c>
      <c r="I13" s="19">
        <f>COUNTIF(Trips[Claim No.],B13)</f>
        <v>10</v>
      </c>
      <c r="J13" s="121">
        <f>SUMIF(Trips[Claim No.],B13,Trips[Demurrage (USD)])</f>
        <v>0</v>
      </c>
      <c r="K13" s="16" t="str">
        <f t="shared" si="0"/>
        <v>USD</v>
      </c>
      <c r="L13" s="16" t="s">
        <v>80</v>
      </c>
      <c r="M13" s="17">
        <f t="shared" si="1"/>
        <v>46171</v>
      </c>
      <c r="N13" s="17"/>
      <c r="O13" s="19" t="str">
        <f t="shared" ca="1" si="2"/>
        <v/>
      </c>
      <c r="P13" s="16" t="str">
        <f t="shared" si="3"/>
        <v/>
      </c>
      <c r="Q13" s="18" t="str">
        <f>"Demurrage on Deal "&amp;Claims[[#This Row],[Deal No.]]&amp;" — "&amp;IFERROR(VLOOKUP(Claims[[#This Row],[Deal No.]],Deals[#All],3,FALSE),"")</f>
        <v>Demurrage on Deal 190261 — Beira → Lusaka</v>
      </c>
    </row>
    <row r="14" spans="2:18" ht="48" customHeight="1" x14ac:dyDescent="0.25">
      <c r="B14" s="16" t="str">
        <f>IF(Claims[[#This Row],[Deal No.]]="","",Claims[[#This Row],[Deal No.]]&amp;"-DEM")</f>
        <v>190664-DEM</v>
      </c>
      <c r="C14" s="17">
        <v>46157</v>
      </c>
      <c r="D14" s="16">
        <v>190664</v>
      </c>
      <c r="E14" s="18" t="str">
        <f>IFERROR(VLOOKUP(D14,Deals[#All],2,FALSE),"")</f>
        <v>Rubis Energy Zambia</v>
      </c>
      <c r="F14" s="18" t="str">
        <f>IFERROR(VLOOKUP(E14,Consignees[],2,FALSE),"")</f>
        <v>PLOT NO. 1630, MALAMBO ROAD
LUSAKA, ZAMBIA
[VAT / TIN]</v>
      </c>
      <c r="G14" s="17">
        <f>IFERROR(_xlfn.MINIFS(Trips[Date Loaded],Trips[Claim No.],Claims[[#This Row],[Claim No.]]),"")</f>
        <v>46132</v>
      </c>
      <c r="H14" s="17">
        <f>IFERROR(_xlfn.MAXIFS(Trips[Offloaded],Trips[Claim No.],Claims[[#This Row],[Claim No.]]),"")</f>
        <v>46151</v>
      </c>
      <c r="I14" s="19">
        <f>COUNTIF(Trips[Claim No.],B14)</f>
        <v>29</v>
      </c>
      <c r="J14" s="121">
        <f>SUMIF(Trips[Claim No.],B14,Trips[Demurrage (USD)])</f>
        <v>24250</v>
      </c>
      <c r="K14" s="16" t="str">
        <f t="shared" si="0"/>
        <v>USD</v>
      </c>
      <c r="L14" s="16" t="s">
        <v>80</v>
      </c>
      <c r="M14" s="17">
        <f t="shared" si="1"/>
        <v>46171</v>
      </c>
      <c r="N14" s="17"/>
      <c r="O14" s="19" t="str">
        <f t="shared" ca="1" si="2"/>
        <v/>
      </c>
      <c r="P14" s="16" t="str">
        <f t="shared" si="3"/>
        <v/>
      </c>
      <c r="Q14" s="18" t="str">
        <f>"Demurrage on Deal "&amp;Claims[[#This Row],[Deal No.]]&amp;" — "&amp;IFERROR(VLOOKUP(Claims[[#This Row],[Deal No.]],Deals[#All],3,FALSE),"")</f>
        <v>Demurrage on Deal 190664 — Beira → Lusaka</v>
      </c>
    </row>
    <row r="15" spans="2:18" ht="48" customHeight="1" x14ac:dyDescent="0.25">
      <c r="B15" s="16" t="str">
        <f>IF(Claims[[#This Row],[Deal No.]]="","",Claims[[#This Row],[Deal No.]]&amp;"-DEM")</f>
        <v>191610-DEM</v>
      </c>
      <c r="C15" s="17">
        <v>46157</v>
      </c>
      <c r="D15" s="16">
        <v>191610</v>
      </c>
      <c r="E15" s="18" t="str">
        <f>IFERROR(VLOOKUP(D15,Deals[#All],2,FALSE),"")</f>
        <v>Rubis Energy Zambia</v>
      </c>
      <c r="F15" s="18" t="str">
        <f>IFERROR(VLOOKUP(E15,Consignees[],2,FALSE),"")</f>
        <v>PLOT NO. 1630, MALAMBO ROAD
LUSAKA, ZAMBIA
[VAT / TIN]</v>
      </c>
      <c r="G15" s="17">
        <f>IFERROR(_xlfn.MINIFS(Trips[Date Loaded],Trips[Claim No.],Claims[[#This Row],[Claim No.]]),"")</f>
        <v>46150</v>
      </c>
      <c r="H15" s="17">
        <f>IFERROR(_xlfn.MAXIFS(Trips[Offloaded],Trips[Claim No.],Claims[[#This Row],[Claim No.]]),"")</f>
        <v>0</v>
      </c>
      <c r="I15" s="19">
        <f>COUNTIF(Trips[Claim No.],B15)</f>
        <v>12</v>
      </c>
      <c r="J15" s="121">
        <f>SUMIF(Trips[Claim No.],B15,Trips[Demurrage (USD)])</f>
        <v>0</v>
      </c>
      <c r="K15" s="16" t="str">
        <f t="shared" si="0"/>
        <v>USD</v>
      </c>
      <c r="L15" s="16" t="s">
        <v>80</v>
      </c>
      <c r="M15" s="17">
        <f t="shared" si="1"/>
        <v>46171</v>
      </c>
      <c r="N15" s="17"/>
      <c r="O15" s="19" t="str">
        <f t="shared" ca="1" si="2"/>
        <v/>
      </c>
      <c r="P15" s="16" t="str">
        <f t="shared" si="3"/>
        <v/>
      </c>
      <c r="Q15" s="18" t="str">
        <f>"Demurrage on Deal "&amp;Claims[[#This Row],[Deal No.]]&amp;" — "&amp;IFERROR(VLOOKUP(Claims[[#This Row],[Deal No.]],Deals[#All],3,FALSE),"")</f>
        <v>Demurrage on Deal 191610 — Beira → Lusaka</v>
      </c>
    </row>
    <row r="16" spans="2:18" x14ac:dyDescent="0.25">
      <c r="B16" s="71" t="s">
        <v>481</v>
      </c>
      <c r="C16" s="71"/>
      <c r="D16" s="71"/>
      <c r="E16" s="71"/>
      <c r="F16" s="71"/>
      <c r="G16" s="71"/>
      <c r="H16" s="71"/>
      <c r="I16" s="71">
        <f>SUBTOTAL(109,Claims['# Trips])</f>
        <v>131</v>
      </c>
      <c r="J16" s="122">
        <f>SUBTOTAL(109,Claims[Amount (USD)])</f>
        <v>105750</v>
      </c>
      <c r="K16" s="71"/>
      <c r="L16" s="71"/>
      <c r="M16" s="71"/>
      <c r="N16" s="71"/>
      <c r="O16" s="71"/>
      <c r="P16" s="71"/>
      <c r="Q16" s="71"/>
      <c r="R16" s="71"/>
    </row>
    <row r="17" spans="10:10" x14ac:dyDescent="0.25">
      <c r="J17" s="123"/>
    </row>
    <row r="18" spans="10:10" x14ac:dyDescent="0.25">
      <c r="J18" s="123"/>
    </row>
    <row r="19" spans="10:10" x14ac:dyDescent="0.25">
      <c r="J19" s="123"/>
    </row>
    <row r="20" spans="10:10" x14ac:dyDescent="0.25">
      <c r="J20" s="123"/>
    </row>
    <row r="21" spans="10:10" x14ac:dyDescent="0.25">
      <c r="J21" s="123"/>
    </row>
    <row r="22" spans="10:10" x14ac:dyDescent="0.25">
      <c r="J22" s="123"/>
    </row>
    <row r="23" spans="10:10" x14ac:dyDescent="0.25">
      <c r="J23" s="123"/>
    </row>
    <row r="24" spans="10:10" x14ac:dyDescent="0.25">
      <c r="J24" s="123"/>
    </row>
    <row r="25" spans="10:10" x14ac:dyDescent="0.25">
      <c r="J25" s="123"/>
    </row>
    <row r="26" spans="10:10" x14ac:dyDescent="0.25">
      <c r="J26" s="123"/>
    </row>
    <row r="27" spans="10:10" x14ac:dyDescent="0.25">
      <c r="J27" s="123"/>
    </row>
    <row r="28" spans="10:10" x14ac:dyDescent="0.25">
      <c r="J28" s="123"/>
    </row>
    <row r="29" spans="10:10" x14ac:dyDescent="0.25">
      <c r="J29" s="123"/>
    </row>
    <row r="30" spans="10:10" x14ac:dyDescent="0.25">
      <c r="J30" s="123"/>
    </row>
    <row r="31" spans="10:10" x14ac:dyDescent="0.25">
      <c r="J31" s="123"/>
    </row>
    <row r="32" spans="10:10" x14ac:dyDescent="0.25">
      <c r="J32" s="123"/>
    </row>
    <row r="33" spans="10:10" x14ac:dyDescent="0.25">
      <c r="J33" s="123"/>
    </row>
    <row r="34" spans="10:10" x14ac:dyDescent="0.25">
      <c r="J34" s="123"/>
    </row>
    <row r="35" spans="10:10" x14ac:dyDescent="0.25">
      <c r="J35" s="123"/>
    </row>
    <row r="36" spans="10:10" x14ac:dyDescent="0.25">
      <c r="J36" s="123"/>
    </row>
    <row r="37" spans="10:10" x14ac:dyDescent="0.25">
      <c r="J37" s="123"/>
    </row>
    <row r="38" spans="10:10" x14ac:dyDescent="0.25">
      <c r="J38" s="123"/>
    </row>
    <row r="39" spans="10:10" x14ac:dyDescent="0.25">
      <c r="J39" s="123"/>
    </row>
    <row r="40" spans="10:10" x14ac:dyDescent="0.25">
      <c r="J40" s="123"/>
    </row>
    <row r="41" spans="10:10" x14ac:dyDescent="0.25">
      <c r="J41" s="123"/>
    </row>
    <row r="42" spans="10:10" x14ac:dyDescent="0.25">
      <c r="J42" s="123"/>
    </row>
    <row r="43" spans="10:10" x14ac:dyDescent="0.25">
      <c r="J43" s="123"/>
    </row>
    <row r="44" spans="10:10" x14ac:dyDescent="0.25">
      <c r="J44" s="123"/>
    </row>
    <row r="45" spans="10:10" x14ac:dyDescent="0.25">
      <c r="J45" s="123"/>
    </row>
    <row r="46" spans="10:10" x14ac:dyDescent="0.25">
      <c r="J46" s="123"/>
    </row>
    <row r="47" spans="10:10" x14ac:dyDescent="0.25">
      <c r="J47" s="123"/>
    </row>
    <row r="48" spans="10:10" x14ac:dyDescent="0.25">
      <c r="J48" s="123"/>
    </row>
    <row r="49" spans="10:10" x14ac:dyDescent="0.25">
      <c r="J49" s="123"/>
    </row>
    <row r="50" spans="10:10" x14ac:dyDescent="0.25">
      <c r="J50" s="123"/>
    </row>
    <row r="51" spans="10:10" x14ac:dyDescent="0.25">
      <c r="J51" s="123"/>
    </row>
    <row r="52" spans="10:10" x14ac:dyDescent="0.25">
      <c r="J52" s="123"/>
    </row>
    <row r="53" spans="10:10" x14ac:dyDescent="0.25">
      <c r="J53" s="123"/>
    </row>
    <row r="54" spans="10:10" x14ac:dyDescent="0.25">
      <c r="J54" s="123"/>
    </row>
    <row r="55" spans="10:10" x14ac:dyDescent="0.25">
      <c r="J55" s="123"/>
    </row>
    <row r="56" spans="10:10" x14ac:dyDescent="0.25">
      <c r="J56" s="123"/>
    </row>
    <row r="57" spans="10:10" x14ac:dyDescent="0.25">
      <c r="J57" s="123"/>
    </row>
    <row r="58" spans="10:10" x14ac:dyDescent="0.25">
      <c r="J58" s="123"/>
    </row>
    <row r="59" spans="10:10" x14ac:dyDescent="0.25">
      <c r="J59" s="123"/>
    </row>
    <row r="60" spans="10:10" x14ac:dyDescent="0.25">
      <c r="J60" s="123"/>
    </row>
    <row r="61" spans="10:10" x14ac:dyDescent="0.25">
      <c r="J61" s="123"/>
    </row>
    <row r="62" spans="10:10" x14ac:dyDescent="0.25">
      <c r="J62" s="123"/>
    </row>
    <row r="63" spans="10:10" x14ac:dyDescent="0.25">
      <c r="J63" s="123"/>
    </row>
    <row r="64" spans="10:10" x14ac:dyDescent="0.25">
      <c r="J64" s="123"/>
    </row>
    <row r="65" spans="10:10" x14ac:dyDescent="0.25">
      <c r="J65" s="123"/>
    </row>
    <row r="66" spans="10:10" x14ac:dyDescent="0.25">
      <c r="J66" s="123"/>
    </row>
    <row r="67" spans="10:10" x14ac:dyDescent="0.25">
      <c r="J67" s="123"/>
    </row>
    <row r="68" spans="10:10" x14ac:dyDescent="0.25">
      <c r="J68" s="123"/>
    </row>
    <row r="69" spans="10:10" x14ac:dyDescent="0.25">
      <c r="J69" s="123"/>
    </row>
    <row r="70" spans="10:10" x14ac:dyDescent="0.25">
      <c r="J70" s="123"/>
    </row>
    <row r="71" spans="10:10" x14ac:dyDescent="0.25">
      <c r="J71" s="123"/>
    </row>
    <row r="72" spans="10:10" x14ac:dyDescent="0.25">
      <c r="J72" s="123"/>
    </row>
    <row r="73" spans="10:10" x14ac:dyDescent="0.25">
      <c r="J73" s="123"/>
    </row>
    <row r="74" spans="10:10" x14ac:dyDescent="0.25">
      <c r="J74" s="123"/>
    </row>
    <row r="75" spans="10:10" x14ac:dyDescent="0.25">
      <c r="J75" s="123"/>
    </row>
    <row r="76" spans="10:10" x14ac:dyDescent="0.25">
      <c r="J76" s="123"/>
    </row>
    <row r="77" spans="10:10" x14ac:dyDescent="0.25">
      <c r="J77" s="123"/>
    </row>
    <row r="78" spans="10:10" x14ac:dyDescent="0.25">
      <c r="J78" s="123"/>
    </row>
    <row r="79" spans="10:10" x14ac:dyDescent="0.25">
      <c r="J79" s="123"/>
    </row>
    <row r="80" spans="10:10" x14ac:dyDescent="0.25">
      <c r="J80" s="123"/>
    </row>
    <row r="81" spans="10:10" x14ac:dyDescent="0.25">
      <c r="J81" s="123"/>
    </row>
    <row r="82" spans="10:10" x14ac:dyDescent="0.25">
      <c r="J82" s="123"/>
    </row>
    <row r="83" spans="10:10" x14ac:dyDescent="0.25">
      <c r="J83" s="123"/>
    </row>
    <row r="84" spans="10:10" x14ac:dyDescent="0.25">
      <c r="J84" s="123"/>
    </row>
    <row r="85" spans="10:10" x14ac:dyDescent="0.25">
      <c r="J85" s="123"/>
    </row>
    <row r="86" spans="10:10" x14ac:dyDescent="0.25">
      <c r="J86" s="123"/>
    </row>
    <row r="87" spans="10:10" x14ac:dyDescent="0.25">
      <c r="J87" s="123"/>
    </row>
    <row r="88" spans="10:10" x14ac:dyDescent="0.25">
      <c r="J88" s="123"/>
    </row>
    <row r="89" spans="10:10" x14ac:dyDescent="0.25">
      <c r="J89" s="123"/>
    </row>
    <row r="90" spans="10:10" x14ac:dyDescent="0.25">
      <c r="J90" s="123"/>
    </row>
    <row r="91" spans="10:10" x14ac:dyDescent="0.25">
      <c r="J91" s="123"/>
    </row>
    <row r="92" spans="10:10" x14ac:dyDescent="0.25">
      <c r="J92" s="123"/>
    </row>
    <row r="93" spans="10:10" x14ac:dyDescent="0.25">
      <c r="J93" s="123"/>
    </row>
    <row r="94" spans="10:10" x14ac:dyDescent="0.25">
      <c r="J94" s="123"/>
    </row>
    <row r="95" spans="10:10" x14ac:dyDescent="0.25">
      <c r="J95" s="123"/>
    </row>
    <row r="96" spans="10:10" x14ac:dyDescent="0.25">
      <c r="J96" s="123"/>
    </row>
    <row r="97" spans="10:10" x14ac:dyDescent="0.25">
      <c r="J97" s="123"/>
    </row>
    <row r="98" spans="10:10" x14ac:dyDescent="0.25">
      <c r="J98" s="123"/>
    </row>
    <row r="99" spans="10:10" x14ac:dyDescent="0.25">
      <c r="J99" s="123"/>
    </row>
    <row r="100" spans="10:10" x14ac:dyDescent="0.25">
      <c r="J100" s="123"/>
    </row>
    <row r="101" spans="10:10" x14ac:dyDescent="0.25">
      <c r="J101" s="123"/>
    </row>
    <row r="102" spans="10:10" x14ac:dyDescent="0.25">
      <c r="J102" s="123"/>
    </row>
    <row r="103" spans="10:10" x14ac:dyDescent="0.25">
      <c r="J103" s="123"/>
    </row>
    <row r="104" spans="10:10" x14ac:dyDescent="0.25">
      <c r="J104" s="123"/>
    </row>
    <row r="105" spans="10:10" x14ac:dyDescent="0.25">
      <c r="J105" s="123"/>
    </row>
    <row r="106" spans="10:10" x14ac:dyDescent="0.25">
      <c r="J106" s="123"/>
    </row>
    <row r="107" spans="10:10" x14ac:dyDescent="0.25">
      <c r="J107" s="123"/>
    </row>
    <row r="108" spans="10:10" x14ac:dyDescent="0.25">
      <c r="J108" s="123"/>
    </row>
    <row r="109" spans="10:10" x14ac:dyDescent="0.25">
      <c r="J109" s="123"/>
    </row>
    <row r="110" spans="10:10" x14ac:dyDescent="0.25">
      <c r="J110" s="123"/>
    </row>
    <row r="111" spans="10:10" x14ac:dyDescent="0.25">
      <c r="J111" s="123"/>
    </row>
    <row r="112" spans="10:10" x14ac:dyDescent="0.25">
      <c r="J112" s="123"/>
    </row>
    <row r="113" spans="10:10" x14ac:dyDescent="0.25">
      <c r="J113" s="123"/>
    </row>
    <row r="114" spans="10:10" x14ac:dyDescent="0.25">
      <c r="J114" s="123"/>
    </row>
    <row r="115" spans="10:10" x14ac:dyDescent="0.25">
      <c r="J115" s="123"/>
    </row>
    <row r="116" spans="10:10" x14ac:dyDescent="0.25">
      <c r="J116" s="123"/>
    </row>
    <row r="117" spans="10:10" x14ac:dyDescent="0.25">
      <c r="J117" s="123"/>
    </row>
    <row r="118" spans="10:10" x14ac:dyDescent="0.25">
      <c r="J118" s="123"/>
    </row>
    <row r="119" spans="10:10" x14ac:dyDescent="0.25">
      <c r="J119" s="123"/>
    </row>
    <row r="120" spans="10:10" x14ac:dyDescent="0.25">
      <c r="J120" s="123"/>
    </row>
    <row r="121" spans="10:10" x14ac:dyDescent="0.25">
      <c r="J121" s="123"/>
    </row>
    <row r="122" spans="10:10" x14ac:dyDescent="0.25">
      <c r="J122" s="123"/>
    </row>
    <row r="123" spans="10:10" x14ac:dyDescent="0.25">
      <c r="J123" s="123"/>
    </row>
    <row r="124" spans="10:10" x14ac:dyDescent="0.25">
      <c r="J124" s="123"/>
    </row>
    <row r="125" spans="10:10" x14ac:dyDescent="0.25">
      <c r="J125" s="123"/>
    </row>
    <row r="126" spans="10:10" x14ac:dyDescent="0.25">
      <c r="J126" s="123"/>
    </row>
    <row r="127" spans="10:10" x14ac:dyDescent="0.25">
      <c r="J127" s="123"/>
    </row>
    <row r="128" spans="10:10" x14ac:dyDescent="0.25">
      <c r="J128" s="123"/>
    </row>
    <row r="129" spans="10:10" x14ac:dyDescent="0.25">
      <c r="J129" s="123"/>
    </row>
    <row r="130" spans="10:10" x14ac:dyDescent="0.25">
      <c r="J130" s="123"/>
    </row>
    <row r="131" spans="10:10" x14ac:dyDescent="0.25">
      <c r="J131" s="123"/>
    </row>
    <row r="132" spans="10:10" x14ac:dyDescent="0.25">
      <c r="J132" s="123"/>
    </row>
    <row r="133" spans="10:10" x14ac:dyDescent="0.25">
      <c r="J133" s="123"/>
    </row>
    <row r="134" spans="10:10" x14ac:dyDescent="0.25">
      <c r="J134" s="123"/>
    </row>
    <row r="135" spans="10:10" x14ac:dyDescent="0.25">
      <c r="J135" s="123"/>
    </row>
    <row r="136" spans="10:10" x14ac:dyDescent="0.25">
      <c r="J136" s="123"/>
    </row>
    <row r="137" spans="10:10" x14ac:dyDescent="0.25">
      <c r="J137" s="123"/>
    </row>
    <row r="138" spans="10:10" x14ac:dyDescent="0.25">
      <c r="J138" s="123"/>
    </row>
    <row r="139" spans="10:10" x14ac:dyDescent="0.25">
      <c r="J139" s="123"/>
    </row>
    <row r="140" spans="10:10" x14ac:dyDescent="0.25">
      <c r="J140" s="123"/>
    </row>
    <row r="141" spans="10:10" x14ac:dyDescent="0.25">
      <c r="J141" s="123"/>
    </row>
    <row r="142" spans="10:10" x14ac:dyDescent="0.25">
      <c r="J142" s="123"/>
    </row>
    <row r="143" spans="10:10" x14ac:dyDescent="0.25">
      <c r="J143" s="123"/>
    </row>
    <row r="144" spans="10:10" x14ac:dyDescent="0.25">
      <c r="J144" s="123"/>
    </row>
    <row r="145" spans="10:10" x14ac:dyDescent="0.25">
      <c r="J145" s="123"/>
    </row>
    <row r="146" spans="10:10" x14ac:dyDescent="0.25">
      <c r="J146" s="123"/>
    </row>
    <row r="147" spans="10:10" x14ac:dyDescent="0.25">
      <c r="J147" s="123"/>
    </row>
    <row r="148" spans="10:10" x14ac:dyDescent="0.25">
      <c r="J148" s="123"/>
    </row>
    <row r="149" spans="10:10" x14ac:dyDescent="0.25">
      <c r="J149" s="123"/>
    </row>
    <row r="150" spans="10:10" x14ac:dyDescent="0.25">
      <c r="J150" s="123"/>
    </row>
    <row r="151" spans="10:10" x14ac:dyDescent="0.25">
      <c r="J151" s="123"/>
    </row>
    <row r="152" spans="10:10" x14ac:dyDescent="0.25">
      <c r="J152" s="123"/>
    </row>
    <row r="153" spans="10:10" x14ac:dyDescent="0.25">
      <c r="J153" s="123"/>
    </row>
    <row r="154" spans="10:10" x14ac:dyDescent="0.25">
      <c r="J154" s="123"/>
    </row>
    <row r="155" spans="10:10" x14ac:dyDescent="0.25">
      <c r="J155" s="123"/>
    </row>
    <row r="156" spans="10:10" x14ac:dyDescent="0.25">
      <c r="J156" s="123"/>
    </row>
    <row r="157" spans="10:10" x14ac:dyDescent="0.25">
      <c r="J157" s="123"/>
    </row>
    <row r="158" spans="10:10" x14ac:dyDescent="0.25">
      <c r="J158" s="123"/>
    </row>
    <row r="159" spans="10:10" x14ac:dyDescent="0.25">
      <c r="J159" s="123"/>
    </row>
    <row r="160" spans="10:10" x14ac:dyDescent="0.25">
      <c r="J160" s="123"/>
    </row>
    <row r="161" spans="10:10" x14ac:dyDescent="0.25">
      <c r="J161" s="123"/>
    </row>
    <row r="162" spans="10:10" x14ac:dyDescent="0.25">
      <c r="J162" s="123"/>
    </row>
    <row r="163" spans="10:10" x14ac:dyDescent="0.25">
      <c r="J163" s="123"/>
    </row>
    <row r="164" spans="10:10" x14ac:dyDescent="0.25">
      <c r="J164" s="123"/>
    </row>
    <row r="165" spans="10:10" x14ac:dyDescent="0.25">
      <c r="J165" s="123"/>
    </row>
    <row r="166" spans="10:10" x14ac:dyDescent="0.25">
      <c r="J166" s="123"/>
    </row>
    <row r="167" spans="10:10" x14ac:dyDescent="0.25">
      <c r="J167" s="123"/>
    </row>
    <row r="168" spans="10:10" x14ac:dyDescent="0.25">
      <c r="J168" s="123"/>
    </row>
    <row r="169" spans="10:10" x14ac:dyDescent="0.25">
      <c r="J169" s="123"/>
    </row>
    <row r="170" spans="10:10" x14ac:dyDescent="0.25">
      <c r="J170" s="123"/>
    </row>
    <row r="171" spans="10:10" x14ac:dyDescent="0.25">
      <c r="J171" s="123"/>
    </row>
    <row r="172" spans="10:10" x14ac:dyDescent="0.25">
      <c r="J172" s="123"/>
    </row>
    <row r="173" spans="10:10" x14ac:dyDescent="0.25">
      <c r="J173" s="123"/>
    </row>
    <row r="174" spans="10:10" x14ac:dyDescent="0.25">
      <c r="J174" s="123"/>
    </row>
    <row r="175" spans="10:10" x14ac:dyDescent="0.25">
      <c r="J175" s="123"/>
    </row>
    <row r="176" spans="10:10" x14ac:dyDescent="0.25">
      <c r="J176" s="123"/>
    </row>
    <row r="177" spans="10:10" x14ac:dyDescent="0.25">
      <c r="J177" s="123"/>
    </row>
    <row r="178" spans="10:10" x14ac:dyDescent="0.25">
      <c r="J178" s="123"/>
    </row>
    <row r="179" spans="10:10" x14ac:dyDescent="0.25">
      <c r="J179" s="123"/>
    </row>
    <row r="180" spans="10:10" x14ac:dyDescent="0.25">
      <c r="J180" s="123"/>
    </row>
    <row r="181" spans="10:10" x14ac:dyDescent="0.25">
      <c r="J181" s="123"/>
    </row>
    <row r="182" spans="10:10" x14ac:dyDescent="0.25">
      <c r="J182" s="123"/>
    </row>
    <row r="183" spans="10:10" x14ac:dyDescent="0.25">
      <c r="J183" s="123"/>
    </row>
    <row r="184" spans="10:10" x14ac:dyDescent="0.25">
      <c r="J184" s="123"/>
    </row>
    <row r="185" spans="10:10" x14ac:dyDescent="0.25">
      <c r="J185" s="123"/>
    </row>
    <row r="186" spans="10:10" x14ac:dyDescent="0.25">
      <c r="J186" s="123"/>
    </row>
    <row r="187" spans="10:10" x14ac:dyDescent="0.25">
      <c r="J187" s="123"/>
    </row>
    <row r="188" spans="10:10" x14ac:dyDescent="0.25">
      <c r="J188" s="123"/>
    </row>
    <row r="189" spans="10:10" x14ac:dyDescent="0.25">
      <c r="J189" s="123"/>
    </row>
    <row r="190" spans="10:10" x14ac:dyDescent="0.25">
      <c r="J190" s="123"/>
    </row>
    <row r="191" spans="10:10" x14ac:dyDescent="0.25">
      <c r="J191" s="123"/>
    </row>
    <row r="192" spans="10:10" x14ac:dyDescent="0.25">
      <c r="J192" s="123"/>
    </row>
    <row r="193" spans="10:10" x14ac:dyDescent="0.25">
      <c r="J193" s="123"/>
    </row>
    <row r="194" spans="10:10" x14ac:dyDescent="0.25">
      <c r="J194" s="123"/>
    </row>
    <row r="195" spans="10:10" x14ac:dyDescent="0.25">
      <c r="J195" s="123"/>
    </row>
    <row r="196" spans="10:10" x14ac:dyDescent="0.25">
      <c r="J196" s="123"/>
    </row>
    <row r="197" spans="10:10" x14ac:dyDescent="0.25">
      <c r="J197" s="123"/>
    </row>
    <row r="198" spans="10:10" x14ac:dyDescent="0.25">
      <c r="J198" s="123"/>
    </row>
    <row r="199" spans="10:10" x14ac:dyDescent="0.25">
      <c r="J199" s="123"/>
    </row>
    <row r="200" spans="10:10" x14ac:dyDescent="0.25">
      <c r="J200" s="123"/>
    </row>
  </sheetData>
  <mergeCells count="1">
    <mergeCell ref="B3:Q3"/>
  </mergeCells>
  <conditionalFormatting sqref="L7:L17 L19:L200">
    <cfRule type="cellIs" dxfId="28" priority="10" operator="equal">
      <formula>"Draft"</formula>
    </cfRule>
  </conditionalFormatting>
  <conditionalFormatting sqref="L7:L17 L19:L200">
    <cfRule type="cellIs" dxfId="27" priority="11" operator="equal">
      <formula>"Sent"</formula>
    </cfRule>
  </conditionalFormatting>
  <conditionalFormatting sqref="L7:L17 L19:L200">
    <cfRule type="cellIs" dxfId="26" priority="12" operator="equal">
      <formula>"Paid"</formula>
    </cfRule>
  </conditionalFormatting>
  <conditionalFormatting sqref="L7:L17 L19:L200">
    <cfRule type="cellIs" dxfId="25" priority="13" operator="equal">
      <formula>"Partial"</formula>
    </cfRule>
  </conditionalFormatting>
  <conditionalFormatting sqref="L7:L17 L19:L200">
    <cfRule type="cellIs" dxfId="24" priority="14" operator="equal">
      <formula>"Cancelled"</formula>
    </cfRule>
  </conditionalFormatting>
  <conditionalFormatting sqref="P7:P17 P19:P200">
    <cfRule type="cellIs" dxfId="23" priority="15" operator="equal">
      <formula>"Current"</formula>
    </cfRule>
  </conditionalFormatting>
  <conditionalFormatting sqref="P7:P17 P19:P200">
    <cfRule type="cellIs" dxfId="22" priority="16" operator="equal">
      <formula>"1–30"</formula>
    </cfRule>
  </conditionalFormatting>
  <conditionalFormatting sqref="P7:P17 P19:P200">
    <cfRule type="cellIs" dxfId="21" priority="17" operator="equal">
      <formula>"31–60"</formula>
    </cfRule>
  </conditionalFormatting>
  <conditionalFormatting sqref="P7:P17 P19:P200">
    <cfRule type="cellIs" dxfId="20" priority="18" operator="equal">
      <formula>"61–90"</formula>
    </cfRule>
  </conditionalFormatting>
  <conditionalFormatting sqref="P7:P17 P19:P200">
    <cfRule type="cellIs" dxfId="19" priority="19" operator="equal">
      <formula>"90+"</formula>
    </cfRule>
  </conditionalFormatting>
  <dataValidations count="4">
    <dataValidation type="list" sqref="L201:L507" xr:uid="{00000000-0002-0000-0300-000000000000}">
      <formula1>"Draft,Sent,Paid,Cancelled"</formula1>
    </dataValidation>
    <dataValidation type="list" errorStyle="warning" allowBlank="1" showErrorMessage="1" errorTitle="Check entry" error="Deal No. not in Deals master." sqref="D7:D17 D19:D200" xr:uid="{42FB218B-DA28-4A45-B5FD-75A69680A665}">
      <formula1>LIST_DealNo</formula1>
    </dataValidation>
    <dataValidation type="list" errorStyle="warning" allowBlank="1" showErrorMessage="1" errorTitle="Check entry" error="Consignee not in Deals master." sqref="E7:E17 E19:E200" xr:uid="{00120516-F2C4-4FDD-AB94-8D229ED3500B}">
      <formula1>LIST_Consignee</formula1>
    </dataValidation>
    <dataValidation type="list" errorStyle="warning" allowBlank="1" showErrorMessage="1" errorTitle="Check entry" error="Status must be one of: Draft, Sent, Paid, Partial, Cancelled." sqref="L7:L17 L19:L200" xr:uid="{0E121FB6-AF1E-43A7-A432-13E2A8F821A9}">
      <formula1>LIST_Status</formula1>
    </dataValidation>
  </dataValidations>
  <hyperlinks>
    <hyperlink ref="B2" location="Cover!A1" tooltip="Go to 📋 Cover" display="📋 Cover" xr:uid="{DED456DD-5BC3-4CA5-90D0-F811C0A8E6A4}"/>
    <hyperlink ref="C2" location="Dashboard!A1" tooltip="Go to 📊 Dashboard" display="📊 Dashboard" xr:uid="{E3A01A23-F6CE-4770-81E1-46B90227B60E}"/>
    <hyperlink ref="D2" location="'Trips Ledger'!A1" tooltip="Go to 🚚 Trips" display="🚚 Trips" xr:uid="{68377FCD-4802-4A91-B58E-717A1A33EB22}"/>
    <hyperlink ref="E2" location="Claims!A1" tooltip="Go to 🧾 Claims" display="🧾 Claims" xr:uid="{F18B4AA6-6337-43B5-9182-AD128A5C2F02}"/>
    <hyperlink ref="F2" location="Deals!A1" tooltip="Go to 📑 Deals" display="📑 Deals" xr:uid="{03BC9ED7-41D1-47BC-9E94-6AF43D073A79}"/>
    <hyperlink ref="G2" location="Invoice!A1" tooltip="Go to 💰 Invoice" display="💰 Invoice" xr:uid="{432AE5B2-2ACD-4D79-BD0A-143B4BDF0EF6}"/>
    <hyperlink ref="H2" location="Annex!A1" tooltip="Go to 📎 Annex" display="📎 Annex" xr:uid="{20C70905-A579-4BA7-ACB2-88A05E377140}"/>
  </hyperlinks>
  <pageMargins left="0.75" right="0.75" top="1" bottom="1" header="0.5" footer="0.5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1F3D8E"/>
    <pageSetUpPr fitToPage="1"/>
  </sheetPr>
  <dimension ref="B2:V500"/>
  <sheetViews>
    <sheetView showGridLines="0" workbookViewId="0">
      <pane xSplit="4" ySplit="6" topLeftCell="F100" activePane="bottomRight" state="frozen"/>
      <selection pane="topRight"/>
      <selection pane="bottomLeft"/>
      <selection pane="bottomRight"/>
    </sheetView>
  </sheetViews>
  <sheetFormatPr defaultRowHeight="15" x14ac:dyDescent="0.25"/>
  <cols>
    <col min="1" max="1" width="2.28515625" customWidth="1"/>
    <col min="2" max="2" width="10" customWidth="1"/>
    <col min="3" max="3" width="16" customWidth="1"/>
    <col min="4" max="4" width="22" customWidth="1"/>
    <col min="5" max="5" width="13" customWidth="1"/>
    <col min="6" max="7" width="12" customWidth="1"/>
    <col min="8" max="8" width="9" customWidth="1"/>
    <col min="9" max="11" width="13" customWidth="1"/>
    <col min="12" max="12" width="20" customWidth="1"/>
    <col min="13" max="14" width="13" customWidth="1"/>
    <col min="15" max="17" width="10" customWidth="1"/>
    <col min="18" max="18" width="11" customWidth="1"/>
    <col min="19" max="19" width="14" customWidth="1"/>
    <col min="20" max="20" width="13" customWidth="1"/>
    <col min="21" max="21" width="16" customWidth="1"/>
    <col min="22" max="22" width="10" customWidth="1"/>
  </cols>
  <sheetData>
    <row r="2" spans="2:22" ht="21.95" customHeight="1" x14ac:dyDescent="0.25">
      <c r="B2" s="125" t="s">
        <v>482</v>
      </c>
      <c r="C2" s="125" t="s">
        <v>483</v>
      </c>
      <c r="D2" s="124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22" x14ac:dyDescent="0.25">
      <c r="B3" s="135" t="s">
        <v>522</v>
      </c>
      <c r="C3" s="136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</row>
    <row r="4" spans="2:22" x14ac:dyDescent="0.25">
      <c r="B4" s="137" t="s">
        <v>523</v>
      </c>
      <c r="C4" s="138" t="str" cm="1">
        <f t="array" aca="1" ref="C4" ca="1">IFERROR(IF(SUBTOTAL(103,Trips[Deal No.])=0,"(no filter)",IF(SUBTOTAL(103,Trips[Deal No.])=COUNTIF(Trips[Deal No.],INDEX(Trips[Deal No.],MATCH(1,SUBTOTAL(103,OFFSET(Trips[[#Headers],[Deal No.]],ROW(Trips[Deal No.])-ROW(Trips[[#Headers],[Deal No.]]),0)),0))),INDEX(Trips[Deal No.],MATCH(1,SUBTOTAL(103,OFFSET(Trips[[#Headers],[Deal No.]],ROW(Trips[Deal No.])-ROW(Trips[[#Headers],[Deal No.]]),0)),0)),"(mixed)")),"")</f>
        <v>(mixed)</v>
      </c>
      <c r="D4" s="137" t="s">
        <v>524</v>
      </c>
      <c r="E4" s="139">
        <f>SUBTOTAL(103,Trips[Deal No.])</f>
        <v>131</v>
      </c>
      <c r="F4" s="137" t="s">
        <v>70</v>
      </c>
      <c r="G4" s="140">
        <f>IFERROR(SUBTOTAL(105,Trips[Date Loaded]),"")</f>
        <v>45992</v>
      </c>
      <c r="H4" s="137" t="s">
        <v>71</v>
      </c>
      <c r="I4" s="140">
        <f>IFERROR(SUBTOTAL(104,Trips[Offloaded]),"")</f>
        <v>46151</v>
      </c>
      <c r="J4" s="137" t="s">
        <v>90</v>
      </c>
      <c r="K4" s="141">
        <f>SUBTOTAL(109,Trips[Demurrage (USD)])</f>
        <v>105750</v>
      </c>
      <c r="L4" s="151" t="s">
        <v>546</v>
      </c>
      <c r="M4" s="5"/>
      <c r="N4" s="5"/>
      <c r="O4" s="5"/>
      <c r="P4" s="5"/>
      <c r="Q4" s="5"/>
      <c r="R4" s="5"/>
      <c r="S4" s="5"/>
      <c r="T4" s="5"/>
      <c r="U4" s="5"/>
      <c r="V4" s="5"/>
    </row>
    <row r="6" spans="2:22" ht="36" customHeight="1" x14ac:dyDescent="0.25">
      <c r="B6" s="15" t="s">
        <v>28</v>
      </c>
      <c r="C6" s="15" t="s">
        <v>67</v>
      </c>
      <c r="D6" s="15" t="s">
        <v>24</v>
      </c>
      <c r="E6" s="15" t="s">
        <v>59</v>
      </c>
      <c r="F6" s="15" t="s">
        <v>81</v>
      </c>
      <c r="G6" s="15" t="s">
        <v>82</v>
      </c>
      <c r="H6" s="15" t="s">
        <v>83</v>
      </c>
      <c r="I6" s="15" t="s">
        <v>60</v>
      </c>
      <c r="J6" s="15" t="s">
        <v>84</v>
      </c>
      <c r="K6" s="15" t="s">
        <v>37</v>
      </c>
      <c r="L6" s="15" t="s">
        <v>85</v>
      </c>
      <c r="M6" s="15" t="s">
        <v>61</v>
      </c>
      <c r="N6" s="15" t="s">
        <v>62</v>
      </c>
      <c r="O6" s="15" t="s">
        <v>86</v>
      </c>
      <c r="P6" s="15" t="s">
        <v>87</v>
      </c>
      <c r="Q6" s="15" t="s">
        <v>88</v>
      </c>
      <c r="R6" s="15" t="s">
        <v>89</v>
      </c>
      <c r="S6" s="15" t="s">
        <v>90</v>
      </c>
      <c r="T6" s="15" t="s">
        <v>74</v>
      </c>
      <c r="U6" s="15" t="s">
        <v>91</v>
      </c>
      <c r="V6" s="15" t="s">
        <v>48</v>
      </c>
    </row>
    <row r="7" spans="2:22" x14ac:dyDescent="0.25">
      <c r="B7" s="16">
        <v>184752</v>
      </c>
      <c r="C7" s="16" t="s">
        <v>492</v>
      </c>
      <c r="D7" s="20" t="s">
        <v>34</v>
      </c>
      <c r="E7" s="17">
        <v>46006</v>
      </c>
      <c r="F7" s="20" t="s">
        <v>92</v>
      </c>
      <c r="G7" s="20" t="s">
        <v>93</v>
      </c>
      <c r="H7" s="20" t="s">
        <v>94</v>
      </c>
      <c r="I7" s="20" t="s">
        <v>95</v>
      </c>
      <c r="J7" s="20" t="s">
        <v>96</v>
      </c>
      <c r="K7" s="20" t="s">
        <v>46</v>
      </c>
      <c r="L7" s="20" t="s">
        <v>97</v>
      </c>
      <c r="M7" s="17">
        <v>46011</v>
      </c>
      <c r="N7" s="17">
        <v>46015</v>
      </c>
      <c r="O7" s="19">
        <f t="shared" ref="O7:O38" si="0">IF(OR(M7="",N7=""),"",N7-M7)</f>
        <v>4</v>
      </c>
      <c r="P7" s="19">
        <f>IFERROR(VLOOKUP(B7,Deals[#All],7,FALSE),DEF_LAYTIME)</f>
        <v>2</v>
      </c>
      <c r="Q7" s="19">
        <f t="shared" ref="Q7:Q38" si="1">IF(O7="","",MAX(0,O7-P7))</f>
        <v>2</v>
      </c>
      <c r="R7" s="121">
        <f>IFERROR(VLOOKUP(B7,Deals[#All],8,FALSE),DEF_RATE)</f>
        <v>250</v>
      </c>
      <c r="S7" s="121">
        <f t="shared" ref="S7:S38" si="2">IF(Q7="","",Q7*R7)</f>
        <v>500</v>
      </c>
      <c r="T7" s="16" t="str">
        <f t="shared" ref="T7:T38" si="3">IF(O7="","PENDING",IF(Q7&gt;0,"DEMURRAGE","ON-TIME"))</f>
        <v>DEMURRAGE</v>
      </c>
      <c r="U7" s="16" t="str">
        <f t="shared" ref="U7:U38" si="4">IF(AND(E7&lt;&gt;"",M7&lt;&gt;"",M7&lt;E7),"⚠ Arr&lt;Loaded",IF(AND(M7&lt;&gt;"",N7&lt;&gt;"",N7&lt;M7),"⚠ Off&lt;Arr","OK"))</f>
        <v>OK</v>
      </c>
      <c r="V7" s="16" t="str">
        <f t="shared" ref="V7:V38" si="5">IF(E7="","",TEXT(E7,"yyyy-mm"))</f>
        <v>2025-12</v>
      </c>
    </row>
    <row r="8" spans="2:22" x14ac:dyDescent="0.25">
      <c r="B8" s="16">
        <v>184752</v>
      </c>
      <c r="C8" s="16" t="s">
        <v>492</v>
      </c>
      <c r="D8" s="20" t="s">
        <v>34</v>
      </c>
      <c r="E8" s="17">
        <v>46006</v>
      </c>
      <c r="F8" s="20" t="s">
        <v>92</v>
      </c>
      <c r="G8" s="20" t="s">
        <v>93</v>
      </c>
      <c r="H8" s="20" t="s">
        <v>94</v>
      </c>
      <c r="I8" s="20" t="s">
        <v>98</v>
      </c>
      <c r="J8" s="20" t="s">
        <v>99</v>
      </c>
      <c r="K8" s="20" t="s">
        <v>46</v>
      </c>
      <c r="L8" s="20" t="s">
        <v>100</v>
      </c>
      <c r="M8" s="17">
        <v>46011</v>
      </c>
      <c r="N8" s="17">
        <v>46015</v>
      </c>
      <c r="O8" s="19">
        <f t="shared" si="0"/>
        <v>4</v>
      </c>
      <c r="P8" s="19">
        <f>IFERROR(VLOOKUP(B8,Deals[#All],7,FALSE),DEF_LAYTIME)</f>
        <v>2</v>
      </c>
      <c r="Q8" s="19">
        <f t="shared" si="1"/>
        <v>2</v>
      </c>
      <c r="R8" s="121">
        <f>IFERROR(VLOOKUP(B8,Deals[#All],8,FALSE),DEF_RATE)</f>
        <v>250</v>
      </c>
      <c r="S8" s="121">
        <f t="shared" si="2"/>
        <v>500</v>
      </c>
      <c r="T8" s="16" t="str">
        <f t="shared" si="3"/>
        <v>DEMURRAGE</v>
      </c>
      <c r="U8" s="16" t="str">
        <f t="shared" si="4"/>
        <v>OK</v>
      </c>
      <c r="V8" s="16" t="str">
        <f t="shared" si="5"/>
        <v>2025-12</v>
      </c>
    </row>
    <row r="9" spans="2:22" x14ac:dyDescent="0.25">
      <c r="B9" s="16">
        <v>184752</v>
      </c>
      <c r="C9" s="16" t="s">
        <v>492</v>
      </c>
      <c r="D9" s="20" t="s">
        <v>34</v>
      </c>
      <c r="E9" s="17">
        <v>46006</v>
      </c>
      <c r="F9" s="20" t="s">
        <v>92</v>
      </c>
      <c r="G9" s="20" t="s">
        <v>93</v>
      </c>
      <c r="H9" s="20" t="s">
        <v>94</v>
      </c>
      <c r="I9" s="20" t="s">
        <v>101</v>
      </c>
      <c r="J9" s="20" t="s">
        <v>102</v>
      </c>
      <c r="K9" s="20" t="s">
        <v>46</v>
      </c>
      <c r="L9" s="20" t="s">
        <v>103</v>
      </c>
      <c r="M9" s="17">
        <v>46011</v>
      </c>
      <c r="N9" s="17">
        <v>46015</v>
      </c>
      <c r="O9" s="19">
        <f t="shared" si="0"/>
        <v>4</v>
      </c>
      <c r="P9" s="19">
        <f>IFERROR(VLOOKUP(B9,Deals[#All],7,FALSE),DEF_LAYTIME)</f>
        <v>2</v>
      </c>
      <c r="Q9" s="19">
        <f t="shared" si="1"/>
        <v>2</v>
      </c>
      <c r="R9" s="121">
        <f>IFERROR(VLOOKUP(B9,Deals[#All],8,FALSE),DEF_RATE)</f>
        <v>250</v>
      </c>
      <c r="S9" s="121">
        <f t="shared" si="2"/>
        <v>500</v>
      </c>
      <c r="T9" s="16" t="str">
        <f t="shared" si="3"/>
        <v>DEMURRAGE</v>
      </c>
      <c r="U9" s="16" t="str">
        <f t="shared" si="4"/>
        <v>OK</v>
      </c>
      <c r="V9" s="16" t="str">
        <f t="shared" si="5"/>
        <v>2025-12</v>
      </c>
    </row>
    <row r="10" spans="2:22" x14ac:dyDescent="0.25">
      <c r="B10" s="16">
        <v>184752</v>
      </c>
      <c r="C10" s="16" t="s">
        <v>492</v>
      </c>
      <c r="D10" s="20" t="s">
        <v>34</v>
      </c>
      <c r="E10" s="17">
        <v>46006</v>
      </c>
      <c r="F10" s="20" t="s">
        <v>92</v>
      </c>
      <c r="G10" s="20" t="s">
        <v>93</v>
      </c>
      <c r="H10" s="20" t="s">
        <v>94</v>
      </c>
      <c r="I10" s="20" t="s">
        <v>104</v>
      </c>
      <c r="J10" s="20" t="s">
        <v>105</v>
      </c>
      <c r="K10" s="20" t="s">
        <v>46</v>
      </c>
      <c r="L10" s="20" t="s">
        <v>106</v>
      </c>
      <c r="M10" s="17">
        <v>46011</v>
      </c>
      <c r="N10" s="17">
        <v>46015</v>
      </c>
      <c r="O10" s="19">
        <f t="shared" si="0"/>
        <v>4</v>
      </c>
      <c r="P10" s="19">
        <f>IFERROR(VLOOKUP(B10,Deals[#All],7,FALSE),DEF_LAYTIME)</f>
        <v>2</v>
      </c>
      <c r="Q10" s="19">
        <f t="shared" si="1"/>
        <v>2</v>
      </c>
      <c r="R10" s="121">
        <f>IFERROR(VLOOKUP(B10,Deals[#All],8,FALSE),DEF_RATE)</f>
        <v>250</v>
      </c>
      <c r="S10" s="121">
        <f t="shared" si="2"/>
        <v>500</v>
      </c>
      <c r="T10" s="16" t="str">
        <f t="shared" si="3"/>
        <v>DEMURRAGE</v>
      </c>
      <c r="U10" s="16" t="str">
        <f t="shared" si="4"/>
        <v>OK</v>
      </c>
      <c r="V10" s="16" t="str">
        <f t="shared" si="5"/>
        <v>2025-12</v>
      </c>
    </row>
    <row r="11" spans="2:22" x14ac:dyDescent="0.25">
      <c r="B11" s="16">
        <v>184752</v>
      </c>
      <c r="C11" s="16" t="s">
        <v>492</v>
      </c>
      <c r="D11" s="20" t="s">
        <v>34</v>
      </c>
      <c r="E11" s="17">
        <v>46006</v>
      </c>
      <c r="F11" s="20" t="s">
        <v>92</v>
      </c>
      <c r="G11" s="20" t="s">
        <v>93</v>
      </c>
      <c r="H11" s="20" t="s">
        <v>94</v>
      </c>
      <c r="I11" s="20" t="s">
        <v>107</v>
      </c>
      <c r="J11" s="20" t="s">
        <v>108</v>
      </c>
      <c r="K11" s="20" t="s">
        <v>46</v>
      </c>
      <c r="L11" s="20" t="s">
        <v>109</v>
      </c>
      <c r="M11" s="17">
        <v>46011</v>
      </c>
      <c r="N11" s="17">
        <v>46015</v>
      </c>
      <c r="O11" s="19">
        <f t="shared" si="0"/>
        <v>4</v>
      </c>
      <c r="P11" s="19">
        <f>IFERROR(VLOOKUP(B11,Deals[#All],7,FALSE),DEF_LAYTIME)</f>
        <v>2</v>
      </c>
      <c r="Q11" s="19">
        <f t="shared" si="1"/>
        <v>2</v>
      </c>
      <c r="R11" s="121">
        <f>IFERROR(VLOOKUP(B11,Deals[#All],8,FALSE),DEF_RATE)</f>
        <v>250</v>
      </c>
      <c r="S11" s="121">
        <f t="shared" si="2"/>
        <v>500</v>
      </c>
      <c r="T11" s="16" t="str">
        <f t="shared" si="3"/>
        <v>DEMURRAGE</v>
      </c>
      <c r="U11" s="16" t="str">
        <f t="shared" si="4"/>
        <v>OK</v>
      </c>
      <c r="V11" s="16" t="str">
        <f t="shared" si="5"/>
        <v>2025-12</v>
      </c>
    </row>
    <row r="12" spans="2:22" x14ac:dyDescent="0.25">
      <c r="B12" s="16">
        <v>184752</v>
      </c>
      <c r="C12" s="16" t="s">
        <v>492</v>
      </c>
      <c r="D12" s="20" t="s">
        <v>34</v>
      </c>
      <c r="E12" s="17">
        <v>46006</v>
      </c>
      <c r="F12" s="20" t="s">
        <v>92</v>
      </c>
      <c r="G12" s="20" t="s">
        <v>93</v>
      </c>
      <c r="H12" s="20" t="s">
        <v>94</v>
      </c>
      <c r="I12" s="20" t="s">
        <v>110</v>
      </c>
      <c r="J12" s="20" t="s">
        <v>111</v>
      </c>
      <c r="K12" s="20" t="s">
        <v>46</v>
      </c>
      <c r="L12" s="20" t="s">
        <v>112</v>
      </c>
      <c r="M12" s="17">
        <v>46011</v>
      </c>
      <c r="N12" s="17">
        <v>46015</v>
      </c>
      <c r="O12" s="19">
        <f t="shared" si="0"/>
        <v>4</v>
      </c>
      <c r="P12" s="19">
        <f>IFERROR(VLOOKUP(B12,Deals[#All],7,FALSE),DEF_LAYTIME)</f>
        <v>2</v>
      </c>
      <c r="Q12" s="19">
        <f t="shared" si="1"/>
        <v>2</v>
      </c>
      <c r="R12" s="121">
        <f>IFERROR(VLOOKUP(B12,Deals[#All],8,FALSE),DEF_RATE)</f>
        <v>250</v>
      </c>
      <c r="S12" s="121">
        <f t="shared" si="2"/>
        <v>500</v>
      </c>
      <c r="T12" s="16" t="str">
        <f t="shared" si="3"/>
        <v>DEMURRAGE</v>
      </c>
      <c r="U12" s="16" t="str">
        <f t="shared" si="4"/>
        <v>OK</v>
      </c>
      <c r="V12" s="16" t="str">
        <f t="shared" si="5"/>
        <v>2025-12</v>
      </c>
    </row>
    <row r="13" spans="2:22" x14ac:dyDescent="0.25">
      <c r="B13" s="16">
        <v>184752</v>
      </c>
      <c r="C13" s="16" t="s">
        <v>492</v>
      </c>
      <c r="D13" s="20" t="s">
        <v>34</v>
      </c>
      <c r="E13" s="17">
        <v>46021</v>
      </c>
      <c r="F13" s="20" t="s">
        <v>92</v>
      </c>
      <c r="G13" s="20" t="s">
        <v>93</v>
      </c>
      <c r="H13" s="20" t="s">
        <v>94</v>
      </c>
      <c r="I13" s="20" t="s">
        <v>101</v>
      </c>
      <c r="J13" s="20" t="s">
        <v>102</v>
      </c>
      <c r="K13" s="20" t="s">
        <v>46</v>
      </c>
      <c r="L13" s="20" t="s">
        <v>103</v>
      </c>
      <c r="M13" s="17">
        <v>46030</v>
      </c>
      <c r="N13" s="17">
        <v>46035</v>
      </c>
      <c r="O13" s="19">
        <f t="shared" si="0"/>
        <v>5</v>
      </c>
      <c r="P13" s="19">
        <f>IFERROR(VLOOKUP(B13,Deals[#All],7,FALSE),DEF_LAYTIME)</f>
        <v>2</v>
      </c>
      <c r="Q13" s="19">
        <f t="shared" si="1"/>
        <v>3</v>
      </c>
      <c r="R13" s="121">
        <f>IFERROR(VLOOKUP(B13,Deals[#All],8,FALSE),DEF_RATE)</f>
        <v>250</v>
      </c>
      <c r="S13" s="121">
        <f t="shared" si="2"/>
        <v>750</v>
      </c>
      <c r="T13" s="16" t="str">
        <f t="shared" si="3"/>
        <v>DEMURRAGE</v>
      </c>
      <c r="U13" s="16" t="str">
        <f t="shared" si="4"/>
        <v>OK</v>
      </c>
      <c r="V13" s="16" t="str">
        <f t="shared" si="5"/>
        <v>2025-12</v>
      </c>
    </row>
    <row r="14" spans="2:22" x14ac:dyDescent="0.25">
      <c r="B14" s="16">
        <v>184752</v>
      </c>
      <c r="C14" s="16" t="s">
        <v>492</v>
      </c>
      <c r="D14" s="20" t="s">
        <v>34</v>
      </c>
      <c r="E14" s="17">
        <v>46021</v>
      </c>
      <c r="F14" s="20" t="s">
        <v>92</v>
      </c>
      <c r="G14" s="20" t="s">
        <v>93</v>
      </c>
      <c r="H14" s="20" t="s">
        <v>94</v>
      </c>
      <c r="I14" s="20" t="s">
        <v>110</v>
      </c>
      <c r="J14" s="20" t="s">
        <v>111</v>
      </c>
      <c r="K14" s="20" t="s">
        <v>46</v>
      </c>
      <c r="L14" s="20" t="s">
        <v>112</v>
      </c>
      <c r="M14" s="17">
        <v>46030</v>
      </c>
      <c r="N14" s="17">
        <v>46034</v>
      </c>
      <c r="O14" s="19">
        <f t="shared" si="0"/>
        <v>4</v>
      </c>
      <c r="P14" s="19">
        <f>IFERROR(VLOOKUP(B14,Deals[#All],7,FALSE),DEF_LAYTIME)</f>
        <v>2</v>
      </c>
      <c r="Q14" s="19">
        <f t="shared" si="1"/>
        <v>2</v>
      </c>
      <c r="R14" s="121">
        <f>IFERROR(VLOOKUP(B14,Deals[#All],8,FALSE),DEF_RATE)</f>
        <v>250</v>
      </c>
      <c r="S14" s="121">
        <f t="shared" si="2"/>
        <v>500</v>
      </c>
      <c r="T14" s="16" t="str">
        <f t="shared" si="3"/>
        <v>DEMURRAGE</v>
      </c>
      <c r="U14" s="16" t="str">
        <f t="shared" si="4"/>
        <v>OK</v>
      </c>
      <c r="V14" s="16" t="str">
        <f t="shared" si="5"/>
        <v>2025-12</v>
      </c>
    </row>
    <row r="15" spans="2:22" x14ac:dyDescent="0.25">
      <c r="B15" s="16">
        <v>184752</v>
      </c>
      <c r="C15" s="16" t="s">
        <v>492</v>
      </c>
      <c r="D15" s="20" t="s">
        <v>34</v>
      </c>
      <c r="E15" s="17">
        <v>46021</v>
      </c>
      <c r="F15" s="20" t="s">
        <v>92</v>
      </c>
      <c r="G15" s="20" t="s">
        <v>93</v>
      </c>
      <c r="H15" s="20" t="s">
        <v>94</v>
      </c>
      <c r="I15" s="20" t="s">
        <v>113</v>
      </c>
      <c r="J15" s="20" t="s">
        <v>114</v>
      </c>
      <c r="K15" s="20" t="s">
        <v>46</v>
      </c>
      <c r="L15" s="20" t="s">
        <v>115</v>
      </c>
      <c r="M15" s="17">
        <v>46030</v>
      </c>
      <c r="N15" s="17">
        <v>46035</v>
      </c>
      <c r="O15" s="19">
        <f t="shared" si="0"/>
        <v>5</v>
      </c>
      <c r="P15" s="19">
        <f>IFERROR(VLOOKUP(B15,Deals[#All],7,FALSE),DEF_LAYTIME)</f>
        <v>2</v>
      </c>
      <c r="Q15" s="19">
        <f t="shared" si="1"/>
        <v>3</v>
      </c>
      <c r="R15" s="121">
        <f>IFERROR(VLOOKUP(B15,Deals[#All],8,FALSE),DEF_RATE)</f>
        <v>250</v>
      </c>
      <c r="S15" s="121">
        <f t="shared" si="2"/>
        <v>750</v>
      </c>
      <c r="T15" s="16" t="str">
        <f t="shared" si="3"/>
        <v>DEMURRAGE</v>
      </c>
      <c r="U15" s="16" t="str">
        <f t="shared" si="4"/>
        <v>OK</v>
      </c>
      <c r="V15" s="16" t="str">
        <f t="shared" si="5"/>
        <v>2025-12</v>
      </c>
    </row>
    <row r="16" spans="2:22" x14ac:dyDescent="0.25">
      <c r="B16" s="16">
        <v>184752</v>
      </c>
      <c r="C16" s="16" t="s">
        <v>492</v>
      </c>
      <c r="D16" s="20" t="s">
        <v>34</v>
      </c>
      <c r="E16" s="17">
        <v>46021</v>
      </c>
      <c r="F16" s="20" t="s">
        <v>92</v>
      </c>
      <c r="G16" s="20" t="s">
        <v>93</v>
      </c>
      <c r="H16" s="20" t="s">
        <v>94</v>
      </c>
      <c r="I16" s="20" t="s">
        <v>116</v>
      </c>
      <c r="J16" s="20" t="s">
        <v>117</v>
      </c>
      <c r="K16" s="20" t="s">
        <v>46</v>
      </c>
      <c r="L16" s="20" t="s">
        <v>118</v>
      </c>
      <c r="M16" s="17">
        <v>46030</v>
      </c>
      <c r="N16" s="17">
        <v>46034</v>
      </c>
      <c r="O16" s="19">
        <f t="shared" si="0"/>
        <v>4</v>
      </c>
      <c r="P16" s="19">
        <f>IFERROR(VLOOKUP(B16,Deals[#All],7,FALSE),DEF_LAYTIME)</f>
        <v>2</v>
      </c>
      <c r="Q16" s="19">
        <f t="shared" si="1"/>
        <v>2</v>
      </c>
      <c r="R16" s="121">
        <f>IFERROR(VLOOKUP(B16,Deals[#All],8,FALSE),DEF_RATE)</f>
        <v>250</v>
      </c>
      <c r="S16" s="121">
        <f t="shared" si="2"/>
        <v>500</v>
      </c>
      <c r="T16" s="16" t="str">
        <f t="shared" si="3"/>
        <v>DEMURRAGE</v>
      </c>
      <c r="U16" s="16" t="str">
        <f t="shared" si="4"/>
        <v>OK</v>
      </c>
      <c r="V16" s="16" t="str">
        <f t="shared" si="5"/>
        <v>2025-12</v>
      </c>
    </row>
    <row r="17" spans="2:22" x14ac:dyDescent="0.25">
      <c r="B17" s="16">
        <v>184834</v>
      </c>
      <c r="C17" s="16" t="s">
        <v>493</v>
      </c>
      <c r="D17" s="20" t="s">
        <v>33</v>
      </c>
      <c r="E17" s="17">
        <v>46011</v>
      </c>
      <c r="F17" s="20" t="s">
        <v>92</v>
      </c>
      <c r="G17" s="20" t="s">
        <v>93</v>
      </c>
      <c r="H17" s="20" t="s">
        <v>94</v>
      </c>
      <c r="I17" s="20" t="s">
        <v>119</v>
      </c>
      <c r="J17" s="20" t="s">
        <v>120</v>
      </c>
      <c r="K17" s="20" t="s">
        <v>39</v>
      </c>
      <c r="L17" s="20" t="s">
        <v>121</v>
      </c>
      <c r="M17" s="17">
        <v>46016</v>
      </c>
      <c r="N17" s="17">
        <v>46017</v>
      </c>
      <c r="O17" s="19">
        <f t="shared" si="0"/>
        <v>1</v>
      </c>
      <c r="P17" s="19">
        <f>IFERROR(VLOOKUP(B17,Deals[#All],7,FALSE),DEF_LAYTIME)</f>
        <v>2</v>
      </c>
      <c r="Q17" s="19">
        <f t="shared" si="1"/>
        <v>0</v>
      </c>
      <c r="R17" s="121">
        <f>IFERROR(VLOOKUP(B17,Deals[#All],8,FALSE),DEF_RATE)</f>
        <v>250</v>
      </c>
      <c r="S17" s="121">
        <f t="shared" si="2"/>
        <v>0</v>
      </c>
      <c r="T17" s="16" t="str">
        <f t="shared" si="3"/>
        <v>ON-TIME</v>
      </c>
      <c r="U17" s="16" t="str">
        <f t="shared" si="4"/>
        <v>OK</v>
      </c>
      <c r="V17" s="16" t="str">
        <f t="shared" si="5"/>
        <v>2025-12</v>
      </c>
    </row>
    <row r="18" spans="2:22" x14ac:dyDescent="0.25">
      <c r="B18" s="16">
        <v>184834</v>
      </c>
      <c r="C18" s="16" t="s">
        <v>493</v>
      </c>
      <c r="D18" s="20" t="s">
        <v>33</v>
      </c>
      <c r="E18" s="17">
        <v>46011</v>
      </c>
      <c r="F18" s="20" t="s">
        <v>92</v>
      </c>
      <c r="G18" s="20" t="s">
        <v>93</v>
      </c>
      <c r="H18" s="20" t="s">
        <v>94</v>
      </c>
      <c r="I18" s="20" t="s">
        <v>122</v>
      </c>
      <c r="J18" s="20" t="s">
        <v>123</v>
      </c>
      <c r="K18" s="20" t="s">
        <v>39</v>
      </c>
      <c r="L18" s="20" t="s">
        <v>124</v>
      </c>
      <c r="M18" s="17">
        <v>46016</v>
      </c>
      <c r="N18" s="17">
        <v>46017</v>
      </c>
      <c r="O18" s="19">
        <f t="shared" si="0"/>
        <v>1</v>
      </c>
      <c r="P18" s="19">
        <f>IFERROR(VLOOKUP(B18,Deals[#All],7,FALSE),DEF_LAYTIME)</f>
        <v>2</v>
      </c>
      <c r="Q18" s="19">
        <f t="shared" si="1"/>
        <v>0</v>
      </c>
      <c r="R18" s="121">
        <f>IFERROR(VLOOKUP(B18,Deals[#All],8,FALSE),DEF_RATE)</f>
        <v>250</v>
      </c>
      <c r="S18" s="121">
        <f t="shared" si="2"/>
        <v>0</v>
      </c>
      <c r="T18" s="16" t="str">
        <f t="shared" si="3"/>
        <v>ON-TIME</v>
      </c>
      <c r="U18" s="16" t="str">
        <f t="shared" si="4"/>
        <v>OK</v>
      </c>
      <c r="V18" s="16" t="str">
        <f t="shared" si="5"/>
        <v>2025-12</v>
      </c>
    </row>
    <row r="19" spans="2:22" x14ac:dyDescent="0.25">
      <c r="B19" s="16">
        <v>184834</v>
      </c>
      <c r="C19" s="16" t="s">
        <v>493</v>
      </c>
      <c r="D19" s="20" t="s">
        <v>33</v>
      </c>
      <c r="E19" s="17">
        <v>46011</v>
      </c>
      <c r="F19" s="20" t="s">
        <v>92</v>
      </c>
      <c r="G19" s="20" t="s">
        <v>93</v>
      </c>
      <c r="H19" s="20" t="s">
        <v>94</v>
      </c>
      <c r="I19" s="20" t="s">
        <v>125</v>
      </c>
      <c r="J19" s="20" t="s">
        <v>126</v>
      </c>
      <c r="K19" s="20" t="s">
        <v>39</v>
      </c>
      <c r="L19" s="20" t="s">
        <v>127</v>
      </c>
      <c r="M19" s="17">
        <v>46015</v>
      </c>
      <c r="N19" s="17">
        <v>46015</v>
      </c>
      <c r="O19" s="19">
        <f t="shared" si="0"/>
        <v>0</v>
      </c>
      <c r="P19" s="19">
        <f>IFERROR(VLOOKUP(B19,Deals[#All],7,FALSE),DEF_LAYTIME)</f>
        <v>2</v>
      </c>
      <c r="Q19" s="19">
        <f t="shared" si="1"/>
        <v>0</v>
      </c>
      <c r="R19" s="121">
        <f>IFERROR(VLOOKUP(B19,Deals[#All],8,FALSE),DEF_RATE)</f>
        <v>250</v>
      </c>
      <c r="S19" s="121">
        <f t="shared" si="2"/>
        <v>0</v>
      </c>
      <c r="T19" s="16" t="str">
        <f t="shared" si="3"/>
        <v>ON-TIME</v>
      </c>
      <c r="U19" s="16" t="str">
        <f t="shared" si="4"/>
        <v>OK</v>
      </c>
      <c r="V19" s="16" t="str">
        <f t="shared" si="5"/>
        <v>2025-12</v>
      </c>
    </row>
    <row r="20" spans="2:22" x14ac:dyDescent="0.25">
      <c r="B20" s="16">
        <v>184834</v>
      </c>
      <c r="C20" s="16" t="s">
        <v>493</v>
      </c>
      <c r="D20" s="20" t="s">
        <v>33</v>
      </c>
      <c r="E20" s="17">
        <v>46011</v>
      </c>
      <c r="F20" s="20" t="s">
        <v>92</v>
      </c>
      <c r="G20" s="20" t="s">
        <v>93</v>
      </c>
      <c r="H20" s="20" t="s">
        <v>94</v>
      </c>
      <c r="I20" s="20" t="s">
        <v>128</v>
      </c>
      <c r="J20" s="20" t="s">
        <v>129</v>
      </c>
      <c r="K20" s="20" t="s">
        <v>39</v>
      </c>
      <c r="L20" s="20" t="s">
        <v>130</v>
      </c>
      <c r="M20" s="17">
        <v>46015</v>
      </c>
      <c r="N20" s="17">
        <v>46015</v>
      </c>
      <c r="O20" s="19">
        <f t="shared" si="0"/>
        <v>0</v>
      </c>
      <c r="P20" s="19">
        <f>IFERROR(VLOOKUP(B20,Deals[#All],7,FALSE),DEF_LAYTIME)</f>
        <v>2</v>
      </c>
      <c r="Q20" s="19">
        <f t="shared" si="1"/>
        <v>0</v>
      </c>
      <c r="R20" s="121">
        <f>IFERROR(VLOOKUP(B20,Deals[#All],8,FALSE),DEF_RATE)</f>
        <v>250</v>
      </c>
      <c r="S20" s="121">
        <f t="shared" si="2"/>
        <v>0</v>
      </c>
      <c r="T20" s="16" t="str">
        <f t="shared" si="3"/>
        <v>ON-TIME</v>
      </c>
      <c r="U20" s="16" t="str">
        <f t="shared" si="4"/>
        <v>OK</v>
      </c>
      <c r="V20" s="16" t="str">
        <f t="shared" si="5"/>
        <v>2025-12</v>
      </c>
    </row>
    <row r="21" spans="2:22" x14ac:dyDescent="0.25">
      <c r="B21" s="16">
        <v>187293</v>
      </c>
      <c r="C21" s="16" t="s">
        <v>494</v>
      </c>
      <c r="D21" s="20" t="s">
        <v>31</v>
      </c>
      <c r="E21" s="17">
        <v>46095</v>
      </c>
      <c r="F21" s="20" t="s">
        <v>92</v>
      </c>
      <c r="G21" s="20" t="s">
        <v>93</v>
      </c>
      <c r="H21" s="20" t="s">
        <v>94</v>
      </c>
      <c r="I21" s="20" t="s">
        <v>131</v>
      </c>
      <c r="J21" s="20" t="s">
        <v>132</v>
      </c>
      <c r="K21" s="20" t="s">
        <v>39</v>
      </c>
      <c r="L21" s="20" t="s">
        <v>133</v>
      </c>
      <c r="M21" s="17">
        <v>46102</v>
      </c>
      <c r="N21" s="17">
        <v>46113</v>
      </c>
      <c r="O21" s="19">
        <f t="shared" si="0"/>
        <v>11</v>
      </c>
      <c r="P21" s="19">
        <f>IFERROR(VLOOKUP(B21,Deals[#All],7,FALSE),DEF_LAYTIME)</f>
        <v>2</v>
      </c>
      <c r="Q21" s="19">
        <f t="shared" si="1"/>
        <v>9</v>
      </c>
      <c r="R21" s="121">
        <f>IFERROR(VLOOKUP(B21,Deals[#All],8,FALSE),DEF_RATE)</f>
        <v>250</v>
      </c>
      <c r="S21" s="121">
        <f t="shared" si="2"/>
        <v>2250</v>
      </c>
      <c r="T21" s="16" t="str">
        <f t="shared" si="3"/>
        <v>DEMURRAGE</v>
      </c>
      <c r="U21" s="16" t="str">
        <f t="shared" si="4"/>
        <v>OK</v>
      </c>
      <c r="V21" s="16" t="str">
        <f t="shared" si="5"/>
        <v>2026-03</v>
      </c>
    </row>
    <row r="22" spans="2:22" x14ac:dyDescent="0.25">
      <c r="B22" s="16">
        <v>187293</v>
      </c>
      <c r="C22" s="16" t="s">
        <v>494</v>
      </c>
      <c r="D22" s="20" t="s">
        <v>31</v>
      </c>
      <c r="E22" s="17">
        <v>46095</v>
      </c>
      <c r="F22" s="20" t="s">
        <v>92</v>
      </c>
      <c r="G22" s="20" t="s">
        <v>93</v>
      </c>
      <c r="H22" s="20" t="s">
        <v>94</v>
      </c>
      <c r="I22" s="20" t="s">
        <v>134</v>
      </c>
      <c r="J22" s="20" t="s">
        <v>135</v>
      </c>
      <c r="K22" s="20" t="s">
        <v>39</v>
      </c>
      <c r="L22" s="20" t="s">
        <v>136</v>
      </c>
      <c r="M22" s="17">
        <v>46099</v>
      </c>
      <c r="N22" s="17">
        <v>46111</v>
      </c>
      <c r="O22" s="19">
        <f t="shared" si="0"/>
        <v>12</v>
      </c>
      <c r="P22" s="19">
        <f>IFERROR(VLOOKUP(B22,Deals[#All],7,FALSE),DEF_LAYTIME)</f>
        <v>2</v>
      </c>
      <c r="Q22" s="19">
        <f t="shared" si="1"/>
        <v>10</v>
      </c>
      <c r="R22" s="121">
        <f>IFERROR(VLOOKUP(B22,Deals[#All],8,FALSE),DEF_RATE)</f>
        <v>250</v>
      </c>
      <c r="S22" s="121">
        <f t="shared" si="2"/>
        <v>2500</v>
      </c>
      <c r="T22" s="16" t="str">
        <f t="shared" si="3"/>
        <v>DEMURRAGE</v>
      </c>
      <c r="U22" s="16" t="str">
        <f t="shared" si="4"/>
        <v>OK</v>
      </c>
      <c r="V22" s="16" t="str">
        <f t="shared" si="5"/>
        <v>2026-03</v>
      </c>
    </row>
    <row r="23" spans="2:22" x14ac:dyDescent="0.25">
      <c r="B23" s="16">
        <v>187293</v>
      </c>
      <c r="C23" s="16" t="s">
        <v>494</v>
      </c>
      <c r="D23" s="20" t="s">
        <v>31</v>
      </c>
      <c r="E23" s="17">
        <v>46095</v>
      </c>
      <c r="F23" s="20" t="s">
        <v>92</v>
      </c>
      <c r="G23" s="20" t="s">
        <v>93</v>
      </c>
      <c r="H23" s="20" t="s">
        <v>94</v>
      </c>
      <c r="I23" s="20" t="s">
        <v>137</v>
      </c>
      <c r="J23" s="20" t="s">
        <v>138</v>
      </c>
      <c r="K23" s="20" t="s">
        <v>39</v>
      </c>
      <c r="L23" s="20" t="s">
        <v>139</v>
      </c>
      <c r="M23" s="17">
        <v>46102</v>
      </c>
      <c r="N23" s="17">
        <v>46113</v>
      </c>
      <c r="O23" s="19">
        <f t="shared" si="0"/>
        <v>11</v>
      </c>
      <c r="P23" s="19">
        <f>IFERROR(VLOOKUP(B23,Deals[#All],7,FALSE),DEF_LAYTIME)</f>
        <v>2</v>
      </c>
      <c r="Q23" s="19">
        <f t="shared" si="1"/>
        <v>9</v>
      </c>
      <c r="R23" s="121">
        <f>IFERROR(VLOOKUP(B23,Deals[#All],8,FALSE),DEF_RATE)</f>
        <v>250</v>
      </c>
      <c r="S23" s="121">
        <f t="shared" si="2"/>
        <v>2250</v>
      </c>
      <c r="T23" s="16" t="str">
        <f t="shared" si="3"/>
        <v>DEMURRAGE</v>
      </c>
      <c r="U23" s="16" t="str">
        <f t="shared" si="4"/>
        <v>OK</v>
      </c>
      <c r="V23" s="16" t="str">
        <f t="shared" si="5"/>
        <v>2026-03</v>
      </c>
    </row>
    <row r="24" spans="2:22" x14ac:dyDescent="0.25">
      <c r="B24" s="16">
        <v>187293</v>
      </c>
      <c r="C24" s="16" t="s">
        <v>494</v>
      </c>
      <c r="D24" s="20" t="s">
        <v>31</v>
      </c>
      <c r="E24" s="17">
        <v>46095</v>
      </c>
      <c r="F24" s="20" t="s">
        <v>92</v>
      </c>
      <c r="G24" s="20" t="s">
        <v>93</v>
      </c>
      <c r="H24" s="20" t="s">
        <v>94</v>
      </c>
      <c r="I24" s="20" t="s">
        <v>140</v>
      </c>
      <c r="J24" s="20" t="s">
        <v>141</v>
      </c>
      <c r="K24" s="20" t="s">
        <v>39</v>
      </c>
      <c r="L24" s="20" t="s">
        <v>142</v>
      </c>
      <c r="M24" s="17">
        <v>46102</v>
      </c>
      <c r="N24" s="17">
        <v>46113</v>
      </c>
      <c r="O24" s="19">
        <f t="shared" si="0"/>
        <v>11</v>
      </c>
      <c r="P24" s="19">
        <f>IFERROR(VLOOKUP(B24,Deals[#All],7,FALSE),DEF_LAYTIME)</f>
        <v>2</v>
      </c>
      <c r="Q24" s="19">
        <f t="shared" si="1"/>
        <v>9</v>
      </c>
      <c r="R24" s="121">
        <f>IFERROR(VLOOKUP(B24,Deals[#All],8,FALSE),DEF_RATE)</f>
        <v>250</v>
      </c>
      <c r="S24" s="121">
        <f t="shared" si="2"/>
        <v>2250</v>
      </c>
      <c r="T24" s="16" t="str">
        <f t="shared" si="3"/>
        <v>DEMURRAGE</v>
      </c>
      <c r="U24" s="16" t="str">
        <f t="shared" si="4"/>
        <v>OK</v>
      </c>
      <c r="V24" s="16" t="str">
        <f t="shared" si="5"/>
        <v>2026-03</v>
      </c>
    </row>
    <row r="25" spans="2:22" x14ac:dyDescent="0.25">
      <c r="B25" s="16">
        <v>187293</v>
      </c>
      <c r="C25" s="16" t="s">
        <v>494</v>
      </c>
      <c r="D25" s="20" t="s">
        <v>31</v>
      </c>
      <c r="E25" s="17">
        <v>46095</v>
      </c>
      <c r="F25" s="20" t="s">
        <v>92</v>
      </c>
      <c r="G25" s="20" t="s">
        <v>93</v>
      </c>
      <c r="H25" s="20" t="s">
        <v>94</v>
      </c>
      <c r="I25" s="20" t="s">
        <v>143</v>
      </c>
      <c r="J25" s="20" t="s">
        <v>144</v>
      </c>
      <c r="K25" s="20" t="s">
        <v>39</v>
      </c>
      <c r="L25" s="20" t="s">
        <v>145</v>
      </c>
      <c r="M25" s="17">
        <v>46099</v>
      </c>
      <c r="N25" s="17">
        <v>46113</v>
      </c>
      <c r="O25" s="19">
        <f t="shared" si="0"/>
        <v>14</v>
      </c>
      <c r="P25" s="19">
        <f>IFERROR(VLOOKUP(B25,Deals[#All],7,FALSE),DEF_LAYTIME)</f>
        <v>2</v>
      </c>
      <c r="Q25" s="19">
        <f t="shared" si="1"/>
        <v>12</v>
      </c>
      <c r="R25" s="121">
        <f>IFERROR(VLOOKUP(B25,Deals[#All],8,FALSE),DEF_RATE)</f>
        <v>250</v>
      </c>
      <c r="S25" s="121">
        <f t="shared" si="2"/>
        <v>3000</v>
      </c>
      <c r="T25" s="16" t="str">
        <f t="shared" si="3"/>
        <v>DEMURRAGE</v>
      </c>
      <c r="U25" s="16" t="str">
        <f t="shared" si="4"/>
        <v>OK</v>
      </c>
      <c r="V25" s="16" t="str">
        <f t="shared" si="5"/>
        <v>2026-03</v>
      </c>
    </row>
    <row r="26" spans="2:22" x14ac:dyDescent="0.25">
      <c r="B26" s="16">
        <v>187293</v>
      </c>
      <c r="C26" s="16" t="s">
        <v>494</v>
      </c>
      <c r="D26" s="20" t="s">
        <v>31</v>
      </c>
      <c r="E26" s="17">
        <v>46102</v>
      </c>
      <c r="F26" s="20" t="s">
        <v>92</v>
      </c>
      <c r="G26" s="20" t="s">
        <v>93</v>
      </c>
      <c r="H26" s="20" t="s">
        <v>94</v>
      </c>
      <c r="I26" s="20" t="s">
        <v>146</v>
      </c>
      <c r="J26" s="20" t="s">
        <v>147</v>
      </c>
      <c r="K26" s="20" t="s">
        <v>39</v>
      </c>
      <c r="L26" s="20" t="s">
        <v>148</v>
      </c>
      <c r="M26" s="17">
        <v>46106</v>
      </c>
      <c r="N26" s="17">
        <v>46111</v>
      </c>
      <c r="O26" s="19">
        <f t="shared" si="0"/>
        <v>5</v>
      </c>
      <c r="P26" s="19">
        <f>IFERROR(VLOOKUP(B26,Deals[#All],7,FALSE),DEF_LAYTIME)</f>
        <v>2</v>
      </c>
      <c r="Q26" s="19">
        <f t="shared" si="1"/>
        <v>3</v>
      </c>
      <c r="R26" s="121">
        <f>IFERROR(VLOOKUP(B26,Deals[#All],8,FALSE),DEF_RATE)</f>
        <v>250</v>
      </c>
      <c r="S26" s="121">
        <f t="shared" si="2"/>
        <v>750</v>
      </c>
      <c r="T26" s="16" t="str">
        <f t="shared" si="3"/>
        <v>DEMURRAGE</v>
      </c>
      <c r="U26" s="16" t="str">
        <f t="shared" si="4"/>
        <v>OK</v>
      </c>
      <c r="V26" s="16" t="str">
        <f t="shared" si="5"/>
        <v>2026-03</v>
      </c>
    </row>
    <row r="27" spans="2:22" x14ac:dyDescent="0.25">
      <c r="B27" s="16">
        <v>187293</v>
      </c>
      <c r="C27" s="16" t="s">
        <v>494</v>
      </c>
      <c r="D27" s="20" t="s">
        <v>31</v>
      </c>
      <c r="E27" s="17">
        <v>46101</v>
      </c>
      <c r="F27" s="20" t="s">
        <v>92</v>
      </c>
      <c r="G27" s="20" t="s">
        <v>93</v>
      </c>
      <c r="H27" s="20" t="s">
        <v>94</v>
      </c>
      <c r="I27" s="20" t="s">
        <v>149</v>
      </c>
      <c r="J27" s="20" t="s">
        <v>150</v>
      </c>
      <c r="K27" s="20" t="s">
        <v>39</v>
      </c>
      <c r="L27" s="20" t="s">
        <v>151</v>
      </c>
      <c r="M27" s="17">
        <v>46111</v>
      </c>
      <c r="N27" s="17">
        <v>46114</v>
      </c>
      <c r="O27" s="19">
        <f t="shared" si="0"/>
        <v>3</v>
      </c>
      <c r="P27" s="19">
        <f>IFERROR(VLOOKUP(B27,Deals[#All],7,FALSE),DEF_LAYTIME)</f>
        <v>2</v>
      </c>
      <c r="Q27" s="19">
        <f t="shared" si="1"/>
        <v>1</v>
      </c>
      <c r="R27" s="121">
        <f>IFERROR(VLOOKUP(B27,Deals[#All],8,FALSE),DEF_RATE)</f>
        <v>250</v>
      </c>
      <c r="S27" s="121">
        <f t="shared" si="2"/>
        <v>250</v>
      </c>
      <c r="T27" s="16" t="str">
        <f t="shared" si="3"/>
        <v>DEMURRAGE</v>
      </c>
      <c r="U27" s="16" t="str">
        <f t="shared" si="4"/>
        <v>OK</v>
      </c>
      <c r="V27" s="16" t="str">
        <f t="shared" si="5"/>
        <v>2026-03</v>
      </c>
    </row>
    <row r="28" spans="2:22" x14ac:dyDescent="0.25">
      <c r="B28" s="16">
        <v>187293</v>
      </c>
      <c r="C28" s="16" t="s">
        <v>494</v>
      </c>
      <c r="D28" s="20" t="s">
        <v>31</v>
      </c>
      <c r="E28" s="17">
        <v>46079</v>
      </c>
      <c r="F28" s="20" t="s">
        <v>92</v>
      </c>
      <c r="G28" s="20" t="s">
        <v>93</v>
      </c>
      <c r="H28" s="20" t="s">
        <v>94</v>
      </c>
      <c r="I28" s="20" t="s">
        <v>152</v>
      </c>
      <c r="J28" s="20" t="s">
        <v>153</v>
      </c>
      <c r="K28" s="20" t="s">
        <v>38</v>
      </c>
      <c r="L28" s="20" t="s">
        <v>154</v>
      </c>
      <c r="M28" s="17">
        <v>46088</v>
      </c>
      <c r="N28" s="17">
        <v>46099</v>
      </c>
      <c r="O28" s="19">
        <f t="shared" si="0"/>
        <v>11</v>
      </c>
      <c r="P28" s="19">
        <f>IFERROR(VLOOKUP(B28,Deals[#All],7,FALSE),DEF_LAYTIME)</f>
        <v>2</v>
      </c>
      <c r="Q28" s="19">
        <f t="shared" si="1"/>
        <v>9</v>
      </c>
      <c r="R28" s="121">
        <f>IFERROR(VLOOKUP(B28,Deals[#All],8,FALSE),DEF_RATE)</f>
        <v>250</v>
      </c>
      <c r="S28" s="121">
        <f t="shared" si="2"/>
        <v>2250</v>
      </c>
      <c r="T28" s="16" t="str">
        <f t="shared" si="3"/>
        <v>DEMURRAGE</v>
      </c>
      <c r="U28" s="16" t="str">
        <f t="shared" si="4"/>
        <v>OK</v>
      </c>
      <c r="V28" s="16" t="str">
        <f t="shared" si="5"/>
        <v>2026-02</v>
      </c>
    </row>
    <row r="29" spans="2:22" x14ac:dyDescent="0.25">
      <c r="B29" s="16">
        <v>187293</v>
      </c>
      <c r="C29" s="16" t="s">
        <v>494</v>
      </c>
      <c r="D29" s="20" t="s">
        <v>31</v>
      </c>
      <c r="E29" s="17">
        <v>46079</v>
      </c>
      <c r="F29" s="20" t="s">
        <v>92</v>
      </c>
      <c r="G29" s="20" t="s">
        <v>93</v>
      </c>
      <c r="H29" s="20" t="s">
        <v>94</v>
      </c>
      <c r="I29" s="20" t="s">
        <v>155</v>
      </c>
      <c r="J29" s="20" t="s">
        <v>156</v>
      </c>
      <c r="K29" s="20" t="s">
        <v>38</v>
      </c>
      <c r="L29" s="20" t="s">
        <v>157</v>
      </c>
      <c r="M29" s="17">
        <v>46082</v>
      </c>
      <c r="N29" s="17">
        <v>46086</v>
      </c>
      <c r="O29" s="19">
        <f t="shared" si="0"/>
        <v>4</v>
      </c>
      <c r="P29" s="19">
        <f>IFERROR(VLOOKUP(B29,Deals[#All],7,FALSE),DEF_LAYTIME)</f>
        <v>2</v>
      </c>
      <c r="Q29" s="19">
        <f t="shared" si="1"/>
        <v>2</v>
      </c>
      <c r="R29" s="121">
        <f>IFERROR(VLOOKUP(B29,Deals[#All],8,FALSE),DEF_RATE)</f>
        <v>250</v>
      </c>
      <c r="S29" s="121">
        <f t="shared" si="2"/>
        <v>500</v>
      </c>
      <c r="T29" s="16" t="str">
        <f t="shared" si="3"/>
        <v>DEMURRAGE</v>
      </c>
      <c r="U29" s="16" t="str">
        <f t="shared" si="4"/>
        <v>OK</v>
      </c>
      <c r="V29" s="16" t="str">
        <f t="shared" si="5"/>
        <v>2026-02</v>
      </c>
    </row>
    <row r="30" spans="2:22" x14ac:dyDescent="0.25">
      <c r="B30" s="16">
        <v>187293</v>
      </c>
      <c r="C30" s="16" t="s">
        <v>494</v>
      </c>
      <c r="D30" s="20" t="s">
        <v>31</v>
      </c>
      <c r="E30" s="17">
        <v>46079</v>
      </c>
      <c r="F30" s="20" t="s">
        <v>92</v>
      </c>
      <c r="G30" s="20" t="s">
        <v>93</v>
      </c>
      <c r="H30" s="20" t="s">
        <v>94</v>
      </c>
      <c r="I30" s="20" t="s">
        <v>158</v>
      </c>
      <c r="J30" s="20" t="s">
        <v>159</v>
      </c>
      <c r="K30" s="20" t="s">
        <v>38</v>
      </c>
      <c r="L30" s="20" t="s">
        <v>160</v>
      </c>
      <c r="M30" s="17">
        <v>46088</v>
      </c>
      <c r="N30" s="17">
        <v>46100</v>
      </c>
      <c r="O30" s="19">
        <f t="shared" si="0"/>
        <v>12</v>
      </c>
      <c r="P30" s="19">
        <f>IFERROR(VLOOKUP(B30,Deals[#All],7,FALSE),DEF_LAYTIME)</f>
        <v>2</v>
      </c>
      <c r="Q30" s="19">
        <f t="shared" si="1"/>
        <v>10</v>
      </c>
      <c r="R30" s="121">
        <f>IFERROR(VLOOKUP(B30,Deals[#All],8,FALSE),DEF_RATE)</f>
        <v>250</v>
      </c>
      <c r="S30" s="121">
        <f t="shared" si="2"/>
        <v>2500</v>
      </c>
      <c r="T30" s="16" t="str">
        <f t="shared" si="3"/>
        <v>DEMURRAGE</v>
      </c>
      <c r="U30" s="16" t="str">
        <f t="shared" si="4"/>
        <v>OK</v>
      </c>
      <c r="V30" s="16" t="str">
        <f t="shared" si="5"/>
        <v>2026-02</v>
      </c>
    </row>
    <row r="31" spans="2:22" x14ac:dyDescent="0.25">
      <c r="B31" s="16">
        <v>187293</v>
      </c>
      <c r="C31" s="16" t="s">
        <v>494</v>
      </c>
      <c r="D31" s="20" t="s">
        <v>31</v>
      </c>
      <c r="E31" s="17">
        <v>46079</v>
      </c>
      <c r="F31" s="20" t="s">
        <v>92</v>
      </c>
      <c r="G31" s="20" t="s">
        <v>93</v>
      </c>
      <c r="H31" s="20" t="s">
        <v>94</v>
      </c>
      <c r="I31" s="20" t="s">
        <v>161</v>
      </c>
      <c r="J31" s="20" t="s">
        <v>162</v>
      </c>
      <c r="K31" s="20" t="s">
        <v>38</v>
      </c>
      <c r="L31" s="20" t="s">
        <v>163</v>
      </c>
      <c r="M31" s="17">
        <v>46084</v>
      </c>
      <c r="N31" s="17">
        <v>46088</v>
      </c>
      <c r="O31" s="19">
        <f t="shared" si="0"/>
        <v>4</v>
      </c>
      <c r="P31" s="19">
        <f>IFERROR(VLOOKUP(B31,Deals[#All],7,FALSE),DEF_LAYTIME)</f>
        <v>2</v>
      </c>
      <c r="Q31" s="19">
        <f t="shared" si="1"/>
        <v>2</v>
      </c>
      <c r="R31" s="121">
        <f>IFERROR(VLOOKUP(B31,Deals[#All],8,FALSE),DEF_RATE)</f>
        <v>250</v>
      </c>
      <c r="S31" s="121">
        <f t="shared" si="2"/>
        <v>500</v>
      </c>
      <c r="T31" s="16" t="str">
        <f t="shared" si="3"/>
        <v>DEMURRAGE</v>
      </c>
      <c r="U31" s="16" t="str">
        <f t="shared" si="4"/>
        <v>OK</v>
      </c>
      <c r="V31" s="16" t="str">
        <f t="shared" si="5"/>
        <v>2026-02</v>
      </c>
    </row>
    <row r="32" spans="2:22" x14ac:dyDescent="0.25">
      <c r="B32" s="16">
        <v>187293</v>
      </c>
      <c r="C32" s="16" t="s">
        <v>494</v>
      </c>
      <c r="D32" s="20" t="s">
        <v>31</v>
      </c>
      <c r="E32" s="17">
        <v>46079</v>
      </c>
      <c r="F32" s="20" t="s">
        <v>92</v>
      </c>
      <c r="G32" s="20" t="s">
        <v>93</v>
      </c>
      <c r="H32" s="20" t="s">
        <v>94</v>
      </c>
      <c r="I32" s="20" t="s">
        <v>164</v>
      </c>
      <c r="J32" s="20" t="s">
        <v>165</v>
      </c>
      <c r="K32" s="20" t="s">
        <v>38</v>
      </c>
      <c r="L32" s="20" t="s">
        <v>166</v>
      </c>
      <c r="M32" s="17">
        <v>46082</v>
      </c>
      <c r="N32" s="17">
        <v>46086</v>
      </c>
      <c r="O32" s="19">
        <f t="shared" si="0"/>
        <v>4</v>
      </c>
      <c r="P32" s="19">
        <f>IFERROR(VLOOKUP(B32,Deals[#All],7,FALSE),DEF_LAYTIME)</f>
        <v>2</v>
      </c>
      <c r="Q32" s="19">
        <f t="shared" si="1"/>
        <v>2</v>
      </c>
      <c r="R32" s="121">
        <f>IFERROR(VLOOKUP(B32,Deals[#All],8,FALSE),DEF_RATE)</f>
        <v>250</v>
      </c>
      <c r="S32" s="121">
        <f t="shared" si="2"/>
        <v>500</v>
      </c>
      <c r="T32" s="16" t="str">
        <f t="shared" si="3"/>
        <v>DEMURRAGE</v>
      </c>
      <c r="U32" s="16" t="str">
        <f t="shared" si="4"/>
        <v>OK</v>
      </c>
      <c r="V32" s="16" t="str">
        <f t="shared" si="5"/>
        <v>2026-02</v>
      </c>
    </row>
    <row r="33" spans="2:22" x14ac:dyDescent="0.25">
      <c r="B33" s="16">
        <v>187293</v>
      </c>
      <c r="C33" s="16" t="s">
        <v>494</v>
      </c>
      <c r="D33" s="20" t="s">
        <v>31</v>
      </c>
      <c r="E33" s="17">
        <v>46079</v>
      </c>
      <c r="F33" s="20" t="s">
        <v>92</v>
      </c>
      <c r="G33" s="20" t="s">
        <v>93</v>
      </c>
      <c r="H33" s="20" t="s">
        <v>94</v>
      </c>
      <c r="I33" s="20" t="s">
        <v>167</v>
      </c>
      <c r="J33" s="20" t="s">
        <v>168</v>
      </c>
      <c r="K33" s="20" t="s">
        <v>38</v>
      </c>
      <c r="L33" s="20" t="s">
        <v>169</v>
      </c>
      <c r="M33" s="17">
        <v>46083</v>
      </c>
      <c r="N33" s="17">
        <v>46088</v>
      </c>
      <c r="O33" s="19">
        <f t="shared" si="0"/>
        <v>5</v>
      </c>
      <c r="P33" s="19">
        <f>IFERROR(VLOOKUP(B33,Deals[#All],7,FALSE),DEF_LAYTIME)</f>
        <v>2</v>
      </c>
      <c r="Q33" s="19">
        <f t="shared" si="1"/>
        <v>3</v>
      </c>
      <c r="R33" s="121">
        <f>IFERROR(VLOOKUP(B33,Deals[#All],8,FALSE),DEF_RATE)</f>
        <v>250</v>
      </c>
      <c r="S33" s="121">
        <f t="shared" si="2"/>
        <v>750</v>
      </c>
      <c r="T33" s="16" t="str">
        <f t="shared" si="3"/>
        <v>DEMURRAGE</v>
      </c>
      <c r="U33" s="16" t="str">
        <f t="shared" si="4"/>
        <v>OK</v>
      </c>
      <c r="V33" s="16" t="str">
        <f t="shared" si="5"/>
        <v>2026-02</v>
      </c>
    </row>
    <row r="34" spans="2:22" x14ac:dyDescent="0.25">
      <c r="B34" s="16">
        <v>187293</v>
      </c>
      <c r="C34" s="16" t="s">
        <v>494</v>
      </c>
      <c r="D34" s="20" t="s">
        <v>31</v>
      </c>
      <c r="E34" s="17">
        <v>46079</v>
      </c>
      <c r="F34" s="20" t="s">
        <v>92</v>
      </c>
      <c r="G34" s="20" t="s">
        <v>93</v>
      </c>
      <c r="H34" s="20" t="s">
        <v>94</v>
      </c>
      <c r="I34" s="20" t="s">
        <v>170</v>
      </c>
      <c r="J34" s="20" t="s">
        <v>171</v>
      </c>
      <c r="K34" s="20" t="s">
        <v>38</v>
      </c>
      <c r="L34" s="20" t="s">
        <v>172</v>
      </c>
      <c r="M34" s="17">
        <v>46082</v>
      </c>
      <c r="N34" s="17">
        <v>46086</v>
      </c>
      <c r="O34" s="19">
        <f t="shared" si="0"/>
        <v>4</v>
      </c>
      <c r="P34" s="19">
        <f>IFERROR(VLOOKUP(B34,Deals[#All],7,FALSE),DEF_LAYTIME)</f>
        <v>2</v>
      </c>
      <c r="Q34" s="19">
        <f t="shared" si="1"/>
        <v>2</v>
      </c>
      <c r="R34" s="121">
        <f>IFERROR(VLOOKUP(B34,Deals[#All],8,FALSE),DEF_RATE)</f>
        <v>250</v>
      </c>
      <c r="S34" s="121">
        <f t="shared" si="2"/>
        <v>500</v>
      </c>
      <c r="T34" s="16" t="str">
        <f t="shared" si="3"/>
        <v>DEMURRAGE</v>
      </c>
      <c r="U34" s="16" t="str">
        <f t="shared" si="4"/>
        <v>OK</v>
      </c>
      <c r="V34" s="16" t="str">
        <f t="shared" si="5"/>
        <v>2026-02</v>
      </c>
    </row>
    <row r="35" spans="2:22" x14ac:dyDescent="0.25">
      <c r="B35" s="16">
        <v>187293</v>
      </c>
      <c r="C35" s="16" t="s">
        <v>494</v>
      </c>
      <c r="D35" s="20" t="s">
        <v>31</v>
      </c>
      <c r="E35" s="17">
        <v>46079</v>
      </c>
      <c r="F35" s="20" t="s">
        <v>92</v>
      </c>
      <c r="G35" s="20" t="s">
        <v>93</v>
      </c>
      <c r="H35" s="20" t="s">
        <v>94</v>
      </c>
      <c r="I35" s="20" t="s">
        <v>173</v>
      </c>
      <c r="J35" s="20" t="s">
        <v>174</v>
      </c>
      <c r="K35" s="20" t="s">
        <v>38</v>
      </c>
      <c r="L35" s="20" t="s">
        <v>175</v>
      </c>
      <c r="M35" s="17">
        <v>46082</v>
      </c>
      <c r="N35" s="17">
        <v>46086</v>
      </c>
      <c r="O35" s="19">
        <f t="shared" si="0"/>
        <v>4</v>
      </c>
      <c r="P35" s="19">
        <f>IFERROR(VLOOKUP(B35,Deals[#All],7,FALSE),DEF_LAYTIME)</f>
        <v>2</v>
      </c>
      <c r="Q35" s="19">
        <f t="shared" si="1"/>
        <v>2</v>
      </c>
      <c r="R35" s="121">
        <f>IFERROR(VLOOKUP(B35,Deals[#All],8,FALSE),DEF_RATE)</f>
        <v>250</v>
      </c>
      <c r="S35" s="121">
        <f t="shared" si="2"/>
        <v>500</v>
      </c>
      <c r="T35" s="16" t="str">
        <f t="shared" si="3"/>
        <v>DEMURRAGE</v>
      </c>
      <c r="U35" s="16" t="str">
        <f t="shared" si="4"/>
        <v>OK</v>
      </c>
      <c r="V35" s="16" t="str">
        <f t="shared" si="5"/>
        <v>2026-02</v>
      </c>
    </row>
    <row r="36" spans="2:22" x14ac:dyDescent="0.25">
      <c r="B36" s="16">
        <v>187293</v>
      </c>
      <c r="C36" s="16" t="s">
        <v>494</v>
      </c>
      <c r="D36" s="20" t="s">
        <v>31</v>
      </c>
      <c r="E36" s="17">
        <v>46079</v>
      </c>
      <c r="F36" s="20" t="s">
        <v>92</v>
      </c>
      <c r="G36" s="20" t="s">
        <v>93</v>
      </c>
      <c r="H36" s="20" t="s">
        <v>94</v>
      </c>
      <c r="I36" s="20" t="s">
        <v>176</v>
      </c>
      <c r="J36" s="20" t="s">
        <v>177</v>
      </c>
      <c r="K36" s="20" t="s">
        <v>38</v>
      </c>
      <c r="L36" s="20" t="s">
        <v>178</v>
      </c>
      <c r="M36" s="17">
        <v>46083</v>
      </c>
      <c r="N36" s="17">
        <v>46087</v>
      </c>
      <c r="O36" s="19">
        <f t="shared" si="0"/>
        <v>4</v>
      </c>
      <c r="P36" s="19">
        <f>IFERROR(VLOOKUP(B36,Deals[#All],7,FALSE),DEF_LAYTIME)</f>
        <v>2</v>
      </c>
      <c r="Q36" s="19">
        <f t="shared" si="1"/>
        <v>2</v>
      </c>
      <c r="R36" s="121">
        <f>IFERROR(VLOOKUP(B36,Deals[#All],8,FALSE),DEF_RATE)</f>
        <v>250</v>
      </c>
      <c r="S36" s="121">
        <f t="shared" si="2"/>
        <v>500</v>
      </c>
      <c r="T36" s="16" t="str">
        <f t="shared" si="3"/>
        <v>DEMURRAGE</v>
      </c>
      <c r="U36" s="16" t="str">
        <f t="shared" si="4"/>
        <v>OK</v>
      </c>
      <c r="V36" s="16" t="str">
        <f t="shared" si="5"/>
        <v>2026-02</v>
      </c>
    </row>
    <row r="37" spans="2:22" x14ac:dyDescent="0.25">
      <c r="B37" s="16">
        <v>187293</v>
      </c>
      <c r="C37" s="16" t="s">
        <v>494</v>
      </c>
      <c r="D37" s="20" t="s">
        <v>31</v>
      </c>
      <c r="E37" s="17">
        <v>46079</v>
      </c>
      <c r="F37" s="20" t="s">
        <v>92</v>
      </c>
      <c r="G37" s="20" t="s">
        <v>93</v>
      </c>
      <c r="H37" s="20" t="s">
        <v>94</v>
      </c>
      <c r="I37" s="20" t="s">
        <v>179</v>
      </c>
      <c r="J37" s="20" t="s">
        <v>180</v>
      </c>
      <c r="K37" s="20" t="s">
        <v>38</v>
      </c>
      <c r="L37" s="20" t="s">
        <v>181</v>
      </c>
      <c r="M37" s="17">
        <v>46088</v>
      </c>
      <c r="N37" s="17">
        <v>46099</v>
      </c>
      <c r="O37" s="19">
        <f t="shared" si="0"/>
        <v>11</v>
      </c>
      <c r="P37" s="19">
        <f>IFERROR(VLOOKUP(B37,Deals[#All],7,FALSE),DEF_LAYTIME)</f>
        <v>2</v>
      </c>
      <c r="Q37" s="19">
        <f t="shared" si="1"/>
        <v>9</v>
      </c>
      <c r="R37" s="121">
        <f>IFERROR(VLOOKUP(B37,Deals[#All],8,FALSE),DEF_RATE)</f>
        <v>250</v>
      </c>
      <c r="S37" s="121">
        <f t="shared" si="2"/>
        <v>2250</v>
      </c>
      <c r="T37" s="16" t="str">
        <f t="shared" si="3"/>
        <v>DEMURRAGE</v>
      </c>
      <c r="U37" s="16" t="str">
        <f t="shared" si="4"/>
        <v>OK</v>
      </c>
      <c r="V37" s="16" t="str">
        <f t="shared" si="5"/>
        <v>2026-02</v>
      </c>
    </row>
    <row r="38" spans="2:22" x14ac:dyDescent="0.25">
      <c r="B38" s="16">
        <v>187293</v>
      </c>
      <c r="C38" s="16" t="s">
        <v>494</v>
      </c>
      <c r="D38" s="20" t="s">
        <v>31</v>
      </c>
      <c r="E38" s="17">
        <v>46079</v>
      </c>
      <c r="F38" s="20" t="s">
        <v>92</v>
      </c>
      <c r="G38" s="20" t="s">
        <v>93</v>
      </c>
      <c r="H38" s="20" t="s">
        <v>94</v>
      </c>
      <c r="I38" s="20" t="s">
        <v>182</v>
      </c>
      <c r="J38" s="20" t="s">
        <v>183</v>
      </c>
      <c r="K38" s="20" t="s">
        <v>38</v>
      </c>
      <c r="L38" s="20" t="s">
        <v>184</v>
      </c>
      <c r="M38" s="17">
        <v>46088</v>
      </c>
      <c r="N38" s="17">
        <v>46097</v>
      </c>
      <c r="O38" s="19">
        <f t="shared" si="0"/>
        <v>9</v>
      </c>
      <c r="P38" s="19">
        <f>IFERROR(VLOOKUP(B38,Deals[#All],7,FALSE),DEF_LAYTIME)</f>
        <v>2</v>
      </c>
      <c r="Q38" s="19">
        <f t="shared" si="1"/>
        <v>7</v>
      </c>
      <c r="R38" s="121">
        <f>IFERROR(VLOOKUP(B38,Deals[#All],8,FALSE),DEF_RATE)</f>
        <v>250</v>
      </c>
      <c r="S38" s="121">
        <f t="shared" si="2"/>
        <v>1750</v>
      </c>
      <c r="T38" s="16" t="str">
        <f t="shared" si="3"/>
        <v>DEMURRAGE</v>
      </c>
      <c r="U38" s="16" t="str">
        <f t="shared" si="4"/>
        <v>OK</v>
      </c>
      <c r="V38" s="16" t="str">
        <f t="shared" si="5"/>
        <v>2026-02</v>
      </c>
    </row>
    <row r="39" spans="2:22" x14ac:dyDescent="0.25">
      <c r="B39" s="16">
        <v>187293</v>
      </c>
      <c r="C39" s="16" t="s">
        <v>494</v>
      </c>
      <c r="D39" s="20" t="s">
        <v>31</v>
      </c>
      <c r="E39" s="17">
        <v>46079</v>
      </c>
      <c r="F39" s="20" t="s">
        <v>92</v>
      </c>
      <c r="G39" s="20" t="s">
        <v>93</v>
      </c>
      <c r="H39" s="20" t="s">
        <v>94</v>
      </c>
      <c r="I39" s="20" t="s">
        <v>185</v>
      </c>
      <c r="J39" s="20" t="s">
        <v>186</v>
      </c>
      <c r="K39" s="20" t="s">
        <v>38</v>
      </c>
      <c r="L39" s="20" t="s">
        <v>187</v>
      </c>
      <c r="M39" s="17">
        <v>46082</v>
      </c>
      <c r="N39" s="17">
        <v>46086</v>
      </c>
      <c r="O39" s="19">
        <f t="shared" ref="O39:O70" si="6">IF(OR(M39="",N39=""),"",N39-M39)</f>
        <v>4</v>
      </c>
      <c r="P39" s="19">
        <f>IFERROR(VLOOKUP(B39,Deals[#All],7,FALSE),DEF_LAYTIME)</f>
        <v>2</v>
      </c>
      <c r="Q39" s="19">
        <f t="shared" ref="Q39:Q70" si="7">IF(O39="","",MAX(0,O39-P39))</f>
        <v>2</v>
      </c>
      <c r="R39" s="121">
        <f>IFERROR(VLOOKUP(B39,Deals[#All],8,FALSE),DEF_RATE)</f>
        <v>250</v>
      </c>
      <c r="S39" s="121">
        <f t="shared" ref="S39:S70" si="8">IF(Q39="","",Q39*R39)</f>
        <v>500</v>
      </c>
      <c r="T39" s="16" t="str">
        <f t="shared" ref="T39:T70" si="9">IF(O39="","PENDING",IF(Q39&gt;0,"DEMURRAGE","ON-TIME"))</f>
        <v>DEMURRAGE</v>
      </c>
      <c r="U39" s="16" t="str">
        <f t="shared" ref="U39:U70" si="10">IF(AND(E39&lt;&gt;"",M39&lt;&gt;"",M39&lt;E39),"⚠ Arr&lt;Loaded",IF(AND(M39&lt;&gt;"",N39&lt;&gt;"",N39&lt;M39),"⚠ Off&lt;Arr","OK"))</f>
        <v>OK</v>
      </c>
      <c r="V39" s="16" t="str">
        <f t="shared" ref="V39:V70" si="11">IF(E39="","",TEXT(E39,"yyyy-mm"))</f>
        <v>2026-02</v>
      </c>
    </row>
    <row r="40" spans="2:22" x14ac:dyDescent="0.25">
      <c r="B40" s="16">
        <v>187293</v>
      </c>
      <c r="C40" s="16" t="s">
        <v>494</v>
      </c>
      <c r="D40" s="20" t="s">
        <v>31</v>
      </c>
      <c r="E40" s="17">
        <v>46087</v>
      </c>
      <c r="F40" s="20" t="s">
        <v>92</v>
      </c>
      <c r="G40" s="20" t="s">
        <v>93</v>
      </c>
      <c r="H40" s="20" t="s">
        <v>94</v>
      </c>
      <c r="I40" s="20" t="s">
        <v>95</v>
      </c>
      <c r="J40" s="20" t="s">
        <v>96</v>
      </c>
      <c r="K40" s="20" t="s">
        <v>41</v>
      </c>
      <c r="L40" s="20" t="s">
        <v>188</v>
      </c>
      <c r="M40" s="17">
        <v>46092</v>
      </c>
      <c r="N40" s="17">
        <v>46106</v>
      </c>
      <c r="O40" s="19">
        <f t="shared" si="6"/>
        <v>14</v>
      </c>
      <c r="P40" s="19">
        <f>IFERROR(VLOOKUP(B40,Deals[#All],7,FALSE),DEF_LAYTIME)</f>
        <v>2</v>
      </c>
      <c r="Q40" s="19">
        <f t="shared" si="7"/>
        <v>12</v>
      </c>
      <c r="R40" s="121">
        <f>IFERROR(VLOOKUP(B40,Deals[#All],8,FALSE),DEF_RATE)</f>
        <v>250</v>
      </c>
      <c r="S40" s="121">
        <f t="shared" si="8"/>
        <v>3000</v>
      </c>
      <c r="T40" s="16" t="str">
        <f t="shared" si="9"/>
        <v>DEMURRAGE</v>
      </c>
      <c r="U40" s="16" t="str">
        <f t="shared" si="10"/>
        <v>OK</v>
      </c>
      <c r="V40" s="16" t="str">
        <f t="shared" si="11"/>
        <v>2026-03</v>
      </c>
    </row>
    <row r="41" spans="2:22" x14ac:dyDescent="0.25">
      <c r="B41" s="16">
        <v>187293</v>
      </c>
      <c r="C41" s="16" t="s">
        <v>494</v>
      </c>
      <c r="D41" s="20" t="s">
        <v>31</v>
      </c>
      <c r="E41" s="17">
        <v>46086</v>
      </c>
      <c r="F41" s="20" t="s">
        <v>92</v>
      </c>
      <c r="G41" s="20" t="s">
        <v>93</v>
      </c>
      <c r="H41" s="20" t="s">
        <v>94</v>
      </c>
      <c r="I41" s="20" t="s">
        <v>107</v>
      </c>
      <c r="J41" s="20" t="s">
        <v>108</v>
      </c>
      <c r="K41" s="20" t="s">
        <v>41</v>
      </c>
      <c r="L41" s="20" t="s">
        <v>189</v>
      </c>
      <c r="M41" s="17">
        <v>46093</v>
      </c>
      <c r="N41" s="17">
        <v>46107</v>
      </c>
      <c r="O41" s="19">
        <f t="shared" si="6"/>
        <v>14</v>
      </c>
      <c r="P41" s="19">
        <f>IFERROR(VLOOKUP(B41,Deals[#All],7,FALSE),DEF_LAYTIME)</f>
        <v>2</v>
      </c>
      <c r="Q41" s="19">
        <f t="shared" si="7"/>
        <v>12</v>
      </c>
      <c r="R41" s="121">
        <f>IFERROR(VLOOKUP(B41,Deals[#All],8,FALSE),DEF_RATE)</f>
        <v>250</v>
      </c>
      <c r="S41" s="121">
        <f t="shared" si="8"/>
        <v>3000</v>
      </c>
      <c r="T41" s="16" t="str">
        <f t="shared" si="9"/>
        <v>DEMURRAGE</v>
      </c>
      <c r="U41" s="16" t="str">
        <f t="shared" si="10"/>
        <v>OK</v>
      </c>
      <c r="V41" s="16" t="str">
        <f t="shared" si="11"/>
        <v>2026-03</v>
      </c>
    </row>
    <row r="42" spans="2:22" x14ac:dyDescent="0.25">
      <c r="B42" s="16">
        <v>187293</v>
      </c>
      <c r="C42" s="16" t="s">
        <v>494</v>
      </c>
      <c r="D42" s="20" t="s">
        <v>31</v>
      </c>
      <c r="E42" s="17">
        <v>46086</v>
      </c>
      <c r="F42" s="20" t="s">
        <v>92</v>
      </c>
      <c r="G42" s="20" t="s">
        <v>93</v>
      </c>
      <c r="H42" s="20" t="s">
        <v>94</v>
      </c>
      <c r="I42" s="20" t="s">
        <v>104</v>
      </c>
      <c r="J42" s="20" t="s">
        <v>105</v>
      </c>
      <c r="K42" s="20" t="s">
        <v>41</v>
      </c>
      <c r="L42" s="20" t="s">
        <v>190</v>
      </c>
      <c r="M42" s="17">
        <v>46092</v>
      </c>
      <c r="N42" s="17">
        <v>46105</v>
      </c>
      <c r="O42" s="19">
        <f t="shared" si="6"/>
        <v>13</v>
      </c>
      <c r="P42" s="19">
        <f>IFERROR(VLOOKUP(B42,Deals[#All],7,FALSE),DEF_LAYTIME)</f>
        <v>2</v>
      </c>
      <c r="Q42" s="19">
        <f t="shared" si="7"/>
        <v>11</v>
      </c>
      <c r="R42" s="121">
        <f>IFERROR(VLOOKUP(B42,Deals[#All],8,FALSE),DEF_RATE)</f>
        <v>250</v>
      </c>
      <c r="S42" s="121">
        <f t="shared" si="8"/>
        <v>2750</v>
      </c>
      <c r="T42" s="16" t="str">
        <f t="shared" si="9"/>
        <v>DEMURRAGE</v>
      </c>
      <c r="U42" s="16" t="str">
        <f t="shared" si="10"/>
        <v>OK</v>
      </c>
      <c r="V42" s="16" t="str">
        <f t="shared" si="11"/>
        <v>2026-03</v>
      </c>
    </row>
    <row r="43" spans="2:22" x14ac:dyDescent="0.25">
      <c r="B43" s="16">
        <v>187293</v>
      </c>
      <c r="C43" s="16" t="s">
        <v>494</v>
      </c>
      <c r="D43" s="20" t="s">
        <v>31</v>
      </c>
      <c r="E43" s="17">
        <v>46086</v>
      </c>
      <c r="F43" s="20" t="s">
        <v>92</v>
      </c>
      <c r="G43" s="20" t="s">
        <v>93</v>
      </c>
      <c r="H43" s="20" t="s">
        <v>94</v>
      </c>
      <c r="I43" s="20" t="s">
        <v>98</v>
      </c>
      <c r="J43" s="20" t="s">
        <v>99</v>
      </c>
      <c r="K43" s="20" t="s">
        <v>41</v>
      </c>
      <c r="L43" s="20" t="s">
        <v>191</v>
      </c>
      <c r="M43" s="17">
        <v>46093</v>
      </c>
      <c r="N43" s="17">
        <v>46107</v>
      </c>
      <c r="O43" s="19">
        <f t="shared" si="6"/>
        <v>14</v>
      </c>
      <c r="P43" s="19">
        <f>IFERROR(VLOOKUP(B43,Deals[#All],7,FALSE),DEF_LAYTIME)</f>
        <v>2</v>
      </c>
      <c r="Q43" s="19">
        <f t="shared" si="7"/>
        <v>12</v>
      </c>
      <c r="R43" s="121">
        <f>IFERROR(VLOOKUP(B43,Deals[#All],8,FALSE),DEF_RATE)</f>
        <v>250</v>
      </c>
      <c r="S43" s="121">
        <f t="shared" si="8"/>
        <v>3000</v>
      </c>
      <c r="T43" s="16" t="str">
        <f t="shared" si="9"/>
        <v>DEMURRAGE</v>
      </c>
      <c r="U43" s="16" t="str">
        <f t="shared" si="10"/>
        <v>OK</v>
      </c>
      <c r="V43" s="16" t="str">
        <f t="shared" si="11"/>
        <v>2026-03</v>
      </c>
    </row>
    <row r="44" spans="2:22" x14ac:dyDescent="0.25">
      <c r="B44" s="16">
        <v>187293</v>
      </c>
      <c r="C44" s="16" t="s">
        <v>494</v>
      </c>
      <c r="D44" s="20" t="s">
        <v>31</v>
      </c>
      <c r="E44" s="17">
        <v>46085</v>
      </c>
      <c r="F44" s="20" t="s">
        <v>92</v>
      </c>
      <c r="G44" s="20" t="s">
        <v>93</v>
      </c>
      <c r="H44" s="20" t="s">
        <v>94</v>
      </c>
      <c r="I44" s="20" t="s">
        <v>192</v>
      </c>
      <c r="J44" s="20" t="s">
        <v>193</v>
      </c>
      <c r="K44" s="20" t="s">
        <v>41</v>
      </c>
      <c r="L44" s="20" t="s">
        <v>194</v>
      </c>
      <c r="M44" s="17">
        <v>46092</v>
      </c>
      <c r="N44" s="17">
        <v>46105</v>
      </c>
      <c r="O44" s="19">
        <f t="shared" si="6"/>
        <v>13</v>
      </c>
      <c r="P44" s="19">
        <f>IFERROR(VLOOKUP(B44,Deals[#All],7,FALSE),DEF_LAYTIME)</f>
        <v>2</v>
      </c>
      <c r="Q44" s="19">
        <f t="shared" si="7"/>
        <v>11</v>
      </c>
      <c r="R44" s="121">
        <f>IFERROR(VLOOKUP(B44,Deals[#All],8,FALSE),DEF_RATE)</f>
        <v>250</v>
      </c>
      <c r="S44" s="121">
        <f t="shared" si="8"/>
        <v>2750</v>
      </c>
      <c r="T44" s="16" t="str">
        <f t="shared" si="9"/>
        <v>DEMURRAGE</v>
      </c>
      <c r="U44" s="16" t="str">
        <f t="shared" si="10"/>
        <v>OK</v>
      </c>
      <c r="V44" s="16" t="str">
        <f t="shared" si="11"/>
        <v>2026-03</v>
      </c>
    </row>
    <row r="45" spans="2:22" x14ac:dyDescent="0.25">
      <c r="B45" s="16">
        <v>187293</v>
      </c>
      <c r="C45" s="16" t="s">
        <v>494</v>
      </c>
      <c r="D45" s="20" t="s">
        <v>31</v>
      </c>
      <c r="E45" s="17">
        <v>46085</v>
      </c>
      <c r="F45" s="20" t="s">
        <v>92</v>
      </c>
      <c r="G45" s="20" t="s">
        <v>93</v>
      </c>
      <c r="H45" s="20" t="s">
        <v>94</v>
      </c>
      <c r="I45" s="20" t="s">
        <v>195</v>
      </c>
      <c r="J45" s="20" t="s">
        <v>196</v>
      </c>
      <c r="K45" s="20" t="s">
        <v>41</v>
      </c>
      <c r="L45" s="20" t="s">
        <v>197</v>
      </c>
      <c r="M45" s="17">
        <v>46092</v>
      </c>
      <c r="N45" s="17">
        <v>46105</v>
      </c>
      <c r="O45" s="19">
        <f t="shared" si="6"/>
        <v>13</v>
      </c>
      <c r="P45" s="19">
        <f>IFERROR(VLOOKUP(B45,Deals[#All],7,FALSE),DEF_LAYTIME)</f>
        <v>2</v>
      </c>
      <c r="Q45" s="19">
        <f t="shared" si="7"/>
        <v>11</v>
      </c>
      <c r="R45" s="121">
        <f>IFERROR(VLOOKUP(B45,Deals[#All],8,FALSE),DEF_RATE)</f>
        <v>250</v>
      </c>
      <c r="S45" s="121">
        <f t="shared" si="8"/>
        <v>2750</v>
      </c>
      <c r="T45" s="16" t="str">
        <f t="shared" si="9"/>
        <v>DEMURRAGE</v>
      </c>
      <c r="U45" s="16" t="str">
        <f t="shared" si="10"/>
        <v>OK</v>
      </c>
      <c r="V45" s="16" t="str">
        <f t="shared" si="11"/>
        <v>2026-03</v>
      </c>
    </row>
    <row r="46" spans="2:22" x14ac:dyDescent="0.25">
      <c r="B46" s="16">
        <v>187293</v>
      </c>
      <c r="C46" s="16" t="s">
        <v>494</v>
      </c>
      <c r="D46" s="20" t="s">
        <v>31</v>
      </c>
      <c r="E46" s="17">
        <v>46085</v>
      </c>
      <c r="F46" s="20" t="s">
        <v>92</v>
      </c>
      <c r="G46" s="20" t="s">
        <v>93</v>
      </c>
      <c r="H46" s="20" t="s">
        <v>94</v>
      </c>
      <c r="I46" s="20" t="s">
        <v>116</v>
      </c>
      <c r="J46" s="20" t="s">
        <v>117</v>
      </c>
      <c r="K46" s="20" t="s">
        <v>41</v>
      </c>
      <c r="L46" s="20" t="s">
        <v>198</v>
      </c>
      <c r="M46" s="17">
        <v>46092</v>
      </c>
      <c r="N46" s="17">
        <v>46097</v>
      </c>
      <c r="O46" s="19">
        <f t="shared" si="6"/>
        <v>5</v>
      </c>
      <c r="P46" s="19">
        <f>IFERROR(VLOOKUP(B46,Deals[#All],7,FALSE),DEF_LAYTIME)</f>
        <v>2</v>
      </c>
      <c r="Q46" s="19">
        <f t="shared" si="7"/>
        <v>3</v>
      </c>
      <c r="R46" s="121">
        <f>IFERROR(VLOOKUP(B46,Deals[#All],8,FALSE),DEF_RATE)</f>
        <v>250</v>
      </c>
      <c r="S46" s="121">
        <f t="shared" si="8"/>
        <v>750</v>
      </c>
      <c r="T46" s="16" t="str">
        <f t="shared" si="9"/>
        <v>DEMURRAGE</v>
      </c>
      <c r="U46" s="16" t="str">
        <f t="shared" si="10"/>
        <v>OK</v>
      </c>
      <c r="V46" s="16" t="str">
        <f t="shared" si="11"/>
        <v>2026-03</v>
      </c>
    </row>
    <row r="47" spans="2:22" x14ac:dyDescent="0.25">
      <c r="B47" s="16">
        <v>187293</v>
      </c>
      <c r="C47" s="16" t="s">
        <v>494</v>
      </c>
      <c r="D47" s="20" t="s">
        <v>31</v>
      </c>
      <c r="E47" s="17">
        <v>46085</v>
      </c>
      <c r="F47" s="20" t="s">
        <v>92</v>
      </c>
      <c r="G47" s="20" t="s">
        <v>93</v>
      </c>
      <c r="H47" s="20" t="s">
        <v>94</v>
      </c>
      <c r="I47" s="20" t="s">
        <v>110</v>
      </c>
      <c r="J47" s="20" t="s">
        <v>111</v>
      </c>
      <c r="K47" s="20" t="s">
        <v>41</v>
      </c>
      <c r="L47" s="20" t="s">
        <v>199</v>
      </c>
      <c r="M47" s="17">
        <v>46092</v>
      </c>
      <c r="N47" s="17">
        <v>46102</v>
      </c>
      <c r="O47" s="19">
        <f t="shared" si="6"/>
        <v>10</v>
      </c>
      <c r="P47" s="19">
        <f>IFERROR(VLOOKUP(B47,Deals[#All],7,FALSE),DEF_LAYTIME)</f>
        <v>2</v>
      </c>
      <c r="Q47" s="19">
        <f t="shared" si="7"/>
        <v>8</v>
      </c>
      <c r="R47" s="121">
        <f>IFERROR(VLOOKUP(B47,Deals[#All],8,FALSE),DEF_RATE)</f>
        <v>250</v>
      </c>
      <c r="S47" s="121">
        <f t="shared" si="8"/>
        <v>2000</v>
      </c>
      <c r="T47" s="16" t="str">
        <f t="shared" si="9"/>
        <v>DEMURRAGE</v>
      </c>
      <c r="U47" s="16" t="str">
        <f t="shared" si="10"/>
        <v>OK</v>
      </c>
      <c r="V47" s="16" t="str">
        <f t="shared" si="11"/>
        <v>2026-03</v>
      </c>
    </row>
    <row r="48" spans="2:22" x14ac:dyDescent="0.25">
      <c r="B48" s="16">
        <v>187293</v>
      </c>
      <c r="C48" s="16" t="s">
        <v>494</v>
      </c>
      <c r="D48" s="20" t="s">
        <v>31</v>
      </c>
      <c r="E48" s="17">
        <v>46085</v>
      </c>
      <c r="F48" s="20" t="s">
        <v>92</v>
      </c>
      <c r="G48" s="20" t="s">
        <v>93</v>
      </c>
      <c r="H48" s="20" t="s">
        <v>94</v>
      </c>
      <c r="I48" s="20" t="s">
        <v>113</v>
      </c>
      <c r="J48" s="20" t="s">
        <v>114</v>
      </c>
      <c r="K48" s="20" t="s">
        <v>41</v>
      </c>
      <c r="L48" s="20" t="s">
        <v>200</v>
      </c>
      <c r="M48" s="17">
        <v>46092</v>
      </c>
      <c r="N48" s="17">
        <v>46104</v>
      </c>
      <c r="O48" s="19">
        <f t="shared" si="6"/>
        <v>12</v>
      </c>
      <c r="P48" s="19">
        <f>IFERROR(VLOOKUP(B48,Deals[#All],7,FALSE),DEF_LAYTIME)</f>
        <v>2</v>
      </c>
      <c r="Q48" s="19">
        <f t="shared" si="7"/>
        <v>10</v>
      </c>
      <c r="R48" s="121">
        <f>IFERROR(VLOOKUP(B48,Deals[#All],8,FALSE),DEF_RATE)</f>
        <v>250</v>
      </c>
      <c r="S48" s="121">
        <f t="shared" si="8"/>
        <v>2500</v>
      </c>
      <c r="T48" s="16" t="str">
        <f t="shared" si="9"/>
        <v>DEMURRAGE</v>
      </c>
      <c r="U48" s="16" t="str">
        <f t="shared" si="10"/>
        <v>OK</v>
      </c>
      <c r="V48" s="16" t="str">
        <f t="shared" si="11"/>
        <v>2026-03</v>
      </c>
    </row>
    <row r="49" spans="2:22" x14ac:dyDescent="0.25">
      <c r="B49" s="16">
        <v>187293</v>
      </c>
      <c r="C49" s="16" t="s">
        <v>494</v>
      </c>
      <c r="D49" s="20" t="s">
        <v>31</v>
      </c>
      <c r="E49" s="17">
        <v>46093</v>
      </c>
      <c r="F49" s="20" t="s">
        <v>92</v>
      </c>
      <c r="G49" s="20" t="s">
        <v>93</v>
      </c>
      <c r="H49" s="20" t="s">
        <v>94</v>
      </c>
      <c r="I49" s="20" t="s">
        <v>101</v>
      </c>
      <c r="J49" s="20" t="s">
        <v>102</v>
      </c>
      <c r="K49" s="20" t="s">
        <v>41</v>
      </c>
      <c r="L49" s="20" t="s">
        <v>201</v>
      </c>
      <c r="M49" s="17">
        <v>46098</v>
      </c>
      <c r="N49" s="17">
        <v>46108</v>
      </c>
      <c r="O49" s="19">
        <f t="shared" si="6"/>
        <v>10</v>
      </c>
      <c r="P49" s="19">
        <f>IFERROR(VLOOKUP(B49,Deals[#All],7,FALSE),DEF_LAYTIME)</f>
        <v>2</v>
      </c>
      <c r="Q49" s="19">
        <f t="shared" si="7"/>
        <v>8</v>
      </c>
      <c r="R49" s="121">
        <f>IFERROR(VLOOKUP(B49,Deals[#All],8,FALSE),DEF_RATE)</f>
        <v>250</v>
      </c>
      <c r="S49" s="121">
        <f t="shared" si="8"/>
        <v>2000</v>
      </c>
      <c r="T49" s="16" t="str">
        <f t="shared" si="9"/>
        <v>DEMURRAGE</v>
      </c>
      <c r="U49" s="16" t="str">
        <f t="shared" si="10"/>
        <v>OK</v>
      </c>
      <c r="V49" s="16" t="str">
        <f t="shared" si="11"/>
        <v>2026-03</v>
      </c>
    </row>
    <row r="50" spans="2:22" x14ac:dyDescent="0.25">
      <c r="B50" s="16">
        <v>187296</v>
      </c>
      <c r="C50" s="16" t="s">
        <v>495</v>
      </c>
      <c r="D50" s="20" t="s">
        <v>34</v>
      </c>
      <c r="E50" s="17">
        <v>46072</v>
      </c>
      <c r="F50" s="20" t="s">
        <v>92</v>
      </c>
      <c r="G50" s="20" t="s">
        <v>93</v>
      </c>
      <c r="H50" s="20" t="s">
        <v>94</v>
      </c>
      <c r="I50" s="20" t="s">
        <v>202</v>
      </c>
      <c r="J50" s="20" t="s">
        <v>123</v>
      </c>
      <c r="K50" s="20" t="s">
        <v>39</v>
      </c>
      <c r="L50" s="20" t="s">
        <v>203</v>
      </c>
      <c r="M50" s="17">
        <v>46076</v>
      </c>
      <c r="N50" s="17">
        <v>46084</v>
      </c>
      <c r="O50" s="19">
        <f t="shared" si="6"/>
        <v>8</v>
      </c>
      <c r="P50" s="19">
        <f>IFERROR(VLOOKUP(B50,Deals[#All],7,FALSE),DEF_LAYTIME)</f>
        <v>2</v>
      </c>
      <c r="Q50" s="19">
        <f t="shared" si="7"/>
        <v>6</v>
      </c>
      <c r="R50" s="121">
        <f>IFERROR(VLOOKUP(B50,Deals[#All],8,FALSE),DEF_RATE)</f>
        <v>250</v>
      </c>
      <c r="S50" s="121">
        <f t="shared" si="8"/>
        <v>1500</v>
      </c>
      <c r="T50" s="16" t="str">
        <f t="shared" si="9"/>
        <v>DEMURRAGE</v>
      </c>
      <c r="U50" s="16" t="str">
        <f t="shared" si="10"/>
        <v>OK</v>
      </c>
      <c r="V50" s="16" t="str">
        <f t="shared" si="11"/>
        <v>2026-02</v>
      </c>
    </row>
    <row r="51" spans="2:22" x14ac:dyDescent="0.25">
      <c r="B51" s="16">
        <v>187296</v>
      </c>
      <c r="C51" s="16" t="s">
        <v>495</v>
      </c>
      <c r="D51" s="20" t="s">
        <v>34</v>
      </c>
      <c r="E51" s="17">
        <v>46072</v>
      </c>
      <c r="F51" s="20" t="s">
        <v>92</v>
      </c>
      <c r="G51" s="20" t="s">
        <v>93</v>
      </c>
      <c r="H51" s="20" t="s">
        <v>94</v>
      </c>
      <c r="I51" s="20" t="s">
        <v>204</v>
      </c>
      <c r="J51" s="20" t="s">
        <v>205</v>
      </c>
      <c r="K51" s="20" t="s">
        <v>39</v>
      </c>
      <c r="L51" s="20" t="s">
        <v>206</v>
      </c>
      <c r="M51" s="17">
        <v>46076</v>
      </c>
      <c r="N51" s="17">
        <v>46080</v>
      </c>
      <c r="O51" s="19">
        <f t="shared" si="6"/>
        <v>4</v>
      </c>
      <c r="P51" s="19">
        <f>IFERROR(VLOOKUP(B51,Deals[#All],7,FALSE),DEF_LAYTIME)</f>
        <v>2</v>
      </c>
      <c r="Q51" s="19">
        <f t="shared" si="7"/>
        <v>2</v>
      </c>
      <c r="R51" s="121">
        <f>IFERROR(VLOOKUP(B51,Deals[#All],8,FALSE),DEF_RATE)</f>
        <v>250</v>
      </c>
      <c r="S51" s="121">
        <f t="shared" si="8"/>
        <v>500</v>
      </c>
      <c r="T51" s="16" t="str">
        <f t="shared" si="9"/>
        <v>DEMURRAGE</v>
      </c>
      <c r="U51" s="16" t="str">
        <f t="shared" si="10"/>
        <v>OK</v>
      </c>
      <c r="V51" s="16" t="str">
        <f t="shared" si="11"/>
        <v>2026-02</v>
      </c>
    </row>
    <row r="52" spans="2:22" x14ac:dyDescent="0.25">
      <c r="B52" s="16">
        <v>187296</v>
      </c>
      <c r="C52" s="16" t="s">
        <v>495</v>
      </c>
      <c r="D52" s="20" t="s">
        <v>34</v>
      </c>
      <c r="E52" s="17">
        <v>46072</v>
      </c>
      <c r="F52" s="20" t="s">
        <v>92</v>
      </c>
      <c r="G52" s="20" t="s">
        <v>93</v>
      </c>
      <c r="H52" s="20" t="s">
        <v>94</v>
      </c>
      <c r="I52" s="20" t="s">
        <v>207</v>
      </c>
      <c r="J52" s="20" t="s">
        <v>208</v>
      </c>
      <c r="K52" s="20" t="s">
        <v>39</v>
      </c>
      <c r="L52" s="20" t="s">
        <v>124</v>
      </c>
      <c r="M52" s="17">
        <v>46076</v>
      </c>
      <c r="N52" s="17">
        <v>46080</v>
      </c>
      <c r="O52" s="19">
        <f t="shared" si="6"/>
        <v>4</v>
      </c>
      <c r="P52" s="19">
        <f>IFERROR(VLOOKUP(B52,Deals[#All],7,FALSE),DEF_LAYTIME)</f>
        <v>2</v>
      </c>
      <c r="Q52" s="19">
        <f t="shared" si="7"/>
        <v>2</v>
      </c>
      <c r="R52" s="121">
        <f>IFERROR(VLOOKUP(B52,Deals[#All],8,FALSE),DEF_RATE)</f>
        <v>250</v>
      </c>
      <c r="S52" s="121">
        <f t="shared" si="8"/>
        <v>500</v>
      </c>
      <c r="T52" s="16" t="str">
        <f t="shared" si="9"/>
        <v>DEMURRAGE</v>
      </c>
      <c r="U52" s="16" t="str">
        <f t="shared" si="10"/>
        <v>OK</v>
      </c>
      <c r="V52" s="16" t="str">
        <f t="shared" si="11"/>
        <v>2026-02</v>
      </c>
    </row>
    <row r="53" spans="2:22" x14ac:dyDescent="0.25">
      <c r="B53" s="16">
        <v>187296</v>
      </c>
      <c r="C53" s="16" t="s">
        <v>495</v>
      </c>
      <c r="D53" s="20" t="s">
        <v>34</v>
      </c>
      <c r="E53" s="17">
        <v>46072</v>
      </c>
      <c r="F53" s="20" t="s">
        <v>92</v>
      </c>
      <c r="G53" s="20" t="s">
        <v>93</v>
      </c>
      <c r="H53" s="20" t="s">
        <v>94</v>
      </c>
      <c r="I53" s="20" t="s">
        <v>209</v>
      </c>
      <c r="J53" s="20" t="s">
        <v>210</v>
      </c>
      <c r="K53" s="20" t="s">
        <v>39</v>
      </c>
      <c r="L53" s="20" t="s">
        <v>211</v>
      </c>
      <c r="M53" s="17">
        <v>46076</v>
      </c>
      <c r="N53" s="17">
        <v>46084</v>
      </c>
      <c r="O53" s="19">
        <f t="shared" si="6"/>
        <v>8</v>
      </c>
      <c r="P53" s="19">
        <f>IFERROR(VLOOKUP(B53,Deals[#All],7,FALSE),DEF_LAYTIME)</f>
        <v>2</v>
      </c>
      <c r="Q53" s="19">
        <f t="shared" si="7"/>
        <v>6</v>
      </c>
      <c r="R53" s="121">
        <f>IFERROR(VLOOKUP(B53,Deals[#All],8,FALSE),DEF_RATE)</f>
        <v>250</v>
      </c>
      <c r="S53" s="121">
        <f t="shared" si="8"/>
        <v>1500</v>
      </c>
      <c r="T53" s="16" t="str">
        <f t="shared" si="9"/>
        <v>DEMURRAGE</v>
      </c>
      <c r="U53" s="16" t="str">
        <f t="shared" si="10"/>
        <v>OK</v>
      </c>
      <c r="V53" s="16" t="str">
        <f t="shared" si="11"/>
        <v>2026-02</v>
      </c>
    </row>
    <row r="54" spans="2:22" x14ac:dyDescent="0.25">
      <c r="B54" s="16">
        <v>187296</v>
      </c>
      <c r="C54" s="16" t="s">
        <v>495</v>
      </c>
      <c r="D54" s="20" t="s">
        <v>34</v>
      </c>
      <c r="E54" s="17">
        <v>46072</v>
      </c>
      <c r="F54" s="20" t="s">
        <v>92</v>
      </c>
      <c r="G54" s="20" t="s">
        <v>93</v>
      </c>
      <c r="H54" s="20" t="s">
        <v>94</v>
      </c>
      <c r="I54" s="20" t="s">
        <v>212</v>
      </c>
      <c r="J54" s="20" t="s">
        <v>213</v>
      </c>
      <c r="K54" s="20" t="s">
        <v>39</v>
      </c>
      <c r="L54" s="20" t="s">
        <v>214</v>
      </c>
      <c r="M54" s="17">
        <v>46076</v>
      </c>
      <c r="N54" s="17">
        <v>46087</v>
      </c>
      <c r="O54" s="19">
        <f t="shared" si="6"/>
        <v>11</v>
      </c>
      <c r="P54" s="19">
        <f>IFERROR(VLOOKUP(B54,Deals[#All],7,FALSE),DEF_LAYTIME)</f>
        <v>2</v>
      </c>
      <c r="Q54" s="19">
        <f t="shared" si="7"/>
        <v>9</v>
      </c>
      <c r="R54" s="121">
        <f>IFERROR(VLOOKUP(B54,Deals[#All],8,FALSE),DEF_RATE)</f>
        <v>250</v>
      </c>
      <c r="S54" s="121">
        <f t="shared" si="8"/>
        <v>2250</v>
      </c>
      <c r="T54" s="16" t="str">
        <f t="shared" si="9"/>
        <v>DEMURRAGE</v>
      </c>
      <c r="U54" s="16" t="str">
        <f t="shared" si="10"/>
        <v>OK</v>
      </c>
      <c r="V54" s="16" t="str">
        <f t="shared" si="11"/>
        <v>2026-02</v>
      </c>
    </row>
    <row r="55" spans="2:22" x14ac:dyDescent="0.25">
      <c r="B55" s="16">
        <v>187296</v>
      </c>
      <c r="C55" s="16" t="s">
        <v>495</v>
      </c>
      <c r="D55" s="20" t="s">
        <v>34</v>
      </c>
      <c r="E55" s="17">
        <v>46072</v>
      </c>
      <c r="F55" s="20" t="s">
        <v>92</v>
      </c>
      <c r="G55" s="20" t="s">
        <v>93</v>
      </c>
      <c r="H55" s="20" t="s">
        <v>94</v>
      </c>
      <c r="I55" s="20" t="s">
        <v>215</v>
      </c>
      <c r="J55" s="20" t="s">
        <v>216</v>
      </c>
      <c r="K55" s="20" t="s">
        <v>39</v>
      </c>
      <c r="L55" s="20" t="s">
        <v>217</v>
      </c>
      <c r="M55" s="17">
        <v>46077</v>
      </c>
      <c r="N55" s="17">
        <v>46087</v>
      </c>
      <c r="O55" s="19">
        <f t="shared" si="6"/>
        <v>10</v>
      </c>
      <c r="P55" s="19">
        <f>IFERROR(VLOOKUP(B55,Deals[#All],7,FALSE),DEF_LAYTIME)</f>
        <v>2</v>
      </c>
      <c r="Q55" s="19">
        <f t="shared" si="7"/>
        <v>8</v>
      </c>
      <c r="R55" s="121">
        <f>IFERROR(VLOOKUP(B55,Deals[#All],8,FALSE),DEF_RATE)</f>
        <v>250</v>
      </c>
      <c r="S55" s="121">
        <f t="shared" si="8"/>
        <v>2000</v>
      </c>
      <c r="T55" s="16" t="str">
        <f t="shared" si="9"/>
        <v>DEMURRAGE</v>
      </c>
      <c r="U55" s="16" t="str">
        <f t="shared" si="10"/>
        <v>OK</v>
      </c>
      <c r="V55" s="16" t="str">
        <f t="shared" si="11"/>
        <v>2026-02</v>
      </c>
    </row>
    <row r="56" spans="2:22" x14ac:dyDescent="0.25">
      <c r="B56" s="16">
        <v>187296</v>
      </c>
      <c r="C56" s="16" t="s">
        <v>495</v>
      </c>
      <c r="D56" s="20" t="s">
        <v>34</v>
      </c>
      <c r="E56" s="17">
        <v>46072</v>
      </c>
      <c r="F56" s="20" t="s">
        <v>92</v>
      </c>
      <c r="G56" s="20" t="s">
        <v>93</v>
      </c>
      <c r="H56" s="20" t="s">
        <v>94</v>
      </c>
      <c r="I56" s="20" t="s">
        <v>218</v>
      </c>
      <c r="J56" s="20" t="s">
        <v>219</v>
      </c>
      <c r="K56" s="20" t="s">
        <v>39</v>
      </c>
      <c r="L56" s="20" t="s">
        <v>220</v>
      </c>
      <c r="M56" s="17">
        <v>46076</v>
      </c>
      <c r="N56" s="17">
        <v>46087</v>
      </c>
      <c r="O56" s="19">
        <f t="shared" si="6"/>
        <v>11</v>
      </c>
      <c r="P56" s="19">
        <f>IFERROR(VLOOKUP(B56,Deals[#All],7,FALSE),DEF_LAYTIME)</f>
        <v>2</v>
      </c>
      <c r="Q56" s="19">
        <f t="shared" si="7"/>
        <v>9</v>
      </c>
      <c r="R56" s="121">
        <f>IFERROR(VLOOKUP(B56,Deals[#All],8,FALSE),DEF_RATE)</f>
        <v>250</v>
      </c>
      <c r="S56" s="121">
        <f t="shared" si="8"/>
        <v>2250</v>
      </c>
      <c r="T56" s="16" t="str">
        <f t="shared" si="9"/>
        <v>DEMURRAGE</v>
      </c>
      <c r="U56" s="16" t="str">
        <f t="shared" si="10"/>
        <v>OK</v>
      </c>
      <c r="V56" s="16" t="str">
        <f t="shared" si="11"/>
        <v>2026-02</v>
      </c>
    </row>
    <row r="57" spans="2:22" x14ac:dyDescent="0.25">
      <c r="B57" s="16">
        <v>187296</v>
      </c>
      <c r="C57" s="16" t="s">
        <v>495</v>
      </c>
      <c r="D57" s="20" t="s">
        <v>34</v>
      </c>
      <c r="E57" s="17">
        <v>46072</v>
      </c>
      <c r="F57" s="20" t="s">
        <v>92</v>
      </c>
      <c r="G57" s="20" t="s">
        <v>93</v>
      </c>
      <c r="H57" s="20" t="s">
        <v>94</v>
      </c>
      <c r="I57" s="20" t="s">
        <v>221</v>
      </c>
      <c r="J57" s="20" t="s">
        <v>222</v>
      </c>
      <c r="K57" s="20" t="s">
        <v>39</v>
      </c>
      <c r="L57" s="20" t="s">
        <v>223</v>
      </c>
      <c r="M57" s="17">
        <v>46076</v>
      </c>
      <c r="N57" s="17">
        <v>46086</v>
      </c>
      <c r="O57" s="19">
        <f t="shared" si="6"/>
        <v>10</v>
      </c>
      <c r="P57" s="19">
        <f>IFERROR(VLOOKUP(B57,Deals[#All],7,FALSE),DEF_LAYTIME)</f>
        <v>2</v>
      </c>
      <c r="Q57" s="19">
        <f t="shared" si="7"/>
        <v>8</v>
      </c>
      <c r="R57" s="121">
        <f>IFERROR(VLOOKUP(B57,Deals[#All],8,FALSE),DEF_RATE)</f>
        <v>250</v>
      </c>
      <c r="S57" s="121">
        <f t="shared" si="8"/>
        <v>2000</v>
      </c>
      <c r="T57" s="16" t="str">
        <f t="shared" si="9"/>
        <v>DEMURRAGE</v>
      </c>
      <c r="U57" s="16" t="str">
        <f t="shared" si="10"/>
        <v>OK</v>
      </c>
      <c r="V57" s="16" t="str">
        <f t="shared" si="11"/>
        <v>2026-02</v>
      </c>
    </row>
    <row r="58" spans="2:22" x14ac:dyDescent="0.25">
      <c r="B58" s="16">
        <v>187296</v>
      </c>
      <c r="C58" s="16" t="s">
        <v>495</v>
      </c>
      <c r="D58" s="20" t="s">
        <v>34</v>
      </c>
      <c r="E58" s="17">
        <v>46072</v>
      </c>
      <c r="F58" s="20" t="s">
        <v>92</v>
      </c>
      <c r="G58" s="20" t="s">
        <v>93</v>
      </c>
      <c r="H58" s="20" t="s">
        <v>94</v>
      </c>
      <c r="I58" s="20" t="s">
        <v>224</v>
      </c>
      <c r="J58" s="20" t="s">
        <v>225</v>
      </c>
      <c r="K58" s="20" t="s">
        <v>39</v>
      </c>
      <c r="L58" s="20" t="s">
        <v>226</v>
      </c>
      <c r="M58" s="17">
        <v>46076</v>
      </c>
      <c r="N58" s="17">
        <v>46087</v>
      </c>
      <c r="O58" s="19">
        <f t="shared" si="6"/>
        <v>11</v>
      </c>
      <c r="P58" s="19">
        <f>IFERROR(VLOOKUP(B58,Deals[#All],7,FALSE),DEF_LAYTIME)</f>
        <v>2</v>
      </c>
      <c r="Q58" s="19">
        <f t="shared" si="7"/>
        <v>9</v>
      </c>
      <c r="R58" s="121">
        <f>IFERROR(VLOOKUP(B58,Deals[#All],8,FALSE),DEF_RATE)</f>
        <v>250</v>
      </c>
      <c r="S58" s="121">
        <f t="shared" si="8"/>
        <v>2250</v>
      </c>
      <c r="T58" s="16" t="str">
        <f t="shared" si="9"/>
        <v>DEMURRAGE</v>
      </c>
      <c r="U58" s="16" t="str">
        <f t="shared" si="10"/>
        <v>OK</v>
      </c>
      <c r="V58" s="16" t="str">
        <f t="shared" si="11"/>
        <v>2026-02</v>
      </c>
    </row>
    <row r="59" spans="2:22" x14ac:dyDescent="0.25">
      <c r="B59" s="16">
        <v>187296</v>
      </c>
      <c r="C59" s="16" t="s">
        <v>495</v>
      </c>
      <c r="D59" s="20" t="s">
        <v>34</v>
      </c>
      <c r="E59" s="17">
        <v>46073</v>
      </c>
      <c r="F59" s="20" t="s">
        <v>92</v>
      </c>
      <c r="G59" s="20" t="s">
        <v>93</v>
      </c>
      <c r="H59" s="20" t="s">
        <v>94</v>
      </c>
      <c r="I59" s="20" t="s">
        <v>227</v>
      </c>
      <c r="J59" s="20" t="s">
        <v>228</v>
      </c>
      <c r="K59" s="20" t="s">
        <v>39</v>
      </c>
      <c r="L59" s="20" t="s">
        <v>229</v>
      </c>
      <c r="M59" s="17">
        <v>46077</v>
      </c>
      <c r="N59" s="17">
        <v>46087</v>
      </c>
      <c r="O59" s="19">
        <f t="shared" si="6"/>
        <v>10</v>
      </c>
      <c r="P59" s="19">
        <f>IFERROR(VLOOKUP(B59,Deals[#All],7,FALSE),DEF_LAYTIME)</f>
        <v>2</v>
      </c>
      <c r="Q59" s="19">
        <f t="shared" si="7"/>
        <v>8</v>
      </c>
      <c r="R59" s="121">
        <f>IFERROR(VLOOKUP(B59,Deals[#All],8,FALSE),DEF_RATE)</f>
        <v>250</v>
      </c>
      <c r="S59" s="121">
        <f t="shared" si="8"/>
        <v>2000</v>
      </c>
      <c r="T59" s="16" t="str">
        <f t="shared" si="9"/>
        <v>DEMURRAGE</v>
      </c>
      <c r="U59" s="16" t="str">
        <f t="shared" si="10"/>
        <v>OK</v>
      </c>
      <c r="V59" s="16" t="str">
        <f t="shared" si="11"/>
        <v>2026-02</v>
      </c>
    </row>
    <row r="60" spans="2:22" x14ac:dyDescent="0.25">
      <c r="B60" s="16">
        <v>187296</v>
      </c>
      <c r="C60" s="16" t="s">
        <v>495</v>
      </c>
      <c r="D60" s="20" t="s">
        <v>34</v>
      </c>
      <c r="E60" s="17">
        <v>46073</v>
      </c>
      <c r="F60" s="20" t="s">
        <v>92</v>
      </c>
      <c r="G60" s="20" t="s">
        <v>93</v>
      </c>
      <c r="H60" s="20" t="s">
        <v>94</v>
      </c>
      <c r="I60" s="20" t="s">
        <v>230</v>
      </c>
      <c r="J60" s="20" t="s">
        <v>231</v>
      </c>
      <c r="K60" s="20" t="s">
        <v>39</v>
      </c>
      <c r="L60" s="20" t="s">
        <v>232</v>
      </c>
      <c r="M60" s="17">
        <v>46077</v>
      </c>
      <c r="N60" s="17">
        <v>46090</v>
      </c>
      <c r="O60" s="19">
        <f t="shared" si="6"/>
        <v>13</v>
      </c>
      <c r="P60" s="19">
        <f>IFERROR(VLOOKUP(B60,Deals[#All],7,FALSE),DEF_LAYTIME)</f>
        <v>2</v>
      </c>
      <c r="Q60" s="19">
        <f t="shared" si="7"/>
        <v>11</v>
      </c>
      <c r="R60" s="121">
        <f>IFERROR(VLOOKUP(B60,Deals[#All],8,FALSE),DEF_RATE)</f>
        <v>250</v>
      </c>
      <c r="S60" s="121">
        <f t="shared" si="8"/>
        <v>2750</v>
      </c>
      <c r="T60" s="16" t="str">
        <f t="shared" si="9"/>
        <v>DEMURRAGE</v>
      </c>
      <c r="U60" s="16" t="str">
        <f t="shared" si="10"/>
        <v>OK</v>
      </c>
      <c r="V60" s="16" t="str">
        <f t="shared" si="11"/>
        <v>2026-02</v>
      </c>
    </row>
    <row r="61" spans="2:22" x14ac:dyDescent="0.25">
      <c r="B61" s="16">
        <v>187296</v>
      </c>
      <c r="C61" s="16" t="s">
        <v>495</v>
      </c>
      <c r="D61" s="20" t="s">
        <v>34</v>
      </c>
      <c r="E61" s="17">
        <v>46073</v>
      </c>
      <c r="F61" s="20" t="s">
        <v>92</v>
      </c>
      <c r="G61" s="20" t="s">
        <v>93</v>
      </c>
      <c r="H61" s="20" t="s">
        <v>94</v>
      </c>
      <c r="I61" s="20" t="s">
        <v>233</v>
      </c>
      <c r="J61" s="20" t="s">
        <v>234</v>
      </c>
      <c r="K61" s="20" t="s">
        <v>39</v>
      </c>
      <c r="L61" s="20" t="s">
        <v>235</v>
      </c>
      <c r="M61" s="17">
        <v>46077</v>
      </c>
      <c r="N61" s="17">
        <v>46087</v>
      </c>
      <c r="O61" s="19">
        <f t="shared" si="6"/>
        <v>10</v>
      </c>
      <c r="P61" s="19">
        <f>IFERROR(VLOOKUP(B61,Deals[#All],7,FALSE),DEF_LAYTIME)</f>
        <v>2</v>
      </c>
      <c r="Q61" s="19">
        <f t="shared" si="7"/>
        <v>8</v>
      </c>
      <c r="R61" s="121">
        <f>IFERROR(VLOOKUP(B61,Deals[#All],8,FALSE),DEF_RATE)</f>
        <v>250</v>
      </c>
      <c r="S61" s="121">
        <f t="shared" si="8"/>
        <v>2000</v>
      </c>
      <c r="T61" s="16" t="str">
        <f t="shared" si="9"/>
        <v>DEMURRAGE</v>
      </c>
      <c r="U61" s="16" t="str">
        <f t="shared" si="10"/>
        <v>OK</v>
      </c>
      <c r="V61" s="16" t="str">
        <f t="shared" si="11"/>
        <v>2026-02</v>
      </c>
    </row>
    <row r="62" spans="2:22" x14ac:dyDescent="0.25">
      <c r="B62" s="16">
        <v>189084</v>
      </c>
      <c r="C62" s="16" t="s">
        <v>496</v>
      </c>
      <c r="D62" s="20" t="s">
        <v>34</v>
      </c>
      <c r="E62" s="17">
        <v>46105</v>
      </c>
      <c r="F62" s="20" t="s">
        <v>92</v>
      </c>
      <c r="G62" s="20" t="s">
        <v>93</v>
      </c>
      <c r="H62" s="20" t="s">
        <v>94</v>
      </c>
      <c r="I62" s="20" t="s">
        <v>236</v>
      </c>
      <c r="J62" s="20" t="s">
        <v>237</v>
      </c>
      <c r="K62" s="20" t="s">
        <v>39</v>
      </c>
      <c r="L62" s="20" t="s">
        <v>238</v>
      </c>
      <c r="M62" s="17">
        <v>46110</v>
      </c>
      <c r="N62" s="17">
        <v>46112</v>
      </c>
      <c r="O62" s="19">
        <f t="shared" si="6"/>
        <v>2</v>
      </c>
      <c r="P62" s="19">
        <f>IFERROR(VLOOKUP(B62,Deals[#All],7,FALSE),DEF_LAYTIME)</f>
        <v>2</v>
      </c>
      <c r="Q62" s="19">
        <f t="shared" si="7"/>
        <v>0</v>
      </c>
      <c r="R62" s="121">
        <f>IFERROR(VLOOKUP(B62,Deals[#All],8,FALSE),DEF_RATE)</f>
        <v>250</v>
      </c>
      <c r="S62" s="121">
        <f t="shared" si="8"/>
        <v>0</v>
      </c>
      <c r="T62" s="16" t="str">
        <f t="shared" si="9"/>
        <v>ON-TIME</v>
      </c>
      <c r="U62" s="16" t="str">
        <f t="shared" si="10"/>
        <v>OK</v>
      </c>
      <c r="V62" s="16" t="str">
        <f t="shared" si="11"/>
        <v>2026-03</v>
      </c>
    </row>
    <row r="63" spans="2:22" x14ac:dyDescent="0.25">
      <c r="B63" s="16">
        <v>189084</v>
      </c>
      <c r="C63" s="16" t="s">
        <v>496</v>
      </c>
      <c r="D63" s="20" t="s">
        <v>34</v>
      </c>
      <c r="E63" s="17">
        <v>46105</v>
      </c>
      <c r="F63" s="20" t="s">
        <v>92</v>
      </c>
      <c r="G63" s="20" t="s">
        <v>93</v>
      </c>
      <c r="H63" s="20" t="s">
        <v>94</v>
      </c>
      <c r="I63" s="20" t="s">
        <v>239</v>
      </c>
      <c r="J63" s="20" t="s">
        <v>240</v>
      </c>
      <c r="K63" s="20" t="s">
        <v>39</v>
      </c>
      <c r="L63" s="20" t="s">
        <v>241</v>
      </c>
      <c r="M63" s="17">
        <v>46110</v>
      </c>
      <c r="N63" s="17">
        <v>46113</v>
      </c>
      <c r="O63" s="19">
        <f t="shared" si="6"/>
        <v>3</v>
      </c>
      <c r="P63" s="19">
        <f>IFERROR(VLOOKUP(B63,Deals[#All],7,FALSE),DEF_LAYTIME)</f>
        <v>2</v>
      </c>
      <c r="Q63" s="19">
        <f t="shared" si="7"/>
        <v>1</v>
      </c>
      <c r="R63" s="121">
        <f>IFERROR(VLOOKUP(B63,Deals[#All],8,FALSE),DEF_RATE)</f>
        <v>250</v>
      </c>
      <c r="S63" s="121">
        <f t="shared" si="8"/>
        <v>250</v>
      </c>
      <c r="T63" s="16" t="str">
        <f t="shared" si="9"/>
        <v>DEMURRAGE</v>
      </c>
      <c r="U63" s="16" t="str">
        <f t="shared" si="10"/>
        <v>OK</v>
      </c>
      <c r="V63" s="16" t="str">
        <f t="shared" si="11"/>
        <v>2026-03</v>
      </c>
    </row>
    <row r="64" spans="2:22" x14ac:dyDescent="0.25">
      <c r="B64" s="16">
        <v>189084</v>
      </c>
      <c r="C64" s="16" t="s">
        <v>496</v>
      </c>
      <c r="D64" s="20" t="s">
        <v>34</v>
      </c>
      <c r="E64" s="17">
        <v>46105</v>
      </c>
      <c r="F64" s="20" t="s">
        <v>92</v>
      </c>
      <c r="G64" s="20" t="s">
        <v>93</v>
      </c>
      <c r="H64" s="20" t="s">
        <v>94</v>
      </c>
      <c r="I64" s="20" t="s">
        <v>242</v>
      </c>
      <c r="J64" s="20" t="s">
        <v>243</v>
      </c>
      <c r="K64" s="20" t="s">
        <v>39</v>
      </c>
      <c r="L64" s="20" t="s">
        <v>244</v>
      </c>
      <c r="M64" s="17">
        <v>46110</v>
      </c>
      <c r="N64" s="17">
        <v>46113</v>
      </c>
      <c r="O64" s="19">
        <f t="shared" si="6"/>
        <v>3</v>
      </c>
      <c r="P64" s="19">
        <f>IFERROR(VLOOKUP(B64,Deals[#All],7,FALSE),DEF_LAYTIME)</f>
        <v>2</v>
      </c>
      <c r="Q64" s="19">
        <f t="shared" si="7"/>
        <v>1</v>
      </c>
      <c r="R64" s="121">
        <f>IFERROR(VLOOKUP(B64,Deals[#All],8,FALSE),DEF_RATE)</f>
        <v>250</v>
      </c>
      <c r="S64" s="121">
        <f t="shared" si="8"/>
        <v>250</v>
      </c>
      <c r="T64" s="16" t="str">
        <f t="shared" si="9"/>
        <v>DEMURRAGE</v>
      </c>
      <c r="U64" s="16" t="str">
        <f t="shared" si="10"/>
        <v>OK</v>
      </c>
      <c r="V64" s="16" t="str">
        <f t="shared" si="11"/>
        <v>2026-03</v>
      </c>
    </row>
    <row r="65" spans="2:22" x14ac:dyDescent="0.25">
      <c r="B65" s="16">
        <v>189084</v>
      </c>
      <c r="C65" s="16" t="s">
        <v>496</v>
      </c>
      <c r="D65" s="20" t="s">
        <v>34</v>
      </c>
      <c r="E65" s="17">
        <v>46105</v>
      </c>
      <c r="F65" s="20" t="s">
        <v>92</v>
      </c>
      <c r="G65" s="20" t="s">
        <v>93</v>
      </c>
      <c r="H65" s="20" t="s">
        <v>94</v>
      </c>
      <c r="I65" s="20" t="s">
        <v>245</v>
      </c>
      <c r="J65" s="20" t="s">
        <v>246</v>
      </c>
      <c r="K65" s="20" t="s">
        <v>39</v>
      </c>
      <c r="L65" s="20" t="s">
        <v>247</v>
      </c>
      <c r="M65" s="17">
        <v>46111</v>
      </c>
      <c r="N65" s="17">
        <v>46112</v>
      </c>
      <c r="O65" s="19">
        <f t="shared" si="6"/>
        <v>1</v>
      </c>
      <c r="P65" s="19">
        <f>IFERROR(VLOOKUP(B65,Deals[#All],7,FALSE),DEF_LAYTIME)</f>
        <v>2</v>
      </c>
      <c r="Q65" s="19">
        <f t="shared" si="7"/>
        <v>0</v>
      </c>
      <c r="R65" s="121">
        <f>IFERROR(VLOOKUP(B65,Deals[#All],8,FALSE),DEF_RATE)</f>
        <v>250</v>
      </c>
      <c r="S65" s="121">
        <f t="shared" si="8"/>
        <v>0</v>
      </c>
      <c r="T65" s="16" t="str">
        <f t="shared" si="9"/>
        <v>ON-TIME</v>
      </c>
      <c r="U65" s="16" t="str">
        <f t="shared" si="10"/>
        <v>OK</v>
      </c>
      <c r="V65" s="16" t="str">
        <f t="shared" si="11"/>
        <v>2026-03</v>
      </c>
    </row>
    <row r="66" spans="2:22" x14ac:dyDescent="0.25">
      <c r="B66" s="16">
        <v>189084</v>
      </c>
      <c r="C66" s="16" t="s">
        <v>496</v>
      </c>
      <c r="D66" s="20" t="s">
        <v>34</v>
      </c>
      <c r="E66" s="17">
        <v>46107</v>
      </c>
      <c r="F66" s="20" t="s">
        <v>92</v>
      </c>
      <c r="G66" s="20" t="s">
        <v>93</v>
      </c>
      <c r="H66" s="20" t="s">
        <v>94</v>
      </c>
      <c r="I66" s="20" t="s">
        <v>248</v>
      </c>
      <c r="J66" s="20" t="s">
        <v>249</v>
      </c>
      <c r="K66" s="20" t="s">
        <v>39</v>
      </c>
      <c r="L66" s="20" t="s">
        <v>250</v>
      </c>
      <c r="M66" s="17">
        <v>46111</v>
      </c>
      <c r="N66" s="17">
        <v>46113</v>
      </c>
      <c r="O66" s="19">
        <f t="shared" si="6"/>
        <v>2</v>
      </c>
      <c r="P66" s="19">
        <f>IFERROR(VLOOKUP(B66,Deals[#All],7,FALSE),DEF_LAYTIME)</f>
        <v>2</v>
      </c>
      <c r="Q66" s="19">
        <f t="shared" si="7"/>
        <v>0</v>
      </c>
      <c r="R66" s="121">
        <f>IFERROR(VLOOKUP(B66,Deals[#All],8,FALSE),DEF_RATE)</f>
        <v>250</v>
      </c>
      <c r="S66" s="121">
        <f t="shared" si="8"/>
        <v>0</v>
      </c>
      <c r="T66" s="16" t="str">
        <f t="shared" si="9"/>
        <v>ON-TIME</v>
      </c>
      <c r="U66" s="16" t="str">
        <f t="shared" si="10"/>
        <v>OK</v>
      </c>
      <c r="V66" s="16" t="str">
        <f t="shared" si="11"/>
        <v>2026-03</v>
      </c>
    </row>
    <row r="67" spans="2:22" x14ac:dyDescent="0.25">
      <c r="B67" s="16">
        <v>189084</v>
      </c>
      <c r="C67" s="16" t="s">
        <v>496</v>
      </c>
      <c r="D67" s="20" t="s">
        <v>34</v>
      </c>
      <c r="E67" s="17">
        <v>46106</v>
      </c>
      <c r="F67" s="20" t="s">
        <v>92</v>
      </c>
      <c r="G67" s="20" t="s">
        <v>93</v>
      </c>
      <c r="H67" s="20" t="s">
        <v>94</v>
      </c>
      <c r="I67" s="20" t="s">
        <v>251</v>
      </c>
      <c r="J67" s="20" t="s">
        <v>252</v>
      </c>
      <c r="K67" s="20" t="s">
        <v>39</v>
      </c>
      <c r="L67" s="20" t="s">
        <v>253</v>
      </c>
      <c r="M67" s="17">
        <v>46112</v>
      </c>
      <c r="N67" s="17">
        <v>46113</v>
      </c>
      <c r="O67" s="19">
        <f t="shared" si="6"/>
        <v>1</v>
      </c>
      <c r="P67" s="19">
        <f>IFERROR(VLOOKUP(B67,Deals[#All],7,FALSE),DEF_LAYTIME)</f>
        <v>2</v>
      </c>
      <c r="Q67" s="19">
        <f t="shared" si="7"/>
        <v>0</v>
      </c>
      <c r="R67" s="121">
        <f>IFERROR(VLOOKUP(B67,Deals[#All],8,FALSE),DEF_RATE)</f>
        <v>250</v>
      </c>
      <c r="S67" s="121">
        <f t="shared" si="8"/>
        <v>0</v>
      </c>
      <c r="T67" s="16" t="str">
        <f t="shared" si="9"/>
        <v>ON-TIME</v>
      </c>
      <c r="U67" s="16" t="str">
        <f t="shared" si="10"/>
        <v>OK</v>
      </c>
      <c r="V67" s="16" t="str">
        <f t="shared" si="11"/>
        <v>2026-03</v>
      </c>
    </row>
    <row r="68" spans="2:22" x14ac:dyDescent="0.25">
      <c r="B68" s="16">
        <v>189084</v>
      </c>
      <c r="C68" s="16" t="s">
        <v>496</v>
      </c>
      <c r="D68" s="20" t="s">
        <v>34</v>
      </c>
      <c r="E68" s="17">
        <v>46108</v>
      </c>
      <c r="F68" s="20" t="s">
        <v>92</v>
      </c>
      <c r="G68" s="20" t="s">
        <v>93</v>
      </c>
      <c r="H68" s="20" t="s">
        <v>94</v>
      </c>
      <c r="I68" s="20" t="s">
        <v>254</v>
      </c>
      <c r="J68" s="20" t="s">
        <v>255</v>
      </c>
      <c r="K68" s="20" t="s">
        <v>39</v>
      </c>
      <c r="L68" s="20" t="s">
        <v>256</v>
      </c>
      <c r="M68" s="17">
        <v>46114</v>
      </c>
      <c r="N68" s="17">
        <v>46114</v>
      </c>
      <c r="O68" s="19">
        <f t="shared" si="6"/>
        <v>0</v>
      </c>
      <c r="P68" s="19">
        <f>IFERROR(VLOOKUP(B68,Deals[#All],7,FALSE),DEF_LAYTIME)</f>
        <v>2</v>
      </c>
      <c r="Q68" s="19">
        <f t="shared" si="7"/>
        <v>0</v>
      </c>
      <c r="R68" s="121">
        <f>IFERROR(VLOOKUP(B68,Deals[#All],8,FALSE),DEF_RATE)</f>
        <v>250</v>
      </c>
      <c r="S68" s="121">
        <f t="shared" si="8"/>
        <v>0</v>
      </c>
      <c r="T68" s="16" t="str">
        <f t="shared" si="9"/>
        <v>ON-TIME</v>
      </c>
      <c r="U68" s="16" t="str">
        <f t="shared" si="10"/>
        <v>OK</v>
      </c>
      <c r="V68" s="16" t="str">
        <f t="shared" si="11"/>
        <v>2026-03</v>
      </c>
    </row>
    <row r="69" spans="2:22" x14ac:dyDescent="0.25">
      <c r="B69" s="16">
        <v>189084</v>
      </c>
      <c r="C69" s="16" t="s">
        <v>496</v>
      </c>
      <c r="D69" s="20" t="s">
        <v>34</v>
      </c>
      <c r="E69" s="17">
        <v>46109</v>
      </c>
      <c r="F69" s="20" t="s">
        <v>92</v>
      </c>
      <c r="G69" s="20" t="s">
        <v>93</v>
      </c>
      <c r="H69" s="20" t="s">
        <v>94</v>
      </c>
      <c r="I69" s="20" t="s">
        <v>257</v>
      </c>
      <c r="J69" s="20" t="s">
        <v>258</v>
      </c>
      <c r="K69" s="20" t="s">
        <v>39</v>
      </c>
      <c r="L69" s="20" t="s">
        <v>259</v>
      </c>
      <c r="M69" s="17">
        <v>46114</v>
      </c>
      <c r="N69" s="17">
        <v>46114</v>
      </c>
      <c r="O69" s="19">
        <f t="shared" si="6"/>
        <v>0</v>
      </c>
      <c r="P69" s="19">
        <f>IFERROR(VLOOKUP(B69,Deals[#All],7,FALSE),DEF_LAYTIME)</f>
        <v>2</v>
      </c>
      <c r="Q69" s="19">
        <f t="shared" si="7"/>
        <v>0</v>
      </c>
      <c r="R69" s="121">
        <f>IFERROR(VLOOKUP(B69,Deals[#All],8,FALSE),DEF_RATE)</f>
        <v>250</v>
      </c>
      <c r="S69" s="121">
        <f t="shared" si="8"/>
        <v>0</v>
      </c>
      <c r="T69" s="16" t="str">
        <f t="shared" si="9"/>
        <v>ON-TIME</v>
      </c>
      <c r="U69" s="16" t="str">
        <f t="shared" si="10"/>
        <v>OK</v>
      </c>
      <c r="V69" s="16" t="str">
        <f t="shared" si="11"/>
        <v>2026-03</v>
      </c>
    </row>
    <row r="70" spans="2:22" x14ac:dyDescent="0.25">
      <c r="B70" s="16">
        <v>189084</v>
      </c>
      <c r="C70" s="16" t="s">
        <v>496</v>
      </c>
      <c r="D70" s="20" t="s">
        <v>34</v>
      </c>
      <c r="E70" s="17">
        <v>46109</v>
      </c>
      <c r="F70" s="20" t="s">
        <v>92</v>
      </c>
      <c r="G70" s="20" t="s">
        <v>93</v>
      </c>
      <c r="H70" s="20" t="s">
        <v>94</v>
      </c>
      <c r="I70" s="20" t="s">
        <v>260</v>
      </c>
      <c r="J70" s="20" t="s">
        <v>261</v>
      </c>
      <c r="K70" s="20" t="s">
        <v>39</v>
      </c>
      <c r="L70" s="20" t="s">
        <v>262</v>
      </c>
      <c r="M70" s="17">
        <v>46114</v>
      </c>
      <c r="N70" s="17">
        <v>46114</v>
      </c>
      <c r="O70" s="19">
        <f t="shared" si="6"/>
        <v>0</v>
      </c>
      <c r="P70" s="19">
        <f>IFERROR(VLOOKUP(B70,Deals[#All],7,FALSE),DEF_LAYTIME)</f>
        <v>2</v>
      </c>
      <c r="Q70" s="19">
        <f t="shared" si="7"/>
        <v>0</v>
      </c>
      <c r="R70" s="121">
        <f>IFERROR(VLOOKUP(B70,Deals[#All],8,FALSE),DEF_RATE)</f>
        <v>250</v>
      </c>
      <c r="S70" s="121">
        <f t="shared" si="8"/>
        <v>0</v>
      </c>
      <c r="T70" s="16" t="str">
        <f t="shared" si="9"/>
        <v>ON-TIME</v>
      </c>
      <c r="U70" s="16" t="str">
        <f t="shared" si="10"/>
        <v>OK</v>
      </c>
      <c r="V70" s="16" t="str">
        <f t="shared" si="11"/>
        <v>2026-03</v>
      </c>
    </row>
    <row r="71" spans="2:22" x14ac:dyDescent="0.25">
      <c r="B71" s="16">
        <v>189084</v>
      </c>
      <c r="C71" s="16" t="s">
        <v>496</v>
      </c>
      <c r="D71" s="20" t="s">
        <v>34</v>
      </c>
      <c r="E71" s="17">
        <v>46110</v>
      </c>
      <c r="F71" s="20" t="s">
        <v>92</v>
      </c>
      <c r="G71" s="20" t="s">
        <v>93</v>
      </c>
      <c r="H71" s="20" t="s">
        <v>94</v>
      </c>
      <c r="I71" s="20" t="s">
        <v>263</v>
      </c>
      <c r="J71" s="20" t="s">
        <v>264</v>
      </c>
      <c r="K71" s="20" t="s">
        <v>39</v>
      </c>
      <c r="L71" s="20" t="s">
        <v>265</v>
      </c>
      <c r="M71" s="17">
        <v>46114</v>
      </c>
      <c r="N71" s="17">
        <v>46114</v>
      </c>
      <c r="O71" s="19">
        <f t="shared" ref="O71:O102" si="12">IF(OR(M71="",N71=""),"",N71-M71)</f>
        <v>0</v>
      </c>
      <c r="P71" s="19">
        <f>IFERROR(VLOOKUP(B71,Deals[#All],7,FALSE),DEF_LAYTIME)</f>
        <v>2</v>
      </c>
      <c r="Q71" s="19">
        <f t="shared" ref="Q71:Q102" si="13">IF(O71="","",MAX(0,O71-P71))</f>
        <v>0</v>
      </c>
      <c r="R71" s="121">
        <f>IFERROR(VLOOKUP(B71,Deals[#All],8,FALSE),DEF_RATE)</f>
        <v>250</v>
      </c>
      <c r="S71" s="121">
        <f t="shared" ref="S71:S102" si="14">IF(Q71="","",Q71*R71)</f>
        <v>0</v>
      </c>
      <c r="T71" s="16" t="str">
        <f t="shared" ref="T71:T102" si="15">IF(O71="","PENDING",IF(Q71&gt;0,"DEMURRAGE","ON-TIME"))</f>
        <v>ON-TIME</v>
      </c>
      <c r="U71" s="16" t="str">
        <f t="shared" ref="U71:U102" si="16">IF(AND(E71&lt;&gt;"",M71&lt;&gt;"",M71&lt;E71),"⚠ Arr&lt;Loaded",IF(AND(M71&lt;&gt;"",N71&lt;&gt;"",N71&lt;M71),"⚠ Off&lt;Arr","OK"))</f>
        <v>OK</v>
      </c>
      <c r="V71" s="16" t="str">
        <f t="shared" ref="V71:V102" si="17">IF(E71="","",TEXT(E71,"yyyy-mm"))</f>
        <v>2026-03</v>
      </c>
    </row>
    <row r="72" spans="2:22" x14ac:dyDescent="0.25">
      <c r="B72" s="16">
        <v>189084</v>
      </c>
      <c r="C72" s="16" t="s">
        <v>496</v>
      </c>
      <c r="D72" s="20" t="s">
        <v>34</v>
      </c>
      <c r="E72" s="17">
        <v>46110</v>
      </c>
      <c r="F72" s="20" t="s">
        <v>92</v>
      </c>
      <c r="G72" s="20" t="s">
        <v>93</v>
      </c>
      <c r="H72" s="20" t="s">
        <v>94</v>
      </c>
      <c r="I72" s="20" t="s">
        <v>215</v>
      </c>
      <c r="J72" s="20" t="s">
        <v>266</v>
      </c>
      <c r="K72" s="20" t="s">
        <v>39</v>
      </c>
      <c r="L72" s="20" t="s">
        <v>267</v>
      </c>
      <c r="M72" s="17">
        <v>46114</v>
      </c>
      <c r="N72" s="17">
        <v>46114</v>
      </c>
      <c r="O72" s="19">
        <f t="shared" si="12"/>
        <v>0</v>
      </c>
      <c r="P72" s="19">
        <f>IFERROR(VLOOKUP(B72,Deals[#All],7,FALSE),DEF_LAYTIME)</f>
        <v>2</v>
      </c>
      <c r="Q72" s="19">
        <f t="shared" si="13"/>
        <v>0</v>
      </c>
      <c r="R72" s="121">
        <f>IFERROR(VLOOKUP(B72,Deals[#All],8,FALSE),DEF_RATE)</f>
        <v>250</v>
      </c>
      <c r="S72" s="121">
        <f t="shared" si="14"/>
        <v>0</v>
      </c>
      <c r="T72" s="16" t="str">
        <f t="shared" si="15"/>
        <v>ON-TIME</v>
      </c>
      <c r="U72" s="16" t="str">
        <f t="shared" si="16"/>
        <v>OK</v>
      </c>
      <c r="V72" s="16" t="str">
        <f t="shared" si="17"/>
        <v>2026-03</v>
      </c>
    </row>
    <row r="73" spans="2:22" x14ac:dyDescent="0.25">
      <c r="B73" s="16">
        <v>189084</v>
      </c>
      <c r="C73" s="16" t="s">
        <v>496</v>
      </c>
      <c r="D73" s="20" t="s">
        <v>34</v>
      </c>
      <c r="E73" s="17">
        <v>46108</v>
      </c>
      <c r="F73" s="20" t="s">
        <v>92</v>
      </c>
      <c r="G73" s="20" t="s">
        <v>93</v>
      </c>
      <c r="H73" s="20" t="s">
        <v>94</v>
      </c>
      <c r="I73" s="20" t="s">
        <v>268</v>
      </c>
      <c r="J73" s="20" t="s">
        <v>269</v>
      </c>
      <c r="K73" s="20" t="s">
        <v>39</v>
      </c>
      <c r="L73" s="20" t="s">
        <v>270</v>
      </c>
      <c r="M73" s="17">
        <v>46115</v>
      </c>
      <c r="N73" s="17">
        <v>46116</v>
      </c>
      <c r="O73" s="19">
        <f t="shared" si="12"/>
        <v>1</v>
      </c>
      <c r="P73" s="19">
        <f>IFERROR(VLOOKUP(B73,Deals[#All],7,FALSE),DEF_LAYTIME)</f>
        <v>2</v>
      </c>
      <c r="Q73" s="19">
        <f t="shared" si="13"/>
        <v>0</v>
      </c>
      <c r="R73" s="121">
        <f>IFERROR(VLOOKUP(B73,Deals[#All],8,FALSE),DEF_RATE)</f>
        <v>250</v>
      </c>
      <c r="S73" s="121">
        <f t="shared" si="14"/>
        <v>0</v>
      </c>
      <c r="T73" s="16" t="str">
        <f t="shared" si="15"/>
        <v>ON-TIME</v>
      </c>
      <c r="U73" s="16" t="str">
        <f t="shared" si="16"/>
        <v>OK</v>
      </c>
      <c r="V73" s="16" t="str">
        <f t="shared" si="17"/>
        <v>2026-03</v>
      </c>
    </row>
    <row r="74" spans="2:22" x14ac:dyDescent="0.25">
      <c r="B74" s="16">
        <v>190261</v>
      </c>
      <c r="C74" s="16" t="s">
        <v>497</v>
      </c>
      <c r="D74" s="20" t="s">
        <v>31</v>
      </c>
      <c r="E74" s="17">
        <v>46149</v>
      </c>
      <c r="F74" s="20" t="s">
        <v>92</v>
      </c>
      <c r="G74" s="20" t="s">
        <v>93</v>
      </c>
      <c r="H74" s="20" t="s">
        <v>94</v>
      </c>
      <c r="I74" s="20" t="s">
        <v>271</v>
      </c>
      <c r="J74" s="20" t="s">
        <v>272</v>
      </c>
      <c r="K74" s="20" t="s">
        <v>38</v>
      </c>
      <c r="L74" s="20" t="s">
        <v>273</v>
      </c>
      <c r="M74" s="17">
        <v>46152</v>
      </c>
      <c r="N74" s="17"/>
      <c r="O74" s="19" t="str">
        <f t="shared" si="12"/>
        <v/>
      </c>
      <c r="P74" s="19">
        <f>IFERROR(VLOOKUP(B74,Deals[#All],7,FALSE),DEF_LAYTIME)</f>
        <v>2</v>
      </c>
      <c r="Q74" s="19" t="str">
        <f t="shared" si="13"/>
        <v/>
      </c>
      <c r="R74" s="121">
        <f>IFERROR(VLOOKUP(B74,Deals[#All],8,FALSE),DEF_RATE)</f>
        <v>250</v>
      </c>
      <c r="S74" s="121" t="str">
        <f t="shared" si="14"/>
        <v/>
      </c>
      <c r="T74" s="16" t="str">
        <f t="shared" si="15"/>
        <v>PENDING</v>
      </c>
      <c r="U74" s="16" t="str">
        <f t="shared" si="16"/>
        <v>OK</v>
      </c>
      <c r="V74" s="16" t="str">
        <f t="shared" si="17"/>
        <v>2026-05</v>
      </c>
    </row>
    <row r="75" spans="2:22" x14ac:dyDescent="0.25">
      <c r="B75" s="16">
        <v>190261</v>
      </c>
      <c r="C75" s="16" t="s">
        <v>497</v>
      </c>
      <c r="D75" s="20" t="s">
        <v>31</v>
      </c>
      <c r="E75" s="17">
        <v>46147</v>
      </c>
      <c r="F75" s="20" t="s">
        <v>92</v>
      </c>
      <c r="G75" s="20" t="s">
        <v>93</v>
      </c>
      <c r="H75" s="20" t="s">
        <v>94</v>
      </c>
      <c r="I75" s="20" t="s">
        <v>182</v>
      </c>
      <c r="J75" s="20" t="s">
        <v>183</v>
      </c>
      <c r="K75" s="20" t="s">
        <v>38</v>
      </c>
      <c r="L75" s="20" t="s">
        <v>274</v>
      </c>
      <c r="M75" s="17">
        <v>46152</v>
      </c>
      <c r="N75" s="17"/>
      <c r="O75" s="19" t="str">
        <f t="shared" si="12"/>
        <v/>
      </c>
      <c r="P75" s="19">
        <f>IFERROR(VLOOKUP(B75,Deals[#All],7,FALSE),DEF_LAYTIME)</f>
        <v>2</v>
      </c>
      <c r="Q75" s="19" t="str">
        <f t="shared" si="13"/>
        <v/>
      </c>
      <c r="R75" s="121">
        <f>IFERROR(VLOOKUP(B75,Deals[#All],8,FALSE),DEF_RATE)</f>
        <v>250</v>
      </c>
      <c r="S75" s="121" t="str">
        <f t="shared" si="14"/>
        <v/>
      </c>
      <c r="T75" s="16" t="str">
        <f t="shared" si="15"/>
        <v>PENDING</v>
      </c>
      <c r="U75" s="16" t="str">
        <f t="shared" si="16"/>
        <v>OK</v>
      </c>
      <c r="V75" s="16" t="str">
        <f t="shared" si="17"/>
        <v>2026-05</v>
      </c>
    </row>
    <row r="76" spans="2:22" x14ac:dyDescent="0.25">
      <c r="B76" s="16">
        <v>190261</v>
      </c>
      <c r="C76" s="16" t="s">
        <v>497</v>
      </c>
      <c r="D76" s="20" t="s">
        <v>31</v>
      </c>
      <c r="E76" s="17">
        <v>46151</v>
      </c>
      <c r="F76" s="20" t="s">
        <v>92</v>
      </c>
      <c r="G76" s="20" t="s">
        <v>93</v>
      </c>
      <c r="H76" s="20" t="s">
        <v>94</v>
      </c>
      <c r="I76" s="20" t="s">
        <v>275</v>
      </c>
      <c r="J76" s="20" t="s">
        <v>276</v>
      </c>
      <c r="K76" s="20" t="s">
        <v>38</v>
      </c>
      <c r="L76" s="20" t="s">
        <v>277</v>
      </c>
      <c r="M76" s="17"/>
      <c r="N76" s="17"/>
      <c r="O76" s="19" t="str">
        <f t="shared" si="12"/>
        <v/>
      </c>
      <c r="P76" s="19">
        <f>IFERROR(VLOOKUP(B76,Deals[#All],7,FALSE),DEF_LAYTIME)</f>
        <v>2</v>
      </c>
      <c r="Q76" s="19" t="str">
        <f t="shared" si="13"/>
        <v/>
      </c>
      <c r="R76" s="121">
        <f>IFERROR(VLOOKUP(B76,Deals[#All],8,FALSE),DEF_RATE)</f>
        <v>250</v>
      </c>
      <c r="S76" s="121" t="str">
        <f t="shared" si="14"/>
        <v/>
      </c>
      <c r="T76" s="16" t="str">
        <f t="shared" si="15"/>
        <v>PENDING</v>
      </c>
      <c r="U76" s="16" t="str">
        <f t="shared" si="16"/>
        <v>OK</v>
      </c>
      <c r="V76" s="16" t="str">
        <f t="shared" si="17"/>
        <v>2026-05</v>
      </c>
    </row>
    <row r="77" spans="2:22" x14ac:dyDescent="0.25">
      <c r="B77" s="16">
        <v>190261</v>
      </c>
      <c r="C77" s="16" t="s">
        <v>497</v>
      </c>
      <c r="D77" s="20" t="s">
        <v>31</v>
      </c>
      <c r="E77" s="17">
        <v>46149</v>
      </c>
      <c r="F77" s="20" t="s">
        <v>92</v>
      </c>
      <c r="G77" s="20" t="s">
        <v>93</v>
      </c>
      <c r="H77" s="20" t="s">
        <v>94</v>
      </c>
      <c r="I77" s="20" t="s">
        <v>278</v>
      </c>
      <c r="J77" s="20" t="s">
        <v>279</v>
      </c>
      <c r="K77" s="20" t="s">
        <v>38</v>
      </c>
      <c r="L77" s="20" t="s">
        <v>280</v>
      </c>
      <c r="M77" s="17">
        <v>46152</v>
      </c>
      <c r="N77" s="17"/>
      <c r="O77" s="19" t="str">
        <f t="shared" si="12"/>
        <v/>
      </c>
      <c r="P77" s="19">
        <f>IFERROR(VLOOKUP(B77,Deals[#All],7,FALSE),DEF_LAYTIME)</f>
        <v>2</v>
      </c>
      <c r="Q77" s="19" t="str">
        <f t="shared" si="13"/>
        <v/>
      </c>
      <c r="R77" s="121">
        <f>IFERROR(VLOOKUP(B77,Deals[#All],8,FALSE),DEF_RATE)</f>
        <v>250</v>
      </c>
      <c r="S77" s="121" t="str">
        <f t="shared" si="14"/>
        <v/>
      </c>
      <c r="T77" s="16" t="str">
        <f t="shared" si="15"/>
        <v>PENDING</v>
      </c>
      <c r="U77" s="16" t="str">
        <f t="shared" si="16"/>
        <v>OK</v>
      </c>
      <c r="V77" s="16" t="str">
        <f t="shared" si="17"/>
        <v>2026-05</v>
      </c>
    </row>
    <row r="78" spans="2:22" x14ac:dyDescent="0.25">
      <c r="B78" s="16">
        <v>190261</v>
      </c>
      <c r="C78" s="16" t="s">
        <v>497</v>
      </c>
      <c r="D78" s="20" t="s">
        <v>31</v>
      </c>
      <c r="E78" s="17">
        <v>46147</v>
      </c>
      <c r="F78" s="20" t="s">
        <v>92</v>
      </c>
      <c r="G78" s="20" t="s">
        <v>93</v>
      </c>
      <c r="H78" s="20" t="s">
        <v>94</v>
      </c>
      <c r="I78" s="20" t="s">
        <v>281</v>
      </c>
      <c r="J78" s="20" t="s">
        <v>282</v>
      </c>
      <c r="K78" s="20" t="s">
        <v>38</v>
      </c>
      <c r="L78" s="20" t="s">
        <v>283</v>
      </c>
      <c r="M78" s="17">
        <v>46151</v>
      </c>
      <c r="N78" s="17"/>
      <c r="O78" s="19" t="str">
        <f t="shared" si="12"/>
        <v/>
      </c>
      <c r="P78" s="19">
        <f>IFERROR(VLOOKUP(B78,Deals[#All],7,FALSE),DEF_LAYTIME)</f>
        <v>2</v>
      </c>
      <c r="Q78" s="19" t="str">
        <f t="shared" si="13"/>
        <v/>
      </c>
      <c r="R78" s="121">
        <f>IFERROR(VLOOKUP(B78,Deals[#All],8,FALSE),DEF_RATE)</f>
        <v>250</v>
      </c>
      <c r="S78" s="121" t="str">
        <f t="shared" si="14"/>
        <v/>
      </c>
      <c r="T78" s="16" t="str">
        <f t="shared" si="15"/>
        <v>PENDING</v>
      </c>
      <c r="U78" s="16" t="str">
        <f t="shared" si="16"/>
        <v>OK</v>
      </c>
      <c r="V78" s="16" t="str">
        <f t="shared" si="17"/>
        <v>2026-05</v>
      </c>
    </row>
    <row r="79" spans="2:22" x14ac:dyDescent="0.25">
      <c r="B79" s="16">
        <v>190261</v>
      </c>
      <c r="C79" s="16" t="s">
        <v>497</v>
      </c>
      <c r="D79" s="20" t="s">
        <v>31</v>
      </c>
      <c r="E79" s="17">
        <v>46149</v>
      </c>
      <c r="F79" s="20" t="s">
        <v>92</v>
      </c>
      <c r="G79" s="20" t="s">
        <v>93</v>
      </c>
      <c r="H79" s="20" t="s">
        <v>94</v>
      </c>
      <c r="I79" s="20" t="s">
        <v>284</v>
      </c>
      <c r="J79" s="20" t="s">
        <v>285</v>
      </c>
      <c r="K79" s="20" t="s">
        <v>38</v>
      </c>
      <c r="L79" s="20" t="s">
        <v>286</v>
      </c>
      <c r="M79" s="17">
        <v>46152</v>
      </c>
      <c r="N79" s="17"/>
      <c r="O79" s="19" t="str">
        <f t="shared" si="12"/>
        <v/>
      </c>
      <c r="P79" s="19">
        <f>IFERROR(VLOOKUP(B79,Deals[#All],7,FALSE),DEF_LAYTIME)</f>
        <v>2</v>
      </c>
      <c r="Q79" s="19" t="str">
        <f t="shared" si="13"/>
        <v/>
      </c>
      <c r="R79" s="121">
        <f>IFERROR(VLOOKUP(B79,Deals[#All],8,FALSE),DEF_RATE)</f>
        <v>250</v>
      </c>
      <c r="S79" s="121" t="str">
        <f t="shared" si="14"/>
        <v/>
      </c>
      <c r="T79" s="16" t="str">
        <f t="shared" si="15"/>
        <v>PENDING</v>
      </c>
      <c r="U79" s="16" t="str">
        <f t="shared" si="16"/>
        <v>OK</v>
      </c>
      <c r="V79" s="16" t="str">
        <f t="shared" si="17"/>
        <v>2026-05</v>
      </c>
    </row>
    <row r="80" spans="2:22" x14ac:dyDescent="0.25">
      <c r="B80" s="16">
        <v>190261</v>
      </c>
      <c r="C80" s="16" t="s">
        <v>497</v>
      </c>
      <c r="D80" s="20" t="s">
        <v>31</v>
      </c>
      <c r="E80" s="17">
        <v>46147</v>
      </c>
      <c r="F80" s="20" t="s">
        <v>92</v>
      </c>
      <c r="G80" s="20" t="s">
        <v>93</v>
      </c>
      <c r="H80" s="20" t="s">
        <v>94</v>
      </c>
      <c r="I80" s="20" t="s">
        <v>287</v>
      </c>
      <c r="J80" s="20" t="s">
        <v>288</v>
      </c>
      <c r="K80" s="20" t="s">
        <v>38</v>
      </c>
      <c r="L80" s="20" t="s">
        <v>289</v>
      </c>
      <c r="M80" s="17">
        <v>46151</v>
      </c>
      <c r="N80" s="17"/>
      <c r="O80" s="19" t="str">
        <f t="shared" si="12"/>
        <v/>
      </c>
      <c r="P80" s="19">
        <f>IFERROR(VLOOKUP(B80,Deals[#All],7,FALSE),DEF_LAYTIME)</f>
        <v>2</v>
      </c>
      <c r="Q80" s="19" t="str">
        <f t="shared" si="13"/>
        <v/>
      </c>
      <c r="R80" s="121">
        <f>IFERROR(VLOOKUP(B80,Deals[#All],8,FALSE),DEF_RATE)</f>
        <v>250</v>
      </c>
      <c r="S80" s="121" t="str">
        <f t="shared" si="14"/>
        <v/>
      </c>
      <c r="T80" s="16" t="str">
        <f t="shared" si="15"/>
        <v>PENDING</v>
      </c>
      <c r="U80" s="16" t="str">
        <f t="shared" si="16"/>
        <v>OK</v>
      </c>
      <c r="V80" s="16" t="str">
        <f t="shared" si="17"/>
        <v>2026-05</v>
      </c>
    </row>
    <row r="81" spans="2:22" x14ac:dyDescent="0.25">
      <c r="B81" s="16">
        <v>190261</v>
      </c>
      <c r="C81" s="16" t="s">
        <v>497</v>
      </c>
      <c r="D81" s="20" t="s">
        <v>31</v>
      </c>
      <c r="E81" s="17">
        <v>46148</v>
      </c>
      <c r="F81" s="20" t="s">
        <v>92</v>
      </c>
      <c r="G81" s="20" t="s">
        <v>93</v>
      </c>
      <c r="H81" s="20" t="s">
        <v>94</v>
      </c>
      <c r="I81" s="20" t="s">
        <v>290</v>
      </c>
      <c r="J81" s="20" t="s">
        <v>291</v>
      </c>
      <c r="K81" s="20" t="s">
        <v>38</v>
      </c>
      <c r="L81" s="20" t="s">
        <v>292</v>
      </c>
      <c r="M81" s="17">
        <v>46151</v>
      </c>
      <c r="N81" s="17"/>
      <c r="O81" s="19" t="str">
        <f t="shared" si="12"/>
        <v/>
      </c>
      <c r="P81" s="19">
        <f>IFERROR(VLOOKUP(B81,Deals[#All],7,FALSE),DEF_LAYTIME)</f>
        <v>2</v>
      </c>
      <c r="Q81" s="19" t="str">
        <f t="shared" si="13"/>
        <v/>
      </c>
      <c r="R81" s="121">
        <f>IFERROR(VLOOKUP(B81,Deals[#All],8,FALSE),DEF_RATE)</f>
        <v>250</v>
      </c>
      <c r="S81" s="121" t="str">
        <f t="shared" si="14"/>
        <v/>
      </c>
      <c r="T81" s="16" t="str">
        <f t="shared" si="15"/>
        <v>PENDING</v>
      </c>
      <c r="U81" s="16" t="str">
        <f t="shared" si="16"/>
        <v>OK</v>
      </c>
      <c r="V81" s="16" t="str">
        <f t="shared" si="17"/>
        <v>2026-05</v>
      </c>
    </row>
    <row r="82" spans="2:22" x14ac:dyDescent="0.25">
      <c r="B82" s="16">
        <v>190261</v>
      </c>
      <c r="C82" s="16" t="s">
        <v>497</v>
      </c>
      <c r="D82" s="20" t="s">
        <v>31</v>
      </c>
      <c r="E82" s="17">
        <v>46149</v>
      </c>
      <c r="F82" s="20" t="s">
        <v>92</v>
      </c>
      <c r="G82" s="20" t="s">
        <v>93</v>
      </c>
      <c r="H82" s="20" t="s">
        <v>94</v>
      </c>
      <c r="I82" s="20" t="s">
        <v>293</v>
      </c>
      <c r="J82" s="20" t="s">
        <v>294</v>
      </c>
      <c r="K82" s="20" t="s">
        <v>38</v>
      </c>
      <c r="L82" s="20" t="s">
        <v>295</v>
      </c>
      <c r="M82" s="17">
        <v>46152</v>
      </c>
      <c r="N82" s="17"/>
      <c r="O82" s="19" t="str">
        <f t="shared" si="12"/>
        <v/>
      </c>
      <c r="P82" s="19">
        <f>IFERROR(VLOOKUP(B82,Deals[#All],7,FALSE),DEF_LAYTIME)</f>
        <v>2</v>
      </c>
      <c r="Q82" s="19" t="str">
        <f t="shared" si="13"/>
        <v/>
      </c>
      <c r="R82" s="121">
        <f>IFERROR(VLOOKUP(B82,Deals[#All],8,FALSE),DEF_RATE)</f>
        <v>250</v>
      </c>
      <c r="S82" s="121" t="str">
        <f t="shared" si="14"/>
        <v/>
      </c>
      <c r="T82" s="16" t="str">
        <f t="shared" si="15"/>
        <v>PENDING</v>
      </c>
      <c r="U82" s="16" t="str">
        <f t="shared" si="16"/>
        <v>OK</v>
      </c>
      <c r="V82" s="16" t="str">
        <f t="shared" si="17"/>
        <v>2026-05</v>
      </c>
    </row>
    <row r="83" spans="2:22" x14ac:dyDescent="0.25">
      <c r="B83" s="16">
        <v>190261</v>
      </c>
      <c r="C83" s="16" t="s">
        <v>497</v>
      </c>
      <c r="D83" s="20" t="s">
        <v>31</v>
      </c>
      <c r="E83" s="17">
        <v>46147</v>
      </c>
      <c r="F83" s="20" t="s">
        <v>92</v>
      </c>
      <c r="G83" s="20" t="s">
        <v>93</v>
      </c>
      <c r="H83" s="20" t="s">
        <v>94</v>
      </c>
      <c r="I83" s="20" t="s">
        <v>296</v>
      </c>
      <c r="J83" s="20" t="s">
        <v>297</v>
      </c>
      <c r="K83" s="20" t="s">
        <v>38</v>
      </c>
      <c r="L83" s="20" t="s">
        <v>298</v>
      </c>
      <c r="M83" s="17">
        <v>46151</v>
      </c>
      <c r="N83" s="17"/>
      <c r="O83" s="19" t="str">
        <f t="shared" si="12"/>
        <v/>
      </c>
      <c r="P83" s="19">
        <f>IFERROR(VLOOKUP(B83,Deals[#All],7,FALSE),DEF_LAYTIME)</f>
        <v>2</v>
      </c>
      <c r="Q83" s="19" t="str">
        <f t="shared" si="13"/>
        <v/>
      </c>
      <c r="R83" s="121">
        <f>IFERROR(VLOOKUP(B83,Deals[#All],8,FALSE),DEF_RATE)</f>
        <v>250</v>
      </c>
      <c r="S83" s="121" t="str">
        <f t="shared" si="14"/>
        <v/>
      </c>
      <c r="T83" s="16" t="str">
        <f t="shared" si="15"/>
        <v>PENDING</v>
      </c>
      <c r="U83" s="16" t="str">
        <f t="shared" si="16"/>
        <v>OK</v>
      </c>
      <c r="V83" s="16" t="str">
        <f t="shared" si="17"/>
        <v>2026-05</v>
      </c>
    </row>
    <row r="84" spans="2:22" x14ac:dyDescent="0.25">
      <c r="B84" s="16">
        <v>190664</v>
      </c>
      <c r="C84" s="16" t="s">
        <v>498</v>
      </c>
      <c r="D84" s="20" t="s">
        <v>34</v>
      </c>
      <c r="E84" s="17">
        <v>46133</v>
      </c>
      <c r="F84" s="20" t="s">
        <v>92</v>
      </c>
      <c r="G84" s="20" t="s">
        <v>93</v>
      </c>
      <c r="H84" s="20" t="s">
        <v>94</v>
      </c>
      <c r="I84" s="20" t="s">
        <v>299</v>
      </c>
      <c r="J84" s="20" t="s">
        <v>300</v>
      </c>
      <c r="K84" s="20" t="s">
        <v>39</v>
      </c>
      <c r="L84" s="20" t="s">
        <v>301</v>
      </c>
      <c r="M84" s="17">
        <v>46138</v>
      </c>
      <c r="N84" s="17">
        <v>46151</v>
      </c>
      <c r="O84" s="19">
        <f t="shared" si="12"/>
        <v>13</v>
      </c>
      <c r="P84" s="19">
        <f>IFERROR(VLOOKUP(B84,Deals[#All],7,FALSE),DEF_LAYTIME)</f>
        <v>2</v>
      </c>
      <c r="Q84" s="19">
        <f t="shared" si="13"/>
        <v>11</v>
      </c>
      <c r="R84" s="121">
        <f>IFERROR(VLOOKUP(B84,Deals[#All],8,FALSE),DEF_RATE)</f>
        <v>250</v>
      </c>
      <c r="S84" s="121">
        <f t="shared" si="14"/>
        <v>2750</v>
      </c>
      <c r="T84" s="16" t="str">
        <f t="shared" si="15"/>
        <v>DEMURRAGE</v>
      </c>
      <c r="U84" s="16" t="str">
        <f t="shared" si="16"/>
        <v>OK</v>
      </c>
      <c r="V84" s="16" t="str">
        <f t="shared" si="17"/>
        <v>2026-04</v>
      </c>
    </row>
    <row r="85" spans="2:22" x14ac:dyDescent="0.25">
      <c r="B85" s="16">
        <v>190664</v>
      </c>
      <c r="C85" s="16" t="s">
        <v>498</v>
      </c>
      <c r="D85" s="20" t="s">
        <v>34</v>
      </c>
      <c r="E85" s="17">
        <v>46132</v>
      </c>
      <c r="F85" s="20" t="s">
        <v>92</v>
      </c>
      <c r="G85" s="20" t="s">
        <v>93</v>
      </c>
      <c r="H85" s="20" t="s">
        <v>94</v>
      </c>
      <c r="I85" s="20" t="s">
        <v>302</v>
      </c>
      <c r="J85" s="20" t="s">
        <v>303</v>
      </c>
      <c r="K85" s="20" t="s">
        <v>39</v>
      </c>
      <c r="L85" s="20" t="s">
        <v>304</v>
      </c>
      <c r="M85" s="17">
        <v>46138</v>
      </c>
      <c r="N85" s="17">
        <v>46151</v>
      </c>
      <c r="O85" s="19">
        <f t="shared" si="12"/>
        <v>13</v>
      </c>
      <c r="P85" s="19">
        <f>IFERROR(VLOOKUP(B85,Deals[#All],7,FALSE),DEF_LAYTIME)</f>
        <v>2</v>
      </c>
      <c r="Q85" s="19">
        <f t="shared" si="13"/>
        <v>11</v>
      </c>
      <c r="R85" s="121">
        <f>IFERROR(VLOOKUP(B85,Deals[#All],8,FALSE),DEF_RATE)</f>
        <v>250</v>
      </c>
      <c r="S85" s="121">
        <f t="shared" si="14"/>
        <v>2750</v>
      </c>
      <c r="T85" s="16" t="str">
        <f t="shared" si="15"/>
        <v>DEMURRAGE</v>
      </c>
      <c r="U85" s="16" t="str">
        <f t="shared" si="16"/>
        <v>OK</v>
      </c>
      <c r="V85" s="16" t="str">
        <f t="shared" si="17"/>
        <v>2026-04</v>
      </c>
    </row>
    <row r="86" spans="2:22" x14ac:dyDescent="0.25">
      <c r="B86" s="16">
        <v>190664</v>
      </c>
      <c r="C86" s="16" t="s">
        <v>498</v>
      </c>
      <c r="D86" s="20" t="s">
        <v>34</v>
      </c>
      <c r="E86" s="17">
        <v>46133</v>
      </c>
      <c r="F86" s="20" t="s">
        <v>92</v>
      </c>
      <c r="G86" s="20" t="s">
        <v>93</v>
      </c>
      <c r="H86" s="20" t="s">
        <v>94</v>
      </c>
      <c r="I86" s="20" t="s">
        <v>305</v>
      </c>
      <c r="J86" s="20" t="s">
        <v>306</v>
      </c>
      <c r="K86" s="20" t="s">
        <v>39</v>
      </c>
      <c r="L86" s="20" t="s">
        <v>307</v>
      </c>
      <c r="M86" s="17">
        <v>46138</v>
      </c>
      <c r="N86" s="17">
        <v>46143</v>
      </c>
      <c r="O86" s="19">
        <f t="shared" si="12"/>
        <v>5</v>
      </c>
      <c r="P86" s="19">
        <f>IFERROR(VLOOKUP(B86,Deals[#All],7,FALSE),DEF_LAYTIME)</f>
        <v>2</v>
      </c>
      <c r="Q86" s="19">
        <f t="shared" si="13"/>
        <v>3</v>
      </c>
      <c r="R86" s="121">
        <f>IFERROR(VLOOKUP(B86,Deals[#All],8,FALSE),DEF_RATE)</f>
        <v>250</v>
      </c>
      <c r="S86" s="121">
        <f t="shared" si="14"/>
        <v>750</v>
      </c>
      <c r="T86" s="16" t="str">
        <f t="shared" si="15"/>
        <v>DEMURRAGE</v>
      </c>
      <c r="U86" s="16" t="str">
        <f t="shared" si="16"/>
        <v>OK</v>
      </c>
      <c r="V86" s="16" t="str">
        <f t="shared" si="17"/>
        <v>2026-04</v>
      </c>
    </row>
    <row r="87" spans="2:22" x14ac:dyDescent="0.25">
      <c r="B87" s="16">
        <v>190664</v>
      </c>
      <c r="C87" s="16" t="s">
        <v>498</v>
      </c>
      <c r="D87" s="20" t="s">
        <v>34</v>
      </c>
      <c r="E87" s="17">
        <v>46133</v>
      </c>
      <c r="F87" s="20" t="s">
        <v>92</v>
      </c>
      <c r="G87" s="20" t="s">
        <v>93</v>
      </c>
      <c r="H87" s="20" t="s">
        <v>94</v>
      </c>
      <c r="I87" s="20" t="s">
        <v>308</v>
      </c>
      <c r="J87" s="20" t="s">
        <v>309</v>
      </c>
      <c r="K87" s="20" t="s">
        <v>39</v>
      </c>
      <c r="L87" s="20" t="s">
        <v>310</v>
      </c>
      <c r="M87" s="17">
        <v>46138</v>
      </c>
      <c r="N87" s="17">
        <v>46143</v>
      </c>
      <c r="O87" s="19">
        <f t="shared" si="12"/>
        <v>5</v>
      </c>
      <c r="P87" s="19">
        <f>IFERROR(VLOOKUP(B87,Deals[#All],7,FALSE),DEF_LAYTIME)</f>
        <v>2</v>
      </c>
      <c r="Q87" s="19">
        <f t="shared" si="13"/>
        <v>3</v>
      </c>
      <c r="R87" s="121">
        <f>IFERROR(VLOOKUP(B87,Deals[#All],8,FALSE),DEF_RATE)</f>
        <v>250</v>
      </c>
      <c r="S87" s="121">
        <f t="shared" si="14"/>
        <v>750</v>
      </c>
      <c r="T87" s="16" t="str">
        <f t="shared" si="15"/>
        <v>DEMURRAGE</v>
      </c>
      <c r="U87" s="16" t="str">
        <f t="shared" si="16"/>
        <v>OK</v>
      </c>
      <c r="V87" s="16" t="str">
        <f t="shared" si="17"/>
        <v>2026-04</v>
      </c>
    </row>
    <row r="88" spans="2:22" x14ac:dyDescent="0.25">
      <c r="B88" s="16">
        <v>190664</v>
      </c>
      <c r="C88" s="16" t="s">
        <v>498</v>
      </c>
      <c r="D88" s="20" t="s">
        <v>34</v>
      </c>
      <c r="E88" s="17">
        <v>46133</v>
      </c>
      <c r="F88" s="20" t="s">
        <v>92</v>
      </c>
      <c r="G88" s="20" t="s">
        <v>93</v>
      </c>
      <c r="H88" s="20" t="s">
        <v>94</v>
      </c>
      <c r="I88" s="20" t="s">
        <v>311</v>
      </c>
      <c r="J88" s="20" t="s">
        <v>312</v>
      </c>
      <c r="K88" s="20" t="s">
        <v>39</v>
      </c>
      <c r="L88" s="20" t="s">
        <v>313</v>
      </c>
      <c r="M88" s="17">
        <v>46138</v>
      </c>
      <c r="N88" s="17">
        <v>46143</v>
      </c>
      <c r="O88" s="19">
        <f t="shared" si="12"/>
        <v>5</v>
      </c>
      <c r="P88" s="19">
        <f>IFERROR(VLOOKUP(B88,Deals[#All],7,FALSE),DEF_LAYTIME)</f>
        <v>2</v>
      </c>
      <c r="Q88" s="19">
        <f t="shared" si="13"/>
        <v>3</v>
      </c>
      <c r="R88" s="121">
        <f>IFERROR(VLOOKUP(B88,Deals[#All],8,FALSE),DEF_RATE)</f>
        <v>250</v>
      </c>
      <c r="S88" s="121">
        <f t="shared" si="14"/>
        <v>750</v>
      </c>
      <c r="T88" s="16" t="str">
        <f t="shared" si="15"/>
        <v>DEMURRAGE</v>
      </c>
      <c r="U88" s="16" t="str">
        <f t="shared" si="16"/>
        <v>OK</v>
      </c>
      <c r="V88" s="16" t="str">
        <f t="shared" si="17"/>
        <v>2026-04</v>
      </c>
    </row>
    <row r="89" spans="2:22" x14ac:dyDescent="0.25">
      <c r="B89" s="16">
        <v>190664</v>
      </c>
      <c r="C89" s="16" t="s">
        <v>498</v>
      </c>
      <c r="D89" s="20" t="s">
        <v>34</v>
      </c>
      <c r="E89" s="17">
        <v>46133</v>
      </c>
      <c r="F89" s="20" t="s">
        <v>92</v>
      </c>
      <c r="G89" s="20" t="s">
        <v>93</v>
      </c>
      <c r="H89" s="20" t="s">
        <v>94</v>
      </c>
      <c r="I89" s="20" t="s">
        <v>314</v>
      </c>
      <c r="J89" s="20" t="s">
        <v>315</v>
      </c>
      <c r="K89" s="20" t="s">
        <v>39</v>
      </c>
      <c r="L89" s="20" t="s">
        <v>316</v>
      </c>
      <c r="M89" s="17">
        <v>46138</v>
      </c>
      <c r="N89" s="17">
        <v>46143</v>
      </c>
      <c r="O89" s="19">
        <f t="shared" si="12"/>
        <v>5</v>
      </c>
      <c r="P89" s="19">
        <f>IFERROR(VLOOKUP(B89,Deals[#All],7,FALSE),DEF_LAYTIME)</f>
        <v>2</v>
      </c>
      <c r="Q89" s="19">
        <f t="shared" si="13"/>
        <v>3</v>
      </c>
      <c r="R89" s="121">
        <f>IFERROR(VLOOKUP(B89,Deals[#All],8,FALSE),DEF_RATE)</f>
        <v>250</v>
      </c>
      <c r="S89" s="121">
        <f t="shared" si="14"/>
        <v>750</v>
      </c>
      <c r="T89" s="16" t="str">
        <f t="shared" si="15"/>
        <v>DEMURRAGE</v>
      </c>
      <c r="U89" s="16" t="str">
        <f t="shared" si="16"/>
        <v>OK</v>
      </c>
      <c r="V89" s="16" t="str">
        <f t="shared" si="17"/>
        <v>2026-04</v>
      </c>
    </row>
    <row r="90" spans="2:22" x14ac:dyDescent="0.25">
      <c r="B90" s="16">
        <v>190664</v>
      </c>
      <c r="C90" s="16" t="s">
        <v>498</v>
      </c>
      <c r="D90" s="20" t="s">
        <v>34</v>
      </c>
      <c r="E90" s="17">
        <v>46133</v>
      </c>
      <c r="F90" s="20" t="s">
        <v>92</v>
      </c>
      <c r="G90" s="20" t="s">
        <v>93</v>
      </c>
      <c r="H90" s="20" t="s">
        <v>94</v>
      </c>
      <c r="I90" s="20" t="s">
        <v>317</v>
      </c>
      <c r="J90" s="20" t="s">
        <v>318</v>
      </c>
      <c r="K90" s="20" t="s">
        <v>39</v>
      </c>
      <c r="L90" s="20" t="s">
        <v>319</v>
      </c>
      <c r="M90" s="17">
        <v>46138</v>
      </c>
      <c r="N90" s="17">
        <v>46143</v>
      </c>
      <c r="O90" s="19">
        <f t="shared" si="12"/>
        <v>5</v>
      </c>
      <c r="P90" s="19">
        <f>IFERROR(VLOOKUP(B90,Deals[#All],7,FALSE),DEF_LAYTIME)</f>
        <v>2</v>
      </c>
      <c r="Q90" s="19">
        <f t="shared" si="13"/>
        <v>3</v>
      </c>
      <c r="R90" s="121">
        <f>IFERROR(VLOOKUP(B90,Deals[#All],8,FALSE),DEF_RATE)</f>
        <v>250</v>
      </c>
      <c r="S90" s="121">
        <f t="shared" si="14"/>
        <v>750</v>
      </c>
      <c r="T90" s="16" t="str">
        <f t="shared" si="15"/>
        <v>DEMURRAGE</v>
      </c>
      <c r="U90" s="16" t="str">
        <f t="shared" si="16"/>
        <v>OK</v>
      </c>
      <c r="V90" s="16" t="str">
        <f t="shared" si="17"/>
        <v>2026-04</v>
      </c>
    </row>
    <row r="91" spans="2:22" x14ac:dyDescent="0.25">
      <c r="B91" s="16">
        <v>190664</v>
      </c>
      <c r="C91" s="16" t="s">
        <v>498</v>
      </c>
      <c r="D91" s="20" t="s">
        <v>34</v>
      </c>
      <c r="E91" s="17">
        <v>46133</v>
      </c>
      <c r="F91" s="20" t="s">
        <v>92</v>
      </c>
      <c r="G91" s="20" t="s">
        <v>93</v>
      </c>
      <c r="H91" s="20" t="s">
        <v>94</v>
      </c>
      <c r="I91" s="20" t="s">
        <v>320</v>
      </c>
      <c r="J91" s="20" t="s">
        <v>321</v>
      </c>
      <c r="K91" s="20" t="s">
        <v>39</v>
      </c>
      <c r="L91" s="20" t="s">
        <v>322</v>
      </c>
      <c r="M91" s="17">
        <v>46139</v>
      </c>
      <c r="N91" s="17">
        <v>46146</v>
      </c>
      <c r="O91" s="19">
        <f t="shared" si="12"/>
        <v>7</v>
      </c>
      <c r="P91" s="19">
        <f>IFERROR(VLOOKUP(B91,Deals[#All],7,FALSE),DEF_LAYTIME)</f>
        <v>2</v>
      </c>
      <c r="Q91" s="19">
        <f t="shared" si="13"/>
        <v>5</v>
      </c>
      <c r="R91" s="121">
        <f>IFERROR(VLOOKUP(B91,Deals[#All],8,FALSE),DEF_RATE)</f>
        <v>250</v>
      </c>
      <c r="S91" s="121">
        <f t="shared" si="14"/>
        <v>1250</v>
      </c>
      <c r="T91" s="16" t="str">
        <f t="shared" si="15"/>
        <v>DEMURRAGE</v>
      </c>
      <c r="U91" s="16" t="str">
        <f t="shared" si="16"/>
        <v>OK</v>
      </c>
      <c r="V91" s="16" t="str">
        <f t="shared" si="17"/>
        <v>2026-04</v>
      </c>
    </row>
    <row r="92" spans="2:22" x14ac:dyDescent="0.25">
      <c r="B92" s="16">
        <v>190664</v>
      </c>
      <c r="C92" s="16" t="s">
        <v>498</v>
      </c>
      <c r="D92" s="20" t="s">
        <v>34</v>
      </c>
      <c r="E92" s="17">
        <v>46133</v>
      </c>
      <c r="F92" s="20" t="s">
        <v>92</v>
      </c>
      <c r="G92" s="20" t="s">
        <v>93</v>
      </c>
      <c r="H92" s="20" t="s">
        <v>94</v>
      </c>
      <c r="I92" s="20" t="s">
        <v>323</v>
      </c>
      <c r="J92" s="20" t="s">
        <v>324</v>
      </c>
      <c r="K92" s="20" t="s">
        <v>39</v>
      </c>
      <c r="L92" s="20" t="s">
        <v>325</v>
      </c>
      <c r="M92" s="17">
        <v>46138</v>
      </c>
      <c r="N92" s="17">
        <v>46146</v>
      </c>
      <c r="O92" s="19">
        <f t="shared" si="12"/>
        <v>8</v>
      </c>
      <c r="P92" s="19">
        <f>IFERROR(VLOOKUP(B92,Deals[#All],7,FALSE),DEF_LAYTIME)</f>
        <v>2</v>
      </c>
      <c r="Q92" s="19">
        <f t="shared" si="13"/>
        <v>6</v>
      </c>
      <c r="R92" s="121">
        <f>IFERROR(VLOOKUP(B92,Deals[#All],8,FALSE),DEF_RATE)</f>
        <v>250</v>
      </c>
      <c r="S92" s="121">
        <f t="shared" si="14"/>
        <v>1500</v>
      </c>
      <c r="T92" s="16" t="str">
        <f t="shared" si="15"/>
        <v>DEMURRAGE</v>
      </c>
      <c r="U92" s="16" t="str">
        <f t="shared" si="16"/>
        <v>OK</v>
      </c>
      <c r="V92" s="16" t="str">
        <f t="shared" si="17"/>
        <v>2026-04</v>
      </c>
    </row>
    <row r="93" spans="2:22" x14ac:dyDescent="0.25">
      <c r="B93" s="16">
        <v>190664</v>
      </c>
      <c r="C93" s="16" t="s">
        <v>498</v>
      </c>
      <c r="D93" s="20" t="s">
        <v>34</v>
      </c>
      <c r="E93" s="17">
        <v>46133</v>
      </c>
      <c r="F93" s="20" t="s">
        <v>92</v>
      </c>
      <c r="G93" s="20" t="s">
        <v>93</v>
      </c>
      <c r="H93" s="20" t="s">
        <v>94</v>
      </c>
      <c r="I93" s="20" t="s">
        <v>326</v>
      </c>
      <c r="J93" s="20" t="s">
        <v>327</v>
      </c>
      <c r="K93" s="20" t="s">
        <v>39</v>
      </c>
      <c r="L93" s="20" t="s">
        <v>328</v>
      </c>
      <c r="M93" s="17">
        <v>46139</v>
      </c>
      <c r="N93" s="17">
        <v>46143</v>
      </c>
      <c r="O93" s="19">
        <f t="shared" si="12"/>
        <v>4</v>
      </c>
      <c r="P93" s="19">
        <f>IFERROR(VLOOKUP(B93,Deals[#All],7,FALSE),DEF_LAYTIME)</f>
        <v>2</v>
      </c>
      <c r="Q93" s="19">
        <f t="shared" si="13"/>
        <v>2</v>
      </c>
      <c r="R93" s="121">
        <f>IFERROR(VLOOKUP(B93,Deals[#All],8,FALSE),DEF_RATE)</f>
        <v>250</v>
      </c>
      <c r="S93" s="121">
        <f t="shared" si="14"/>
        <v>500</v>
      </c>
      <c r="T93" s="16" t="str">
        <f t="shared" si="15"/>
        <v>DEMURRAGE</v>
      </c>
      <c r="U93" s="16" t="str">
        <f t="shared" si="16"/>
        <v>OK</v>
      </c>
      <c r="V93" s="16" t="str">
        <f t="shared" si="17"/>
        <v>2026-04</v>
      </c>
    </row>
    <row r="94" spans="2:22" x14ac:dyDescent="0.25">
      <c r="B94" s="16">
        <v>190664</v>
      </c>
      <c r="C94" s="16" t="s">
        <v>498</v>
      </c>
      <c r="D94" s="20" t="s">
        <v>34</v>
      </c>
      <c r="E94" s="17">
        <v>46133</v>
      </c>
      <c r="F94" s="20" t="s">
        <v>92</v>
      </c>
      <c r="G94" s="20" t="s">
        <v>93</v>
      </c>
      <c r="H94" s="20" t="s">
        <v>94</v>
      </c>
      <c r="I94" s="20" t="s">
        <v>329</v>
      </c>
      <c r="J94" s="20" t="s">
        <v>330</v>
      </c>
      <c r="K94" s="20" t="s">
        <v>39</v>
      </c>
      <c r="L94" s="20" t="s">
        <v>121</v>
      </c>
      <c r="M94" s="17">
        <v>46138</v>
      </c>
      <c r="N94" s="17">
        <v>46143</v>
      </c>
      <c r="O94" s="19">
        <f t="shared" si="12"/>
        <v>5</v>
      </c>
      <c r="P94" s="19">
        <f>IFERROR(VLOOKUP(B94,Deals[#All],7,FALSE),DEF_LAYTIME)</f>
        <v>2</v>
      </c>
      <c r="Q94" s="19">
        <f t="shared" si="13"/>
        <v>3</v>
      </c>
      <c r="R94" s="121">
        <f>IFERROR(VLOOKUP(B94,Deals[#All],8,FALSE),DEF_RATE)</f>
        <v>250</v>
      </c>
      <c r="S94" s="121">
        <f t="shared" si="14"/>
        <v>750</v>
      </c>
      <c r="T94" s="16" t="str">
        <f t="shared" si="15"/>
        <v>DEMURRAGE</v>
      </c>
      <c r="U94" s="16" t="str">
        <f t="shared" si="16"/>
        <v>OK</v>
      </c>
      <c r="V94" s="16" t="str">
        <f t="shared" si="17"/>
        <v>2026-04</v>
      </c>
    </row>
    <row r="95" spans="2:22" x14ac:dyDescent="0.25">
      <c r="B95" s="16">
        <v>190664</v>
      </c>
      <c r="C95" s="16" t="s">
        <v>498</v>
      </c>
      <c r="D95" s="20" t="s">
        <v>34</v>
      </c>
      <c r="E95" s="17">
        <v>46132</v>
      </c>
      <c r="F95" s="20" t="s">
        <v>92</v>
      </c>
      <c r="G95" s="20" t="s">
        <v>93</v>
      </c>
      <c r="H95" s="20" t="s">
        <v>94</v>
      </c>
      <c r="I95" s="20" t="s">
        <v>331</v>
      </c>
      <c r="J95" s="20" t="s">
        <v>332</v>
      </c>
      <c r="K95" s="20" t="s">
        <v>39</v>
      </c>
      <c r="L95" s="20" t="s">
        <v>333</v>
      </c>
      <c r="M95" s="17">
        <v>46138</v>
      </c>
      <c r="N95" s="17">
        <v>46146</v>
      </c>
      <c r="O95" s="19">
        <f t="shared" si="12"/>
        <v>8</v>
      </c>
      <c r="P95" s="19">
        <f>IFERROR(VLOOKUP(B95,Deals[#All],7,FALSE),DEF_LAYTIME)</f>
        <v>2</v>
      </c>
      <c r="Q95" s="19">
        <f t="shared" si="13"/>
        <v>6</v>
      </c>
      <c r="R95" s="121">
        <f>IFERROR(VLOOKUP(B95,Deals[#All],8,FALSE),DEF_RATE)</f>
        <v>250</v>
      </c>
      <c r="S95" s="121">
        <f t="shared" si="14"/>
        <v>1500</v>
      </c>
      <c r="T95" s="16" t="str">
        <f t="shared" si="15"/>
        <v>DEMURRAGE</v>
      </c>
      <c r="U95" s="16" t="str">
        <f t="shared" si="16"/>
        <v>OK</v>
      </c>
      <c r="V95" s="16" t="str">
        <f t="shared" si="17"/>
        <v>2026-04</v>
      </c>
    </row>
    <row r="96" spans="2:22" x14ac:dyDescent="0.25">
      <c r="B96" s="16">
        <v>190664</v>
      </c>
      <c r="C96" s="16" t="s">
        <v>498</v>
      </c>
      <c r="D96" s="20" t="s">
        <v>34</v>
      </c>
      <c r="E96" s="17">
        <v>46133</v>
      </c>
      <c r="F96" s="20" t="s">
        <v>92</v>
      </c>
      <c r="G96" s="20" t="s">
        <v>93</v>
      </c>
      <c r="H96" s="20" t="s">
        <v>94</v>
      </c>
      <c r="I96" s="20" t="s">
        <v>334</v>
      </c>
      <c r="J96" s="20" t="s">
        <v>335</v>
      </c>
      <c r="K96" s="20" t="s">
        <v>39</v>
      </c>
      <c r="L96" s="20" t="s">
        <v>336</v>
      </c>
      <c r="M96" s="17">
        <v>46139</v>
      </c>
      <c r="N96" s="17">
        <v>46147</v>
      </c>
      <c r="O96" s="19">
        <f t="shared" si="12"/>
        <v>8</v>
      </c>
      <c r="P96" s="19">
        <f>IFERROR(VLOOKUP(B96,Deals[#All],7,FALSE),DEF_LAYTIME)</f>
        <v>2</v>
      </c>
      <c r="Q96" s="19">
        <f t="shared" si="13"/>
        <v>6</v>
      </c>
      <c r="R96" s="121">
        <f>IFERROR(VLOOKUP(B96,Deals[#All],8,FALSE),DEF_RATE)</f>
        <v>250</v>
      </c>
      <c r="S96" s="121">
        <f t="shared" si="14"/>
        <v>1500</v>
      </c>
      <c r="T96" s="16" t="str">
        <f t="shared" si="15"/>
        <v>DEMURRAGE</v>
      </c>
      <c r="U96" s="16" t="str">
        <f t="shared" si="16"/>
        <v>OK</v>
      </c>
      <c r="V96" s="16" t="str">
        <f t="shared" si="17"/>
        <v>2026-04</v>
      </c>
    </row>
    <row r="97" spans="2:22" x14ac:dyDescent="0.25">
      <c r="B97" s="16">
        <v>190664</v>
      </c>
      <c r="C97" s="16" t="s">
        <v>498</v>
      </c>
      <c r="D97" s="20" t="s">
        <v>34</v>
      </c>
      <c r="E97" s="17">
        <v>46132</v>
      </c>
      <c r="F97" s="20" t="s">
        <v>92</v>
      </c>
      <c r="G97" s="20" t="s">
        <v>93</v>
      </c>
      <c r="H97" s="20" t="s">
        <v>94</v>
      </c>
      <c r="I97" s="20" t="s">
        <v>337</v>
      </c>
      <c r="J97" s="20" t="s">
        <v>338</v>
      </c>
      <c r="K97" s="20" t="s">
        <v>39</v>
      </c>
      <c r="L97" s="20" t="s">
        <v>339</v>
      </c>
      <c r="M97" s="17">
        <v>46138</v>
      </c>
      <c r="N97" s="17">
        <v>46150</v>
      </c>
      <c r="O97" s="19">
        <f t="shared" si="12"/>
        <v>12</v>
      </c>
      <c r="P97" s="19">
        <f>IFERROR(VLOOKUP(B97,Deals[#All],7,FALSE),DEF_LAYTIME)</f>
        <v>2</v>
      </c>
      <c r="Q97" s="19">
        <f t="shared" si="13"/>
        <v>10</v>
      </c>
      <c r="R97" s="121">
        <f>IFERROR(VLOOKUP(B97,Deals[#All],8,FALSE),DEF_RATE)</f>
        <v>250</v>
      </c>
      <c r="S97" s="121">
        <f t="shared" si="14"/>
        <v>2500</v>
      </c>
      <c r="T97" s="16" t="str">
        <f t="shared" si="15"/>
        <v>DEMURRAGE</v>
      </c>
      <c r="U97" s="16" t="str">
        <f t="shared" si="16"/>
        <v>OK</v>
      </c>
      <c r="V97" s="16" t="str">
        <f t="shared" si="17"/>
        <v>2026-04</v>
      </c>
    </row>
    <row r="98" spans="2:22" x14ac:dyDescent="0.25">
      <c r="B98" s="16">
        <v>190664</v>
      </c>
      <c r="C98" s="16" t="s">
        <v>498</v>
      </c>
      <c r="D98" s="20" t="s">
        <v>34</v>
      </c>
      <c r="E98" s="17">
        <v>46132</v>
      </c>
      <c r="F98" s="20" t="s">
        <v>92</v>
      </c>
      <c r="G98" s="20" t="s">
        <v>93</v>
      </c>
      <c r="H98" s="20" t="s">
        <v>94</v>
      </c>
      <c r="I98" s="20" t="s">
        <v>340</v>
      </c>
      <c r="J98" s="20" t="s">
        <v>341</v>
      </c>
      <c r="K98" s="20" t="s">
        <v>39</v>
      </c>
      <c r="L98" s="20" t="s">
        <v>342</v>
      </c>
      <c r="M98" s="17">
        <v>46138</v>
      </c>
      <c r="N98" s="17">
        <v>46150</v>
      </c>
      <c r="O98" s="19">
        <f t="shared" si="12"/>
        <v>12</v>
      </c>
      <c r="P98" s="19">
        <f>IFERROR(VLOOKUP(B98,Deals[#All],7,FALSE),DEF_LAYTIME)</f>
        <v>2</v>
      </c>
      <c r="Q98" s="19">
        <f t="shared" si="13"/>
        <v>10</v>
      </c>
      <c r="R98" s="121">
        <f>IFERROR(VLOOKUP(B98,Deals[#All],8,FALSE),DEF_RATE)</f>
        <v>250</v>
      </c>
      <c r="S98" s="121">
        <f t="shared" si="14"/>
        <v>2500</v>
      </c>
      <c r="T98" s="16" t="str">
        <f t="shared" si="15"/>
        <v>DEMURRAGE</v>
      </c>
      <c r="U98" s="16" t="str">
        <f t="shared" si="16"/>
        <v>OK</v>
      </c>
      <c r="V98" s="16" t="str">
        <f t="shared" si="17"/>
        <v>2026-04</v>
      </c>
    </row>
    <row r="99" spans="2:22" x14ac:dyDescent="0.25">
      <c r="B99" s="16">
        <v>190664</v>
      </c>
      <c r="C99" s="16" t="s">
        <v>498</v>
      </c>
      <c r="D99" s="20" t="s">
        <v>34</v>
      </c>
      <c r="E99" s="17">
        <v>46132</v>
      </c>
      <c r="F99" s="20" t="s">
        <v>92</v>
      </c>
      <c r="G99" s="20" t="s">
        <v>93</v>
      </c>
      <c r="H99" s="20" t="s">
        <v>94</v>
      </c>
      <c r="I99" s="20" t="s">
        <v>343</v>
      </c>
      <c r="J99" s="20" t="s">
        <v>344</v>
      </c>
      <c r="K99" s="20" t="s">
        <v>39</v>
      </c>
      <c r="L99" s="20" t="s">
        <v>127</v>
      </c>
      <c r="M99" s="17">
        <v>46138</v>
      </c>
      <c r="N99" s="17">
        <v>46143</v>
      </c>
      <c r="O99" s="19">
        <f t="shared" si="12"/>
        <v>5</v>
      </c>
      <c r="P99" s="19">
        <f>IFERROR(VLOOKUP(B99,Deals[#All],7,FALSE),DEF_LAYTIME)</f>
        <v>2</v>
      </c>
      <c r="Q99" s="19">
        <f t="shared" si="13"/>
        <v>3</v>
      </c>
      <c r="R99" s="121">
        <f>IFERROR(VLOOKUP(B99,Deals[#All],8,FALSE),DEF_RATE)</f>
        <v>250</v>
      </c>
      <c r="S99" s="121">
        <f t="shared" si="14"/>
        <v>750</v>
      </c>
      <c r="T99" s="16" t="str">
        <f t="shared" si="15"/>
        <v>DEMURRAGE</v>
      </c>
      <c r="U99" s="16" t="str">
        <f t="shared" si="16"/>
        <v>OK</v>
      </c>
      <c r="V99" s="16" t="str">
        <f t="shared" si="17"/>
        <v>2026-04</v>
      </c>
    </row>
    <row r="100" spans="2:22" x14ac:dyDescent="0.25">
      <c r="B100" s="16">
        <v>190664</v>
      </c>
      <c r="C100" s="16" t="s">
        <v>498</v>
      </c>
      <c r="D100" s="20" t="s">
        <v>34</v>
      </c>
      <c r="E100" s="17">
        <v>46133</v>
      </c>
      <c r="F100" s="20" t="s">
        <v>92</v>
      </c>
      <c r="G100" s="20" t="s">
        <v>93</v>
      </c>
      <c r="H100" s="20" t="s">
        <v>94</v>
      </c>
      <c r="I100" s="20" t="s">
        <v>345</v>
      </c>
      <c r="J100" s="20" t="s">
        <v>346</v>
      </c>
      <c r="K100" s="20" t="s">
        <v>39</v>
      </c>
      <c r="L100" s="20" t="s">
        <v>347</v>
      </c>
      <c r="M100" s="17">
        <v>46139</v>
      </c>
      <c r="N100" s="17">
        <v>46146</v>
      </c>
      <c r="O100" s="19">
        <f t="shared" si="12"/>
        <v>7</v>
      </c>
      <c r="P100" s="19">
        <f>IFERROR(VLOOKUP(B100,Deals[#All],7,FALSE),DEF_LAYTIME)</f>
        <v>2</v>
      </c>
      <c r="Q100" s="19">
        <f t="shared" si="13"/>
        <v>5</v>
      </c>
      <c r="R100" s="121">
        <f>IFERROR(VLOOKUP(B100,Deals[#All],8,FALSE),DEF_RATE)</f>
        <v>250</v>
      </c>
      <c r="S100" s="121">
        <f t="shared" si="14"/>
        <v>1250</v>
      </c>
      <c r="T100" s="16" t="str">
        <f t="shared" si="15"/>
        <v>DEMURRAGE</v>
      </c>
      <c r="U100" s="16" t="str">
        <f t="shared" si="16"/>
        <v>OK</v>
      </c>
      <c r="V100" s="16" t="str">
        <f t="shared" si="17"/>
        <v>2026-04</v>
      </c>
    </row>
    <row r="101" spans="2:22" x14ac:dyDescent="0.25">
      <c r="B101" s="16">
        <v>190664</v>
      </c>
      <c r="C101" s="16" t="s">
        <v>498</v>
      </c>
      <c r="D101" s="20" t="s">
        <v>34</v>
      </c>
      <c r="E101" s="17">
        <v>46137</v>
      </c>
      <c r="F101" s="20" t="s">
        <v>92</v>
      </c>
      <c r="G101" s="20" t="s">
        <v>93</v>
      </c>
      <c r="H101" s="20" t="s">
        <v>94</v>
      </c>
      <c r="I101" s="20" t="s">
        <v>260</v>
      </c>
      <c r="J101" s="20" t="s">
        <v>261</v>
      </c>
      <c r="K101" s="20" t="s">
        <v>39</v>
      </c>
      <c r="L101" s="20" t="s">
        <v>348</v>
      </c>
      <c r="M101" s="17">
        <v>46142</v>
      </c>
      <c r="N101" s="17">
        <v>46148</v>
      </c>
      <c r="O101" s="19">
        <f t="shared" si="12"/>
        <v>6</v>
      </c>
      <c r="P101" s="19">
        <f>IFERROR(VLOOKUP(B101,Deals[#All],7,FALSE),DEF_LAYTIME)</f>
        <v>2</v>
      </c>
      <c r="Q101" s="19">
        <f t="shared" si="13"/>
        <v>4</v>
      </c>
      <c r="R101" s="121">
        <f>IFERROR(VLOOKUP(B101,Deals[#All],8,FALSE),DEF_RATE)</f>
        <v>250</v>
      </c>
      <c r="S101" s="121">
        <f t="shared" si="14"/>
        <v>1000</v>
      </c>
      <c r="T101" s="16" t="str">
        <f t="shared" si="15"/>
        <v>DEMURRAGE</v>
      </c>
      <c r="U101" s="16" t="str">
        <f t="shared" si="16"/>
        <v>OK</v>
      </c>
      <c r="V101" s="16" t="str">
        <f t="shared" si="17"/>
        <v>2026-04</v>
      </c>
    </row>
    <row r="102" spans="2:22" x14ac:dyDescent="0.25">
      <c r="B102" s="16">
        <v>190664</v>
      </c>
      <c r="C102" s="16" t="s">
        <v>498</v>
      </c>
      <c r="D102" s="20" t="s">
        <v>34</v>
      </c>
      <c r="E102" s="17">
        <v>46134</v>
      </c>
      <c r="F102" s="20" t="s">
        <v>92</v>
      </c>
      <c r="G102" s="20" t="s">
        <v>93</v>
      </c>
      <c r="H102" s="20" t="s">
        <v>94</v>
      </c>
      <c r="I102" s="20" t="s">
        <v>349</v>
      </c>
      <c r="J102" s="20" t="s">
        <v>350</v>
      </c>
      <c r="K102" s="20" t="s">
        <v>39</v>
      </c>
      <c r="L102" s="20" t="s">
        <v>351</v>
      </c>
      <c r="M102" s="17">
        <v>46140</v>
      </c>
      <c r="N102" s="17">
        <v>46142</v>
      </c>
      <c r="O102" s="19">
        <f t="shared" si="12"/>
        <v>2</v>
      </c>
      <c r="P102" s="19">
        <f>IFERROR(VLOOKUP(B102,Deals[#All],7,FALSE),DEF_LAYTIME)</f>
        <v>2</v>
      </c>
      <c r="Q102" s="19">
        <f t="shared" si="13"/>
        <v>0</v>
      </c>
      <c r="R102" s="121">
        <f>IFERROR(VLOOKUP(B102,Deals[#All],8,FALSE),DEF_RATE)</f>
        <v>250</v>
      </c>
      <c r="S102" s="121">
        <f t="shared" si="14"/>
        <v>0</v>
      </c>
      <c r="T102" s="16" t="str">
        <f t="shared" si="15"/>
        <v>ON-TIME</v>
      </c>
      <c r="U102" s="16" t="str">
        <f t="shared" si="16"/>
        <v>OK</v>
      </c>
      <c r="V102" s="16" t="str">
        <f t="shared" si="17"/>
        <v>2026-04</v>
      </c>
    </row>
    <row r="103" spans="2:22" x14ac:dyDescent="0.25">
      <c r="B103" s="16">
        <v>190664</v>
      </c>
      <c r="C103" s="16" t="s">
        <v>498</v>
      </c>
      <c r="D103" s="20" t="s">
        <v>34</v>
      </c>
      <c r="E103" s="17">
        <v>46143</v>
      </c>
      <c r="F103" s="20" t="s">
        <v>92</v>
      </c>
      <c r="G103" s="20" t="s">
        <v>93</v>
      </c>
      <c r="H103" s="20" t="s">
        <v>94</v>
      </c>
      <c r="I103" s="20" t="s">
        <v>352</v>
      </c>
      <c r="J103" s="20" t="s">
        <v>353</v>
      </c>
      <c r="K103" s="20" t="s">
        <v>39</v>
      </c>
      <c r="L103" s="20" t="s">
        <v>354</v>
      </c>
      <c r="M103" s="17">
        <v>46148</v>
      </c>
      <c r="N103" s="17">
        <v>46148</v>
      </c>
      <c r="O103" s="19">
        <f t="shared" ref="O103:O134" si="18">IF(OR(M103="",N103=""),"",N103-M103)</f>
        <v>0</v>
      </c>
      <c r="P103" s="19">
        <f>IFERROR(VLOOKUP(B103,Deals[#All],7,FALSE),DEF_LAYTIME)</f>
        <v>2</v>
      </c>
      <c r="Q103" s="19">
        <f t="shared" ref="Q103:Q134" si="19">IF(O103="","",MAX(0,O103-P103))</f>
        <v>0</v>
      </c>
      <c r="R103" s="121">
        <f>IFERROR(VLOOKUP(B103,Deals[#All],8,FALSE),DEF_RATE)</f>
        <v>250</v>
      </c>
      <c r="S103" s="121">
        <f t="shared" ref="S103:S134" si="20">IF(Q103="","",Q103*R103)</f>
        <v>0</v>
      </c>
      <c r="T103" s="16" t="str">
        <f t="shared" ref="T103:T137" si="21">IF(O103="","PENDING",IF(Q103&gt;0,"DEMURRAGE","ON-TIME"))</f>
        <v>ON-TIME</v>
      </c>
      <c r="U103" s="16" t="str">
        <f t="shared" ref="U103:U137" si="22">IF(AND(E103&lt;&gt;"",M103&lt;&gt;"",M103&lt;E103),"⚠ Arr&lt;Loaded",IF(AND(M103&lt;&gt;"",N103&lt;&gt;"",N103&lt;M103),"⚠ Off&lt;Arr","OK"))</f>
        <v>OK</v>
      </c>
      <c r="V103" s="16" t="str">
        <f t="shared" ref="V103:V137" si="23">IF(E103="","",TEXT(E103,"yyyy-mm"))</f>
        <v>2026-05</v>
      </c>
    </row>
    <row r="104" spans="2:22" x14ac:dyDescent="0.25">
      <c r="B104" s="16">
        <v>190664</v>
      </c>
      <c r="C104" s="16" t="s">
        <v>498</v>
      </c>
      <c r="D104" s="20" t="s">
        <v>34</v>
      </c>
      <c r="E104" s="17">
        <v>46134</v>
      </c>
      <c r="F104" s="20" t="s">
        <v>92</v>
      </c>
      <c r="G104" s="20" t="s">
        <v>93</v>
      </c>
      <c r="H104" s="20" t="s">
        <v>94</v>
      </c>
      <c r="I104" s="20" t="s">
        <v>355</v>
      </c>
      <c r="J104" s="20" t="s">
        <v>356</v>
      </c>
      <c r="K104" s="20" t="s">
        <v>39</v>
      </c>
      <c r="L104" s="20" t="s">
        <v>357</v>
      </c>
      <c r="M104" s="17">
        <v>46140</v>
      </c>
      <c r="N104" s="17">
        <v>46142</v>
      </c>
      <c r="O104" s="19">
        <f t="shared" si="18"/>
        <v>2</v>
      </c>
      <c r="P104" s="19">
        <f>IFERROR(VLOOKUP(B104,Deals[#All],7,FALSE),DEF_LAYTIME)</f>
        <v>2</v>
      </c>
      <c r="Q104" s="19">
        <f t="shared" si="19"/>
        <v>0</v>
      </c>
      <c r="R104" s="121">
        <f>IFERROR(VLOOKUP(B104,Deals[#All],8,FALSE),DEF_RATE)</f>
        <v>250</v>
      </c>
      <c r="S104" s="121">
        <f t="shared" si="20"/>
        <v>0</v>
      </c>
      <c r="T104" s="16" t="str">
        <f t="shared" si="21"/>
        <v>ON-TIME</v>
      </c>
      <c r="U104" s="16" t="str">
        <f t="shared" si="22"/>
        <v>OK</v>
      </c>
      <c r="V104" s="16" t="str">
        <f t="shared" si="23"/>
        <v>2026-04</v>
      </c>
    </row>
    <row r="105" spans="2:22" x14ac:dyDescent="0.25">
      <c r="B105" s="16">
        <v>190664</v>
      </c>
      <c r="C105" s="16" t="s">
        <v>498</v>
      </c>
      <c r="D105" s="20" t="s">
        <v>34</v>
      </c>
      <c r="E105" s="17">
        <v>46141</v>
      </c>
      <c r="F105" s="20" t="s">
        <v>92</v>
      </c>
      <c r="G105" s="20" t="s">
        <v>93</v>
      </c>
      <c r="H105" s="20" t="s">
        <v>94</v>
      </c>
      <c r="I105" s="20" t="s">
        <v>358</v>
      </c>
      <c r="J105" s="20" t="s">
        <v>359</v>
      </c>
      <c r="K105" s="20" t="s">
        <v>39</v>
      </c>
      <c r="L105" s="20" t="s">
        <v>360</v>
      </c>
      <c r="M105" s="17">
        <v>46145</v>
      </c>
      <c r="N105" s="17">
        <v>46146</v>
      </c>
      <c r="O105" s="19">
        <f t="shared" si="18"/>
        <v>1</v>
      </c>
      <c r="P105" s="19">
        <f>IFERROR(VLOOKUP(B105,Deals[#All],7,FALSE),DEF_LAYTIME)</f>
        <v>2</v>
      </c>
      <c r="Q105" s="19">
        <f t="shared" si="19"/>
        <v>0</v>
      </c>
      <c r="R105" s="121">
        <f>IFERROR(VLOOKUP(B105,Deals[#All],8,FALSE),DEF_RATE)</f>
        <v>250</v>
      </c>
      <c r="S105" s="121">
        <f t="shared" si="20"/>
        <v>0</v>
      </c>
      <c r="T105" s="16" t="str">
        <f t="shared" si="21"/>
        <v>ON-TIME</v>
      </c>
      <c r="U105" s="16" t="str">
        <f t="shared" si="22"/>
        <v>OK</v>
      </c>
      <c r="V105" s="16" t="str">
        <f t="shared" si="23"/>
        <v>2026-04</v>
      </c>
    </row>
    <row r="106" spans="2:22" x14ac:dyDescent="0.25">
      <c r="B106" s="16">
        <v>190664</v>
      </c>
      <c r="C106" s="16" t="s">
        <v>498</v>
      </c>
      <c r="D106" s="20" t="s">
        <v>34</v>
      </c>
      <c r="E106" s="17">
        <v>46141</v>
      </c>
      <c r="F106" s="20" t="s">
        <v>92</v>
      </c>
      <c r="G106" s="20" t="s">
        <v>93</v>
      </c>
      <c r="H106" s="20" t="s">
        <v>94</v>
      </c>
      <c r="I106" s="20" t="s">
        <v>361</v>
      </c>
      <c r="J106" s="20" t="s">
        <v>362</v>
      </c>
      <c r="K106" s="20" t="s">
        <v>39</v>
      </c>
      <c r="L106" s="20" t="s">
        <v>363</v>
      </c>
      <c r="M106" s="17">
        <v>46145</v>
      </c>
      <c r="N106" s="17">
        <v>46146</v>
      </c>
      <c r="O106" s="19">
        <f t="shared" si="18"/>
        <v>1</v>
      </c>
      <c r="P106" s="19">
        <f>IFERROR(VLOOKUP(B106,Deals[#All],7,FALSE),DEF_LAYTIME)</f>
        <v>2</v>
      </c>
      <c r="Q106" s="19">
        <f t="shared" si="19"/>
        <v>0</v>
      </c>
      <c r="R106" s="121">
        <f>IFERROR(VLOOKUP(B106,Deals[#All],8,FALSE),DEF_RATE)</f>
        <v>250</v>
      </c>
      <c r="S106" s="121">
        <f t="shared" si="20"/>
        <v>0</v>
      </c>
      <c r="T106" s="16" t="str">
        <f t="shared" si="21"/>
        <v>ON-TIME</v>
      </c>
      <c r="U106" s="16" t="str">
        <f t="shared" si="22"/>
        <v>OK</v>
      </c>
      <c r="V106" s="16" t="str">
        <f t="shared" si="23"/>
        <v>2026-04</v>
      </c>
    </row>
    <row r="107" spans="2:22" x14ac:dyDescent="0.25">
      <c r="B107" s="16">
        <v>190664</v>
      </c>
      <c r="C107" s="16" t="s">
        <v>498</v>
      </c>
      <c r="D107" s="20" t="s">
        <v>34</v>
      </c>
      <c r="E107" s="17">
        <v>46141</v>
      </c>
      <c r="F107" s="20" t="s">
        <v>92</v>
      </c>
      <c r="G107" s="20" t="s">
        <v>93</v>
      </c>
      <c r="H107" s="20" t="s">
        <v>94</v>
      </c>
      <c r="I107" s="20" t="s">
        <v>224</v>
      </c>
      <c r="J107" s="20" t="s">
        <v>225</v>
      </c>
      <c r="K107" s="20" t="s">
        <v>39</v>
      </c>
      <c r="L107" s="20" t="s">
        <v>226</v>
      </c>
      <c r="M107" s="17">
        <v>46145</v>
      </c>
      <c r="N107" s="17">
        <v>46146</v>
      </c>
      <c r="O107" s="19">
        <f t="shared" si="18"/>
        <v>1</v>
      </c>
      <c r="P107" s="19">
        <f>IFERROR(VLOOKUP(B107,Deals[#All],7,FALSE),DEF_LAYTIME)</f>
        <v>2</v>
      </c>
      <c r="Q107" s="19">
        <f t="shared" si="19"/>
        <v>0</v>
      </c>
      <c r="R107" s="121">
        <f>IFERROR(VLOOKUP(B107,Deals[#All],8,FALSE),DEF_RATE)</f>
        <v>250</v>
      </c>
      <c r="S107" s="121">
        <f t="shared" si="20"/>
        <v>0</v>
      </c>
      <c r="T107" s="16" t="str">
        <f t="shared" si="21"/>
        <v>ON-TIME</v>
      </c>
      <c r="U107" s="16" t="str">
        <f t="shared" si="22"/>
        <v>OK</v>
      </c>
      <c r="V107" s="16" t="str">
        <f t="shared" si="23"/>
        <v>2026-04</v>
      </c>
    </row>
    <row r="108" spans="2:22" x14ac:dyDescent="0.25">
      <c r="B108" s="16">
        <v>190664</v>
      </c>
      <c r="C108" s="16" t="s">
        <v>498</v>
      </c>
      <c r="D108" s="20" t="s">
        <v>34</v>
      </c>
      <c r="E108" s="17">
        <v>46141</v>
      </c>
      <c r="F108" s="20" t="s">
        <v>92</v>
      </c>
      <c r="G108" s="20" t="s">
        <v>93</v>
      </c>
      <c r="H108" s="20" t="s">
        <v>94</v>
      </c>
      <c r="I108" s="20" t="s">
        <v>212</v>
      </c>
      <c r="J108" s="20" t="s">
        <v>213</v>
      </c>
      <c r="K108" s="20" t="s">
        <v>39</v>
      </c>
      <c r="L108" s="20" t="s">
        <v>214</v>
      </c>
      <c r="M108" s="17">
        <v>46145</v>
      </c>
      <c r="N108" s="17">
        <v>46146</v>
      </c>
      <c r="O108" s="19">
        <f t="shared" si="18"/>
        <v>1</v>
      </c>
      <c r="P108" s="19">
        <f>IFERROR(VLOOKUP(B108,Deals[#All],7,FALSE),DEF_LAYTIME)</f>
        <v>2</v>
      </c>
      <c r="Q108" s="19">
        <f t="shared" si="19"/>
        <v>0</v>
      </c>
      <c r="R108" s="121">
        <f>IFERROR(VLOOKUP(B108,Deals[#All],8,FALSE),DEF_RATE)</f>
        <v>250</v>
      </c>
      <c r="S108" s="121">
        <f t="shared" si="20"/>
        <v>0</v>
      </c>
      <c r="T108" s="16" t="str">
        <f t="shared" si="21"/>
        <v>ON-TIME</v>
      </c>
      <c r="U108" s="16" t="str">
        <f t="shared" si="22"/>
        <v>OK</v>
      </c>
      <c r="V108" s="16" t="str">
        <f t="shared" si="23"/>
        <v>2026-04</v>
      </c>
    </row>
    <row r="109" spans="2:22" x14ac:dyDescent="0.25">
      <c r="B109" s="16">
        <v>190664</v>
      </c>
      <c r="C109" s="16" t="s">
        <v>498</v>
      </c>
      <c r="D109" s="20" t="s">
        <v>34</v>
      </c>
      <c r="E109" s="17">
        <v>46142</v>
      </c>
      <c r="F109" s="20" t="s">
        <v>92</v>
      </c>
      <c r="G109" s="20" t="s">
        <v>93</v>
      </c>
      <c r="H109" s="20" t="s">
        <v>94</v>
      </c>
      <c r="I109" s="20" t="s">
        <v>364</v>
      </c>
      <c r="J109" s="20" t="s">
        <v>365</v>
      </c>
      <c r="K109" s="20" t="s">
        <v>39</v>
      </c>
      <c r="L109" s="20" t="s">
        <v>366</v>
      </c>
      <c r="M109" s="17">
        <v>46148</v>
      </c>
      <c r="N109" s="17">
        <v>46148</v>
      </c>
      <c r="O109" s="19">
        <f t="shared" si="18"/>
        <v>0</v>
      </c>
      <c r="P109" s="19">
        <f>IFERROR(VLOOKUP(B109,Deals[#All],7,FALSE),DEF_LAYTIME)</f>
        <v>2</v>
      </c>
      <c r="Q109" s="19">
        <f t="shared" si="19"/>
        <v>0</v>
      </c>
      <c r="R109" s="121">
        <f>IFERROR(VLOOKUP(B109,Deals[#All],8,FALSE),DEF_RATE)</f>
        <v>250</v>
      </c>
      <c r="S109" s="121">
        <f t="shared" si="20"/>
        <v>0</v>
      </c>
      <c r="T109" s="16" t="str">
        <f t="shared" si="21"/>
        <v>ON-TIME</v>
      </c>
      <c r="U109" s="16" t="str">
        <f t="shared" si="22"/>
        <v>OK</v>
      </c>
      <c r="V109" s="16" t="str">
        <f t="shared" si="23"/>
        <v>2026-04</v>
      </c>
    </row>
    <row r="110" spans="2:22" x14ac:dyDescent="0.25">
      <c r="B110" s="16">
        <v>190664</v>
      </c>
      <c r="C110" s="16" t="s">
        <v>498</v>
      </c>
      <c r="D110" s="20" t="s">
        <v>34</v>
      </c>
      <c r="E110" s="17">
        <v>46141</v>
      </c>
      <c r="F110" s="20" t="s">
        <v>92</v>
      </c>
      <c r="G110" s="20" t="s">
        <v>93</v>
      </c>
      <c r="H110" s="20" t="s">
        <v>94</v>
      </c>
      <c r="I110" s="20" t="s">
        <v>367</v>
      </c>
      <c r="J110" s="20" t="s">
        <v>368</v>
      </c>
      <c r="K110" s="20" t="s">
        <v>39</v>
      </c>
      <c r="L110" s="20" t="s">
        <v>369</v>
      </c>
      <c r="M110" s="17">
        <v>46145</v>
      </c>
      <c r="N110" s="17">
        <v>46146</v>
      </c>
      <c r="O110" s="19">
        <f t="shared" si="18"/>
        <v>1</v>
      </c>
      <c r="P110" s="19">
        <f>IFERROR(VLOOKUP(B110,Deals[#All],7,FALSE),DEF_LAYTIME)</f>
        <v>2</v>
      </c>
      <c r="Q110" s="19">
        <f t="shared" si="19"/>
        <v>0</v>
      </c>
      <c r="R110" s="121">
        <f>IFERROR(VLOOKUP(B110,Deals[#All],8,FALSE),DEF_RATE)</f>
        <v>250</v>
      </c>
      <c r="S110" s="121">
        <f t="shared" si="20"/>
        <v>0</v>
      </c>
      <c r="T110" s="16" t="str">
        <f t="shared" si="21"/>
        <v>ON-TIME</v>
      </c>
      <c r="U110" s="16" t="str">
        <f t="shared" si="22"/>
        <v>OK</v>
      </c>
      <c r="V110" s="16" t="str">
        <f t="shared" si="23"/>
        <v>2026-04</v>
      </c>
    </row>
    <row r="111" spans="2:22" x14ac:dyDescent="0.25">
      <c r="B111" s="16">
        <v>190664</v>
      </c>
      <c r="C111" s="16" t="s">
        <v>498</v>
      </c>
      <c r="D111" s="20" t="s">
        <v>34</v>
      </c>
      <c r="E111" s="17">
        <v>46144</v>
      </c>
      <c r="F111" s="20" t="s">
        <v>92</v>
      </c>
      <c r="G111" s="20" t="s">
        <v>93</v>
      </c>
      <c r="H111" s="20" t="s">
        <v>94</v>
      </c>
      <c r="I111" s="20" t="s">
        <v>370</v>
      </c>
      <c r="J111" s="20" t="s">
        <v>371</v>
      </c>
      <c r="K111" s="20" t="s">
        <v>39</v>
      </c>
      <c r="L111" s="20" t="s">
        <v>130</v>
      </c>
      <c r="M111" s="17">
        <v>46148</v>
      </c>
      <c r="N111" s="17">
        <v>46150</v>
      </c>
      <c r="O111" s="19">
        <f t="shared" si="18"/>
        <v>2</v>
      </c>
      <c r="P111" s="19">
        <f>IFERROR(VLOOKUP(B111,Deals[#All],7,FALSE),DEF_LAYTIME)</f>
        <v>2</v>
      </c>
      <c r="Q111" s="19">
        <f t="shared" si="19"/>
        <v>0</v>
      </c>
      <c r="R111" s="121">
        <f>IFERROR(VLOOKUP(B111,Deals[#All],8,FALSE),DEF_RATE)</f>
        <v>250</v>
      </c>
      <c r="S111" s="121">
        <f t="shared" si="20"/>
        <v>0</v>
      </c>
      <c r="T111" s="16" t="str">
        <f t="shared" si="21"/>
        <v>ON-TIME</v>
      </c>
      <c r="U111" s="16" t="str">
        <f t="shared" si="22"/>
        <v>OK</v>
      </c>
      <c r="V111" s="16" t="str">
        <f t="shared" si="23"/>
        <v>2026-05</v>
      </c>
    </row>
    <row r="112" spans="2:22" x14ac:dyDescent="0.25">
      <c r="B112" s="16">
        <v>190664</v>
      </c>
      <c r="C112" s="16" t="s">
        <v>498</v>
      </c>
      <c r="D112" s="20" t="s">
        <v>34</v>
      </c>
      <c r="E112" s="17">
        <v>46141</v>
      </c>
      <c r="F112" s="20" t="s">
        <v>92</v>
      </c>
      <c r="G112" s="20" t="s">
        <v>93</v>
      </c>
      <c r="H112" s="20" t="s">
        <v>94</v>
      </c>
      <c r="I112" s="20" t="s">
        <v>372</v>
      </c>
      <c r="J112" s="20" t="s">
        <v>373</v>
      </c>
      <c r="K112" s="20" t="s">
        <v>39</v>
      </c>
      <c r="L112" s="20" t="s">
        <v>374</v>
      </c>
      <c r="M112" s="17">
        <v>46145</v>
      </c>
      <c r="N112" s="17">
        <v>46146</v>
      </c>
      <c r="O112" s="19">
        <f t="shared" si="18"/>
        <v>1</v>
      </c>
      <c r="P112" s="19">
        <f>IFERROR(VLOOKUP(B112,Deals[#All],7,FALSE),DEF_LAYTIME)</f>
        <v>2</v>
      </c>
      <c r="Q112" s="19">
        <f t="shared" si="19"/>
        <v>0</v>
      </c>
      <c r="R112" s="121">
        <f>IFERROR(VLOOKUP(B112,Deals[#All],8,FALSE),DEF_RATE)</f>
        <v>250</v>
      </c>
      <c r="S112" s="121">
        <f t="shared" si="20"/>
        <v>0</v>
      </c>
      <c r="T112" s="16" t="str">
        <f t="shared" si="21"/>
        <v>ON-TIME</v>
      </c>
      <c r="U112" s="16" t="str">
        <f t="shared" si="22"/>
        <v>OK</v>
      </c>
      <c r="V112" s="16" t="str">
        <f t="shared" si="23"/>
        <v>2026-04</v>
      </c>
    </row>
    <row r="113" spans="2:22" x14ac:dyDescent="0.25">
      <c r="B113" s="16">
        <v>191610</v>
      </c>
      <c r="C113" s="16" t="s">
        <v>499</v>
      </c>
      <c r="D113" s="20" t="s">
        <v>34</v>
      </c>
      <c r="E113" s="17">
        <v>46151</v>
      </c>
      <c r="F113" s="20" t="s">
        <v>92</v>
      </c>
      <c r="G113" s="20" t="s">
        <v>93</v>
      </c>
      <c r="H113" s="20" t="s">
        <v>94</v>
      </c>
      <c r="I113" s="20"/>
      <c r="J113" s="20"/>
      <c r="K113" s="20"/>
      <c r="L113" s="20"/>
      <c r="M113" s="17"/>
      <c r="N113" s="17"/>
      <c r="O113" s="19" t="str">
        <f t="shared" si="18"/>
        <v/>
      </c>
      <c r="P113" s="19">
        <f>IFERROR(VLOOKUP(B113,Deals[#All],7,FALSE),DEF_LAYTIME)</f>
        <v>2</v>
      </c>
      <c r="Q113" s="19" t="str">
        <f t="shared" si="19"/>
        <v/>
      </c>
      <c r="R113" s="121">
        <f>IFERROR(VLOOKUP(B113,Deals[#All],8,FALSE),DEF_RATE)</f>
        <v>250</v>
      </c>
      <c r="S113" s="121" t="str">
        <f t="shared" si="20"/>
        <v/>
      </c>
      <c r="T113" s="16" t="str">
        <f t="shared" si="21"/>
        <v>PENDING</v>
      </c>
      <c r="U113" s="16" t="str">
        <f t="shared" si="22"/>
        <v>OK</v>
      </c>
      <c r="V113" s="16" t="str">
        <f t="shared" si="23"/>
        <v>2026-05</v>
      </c>
    </row>
    <row r="114" spans="2:22" x14ac:dyDescent="0.25">
      <c r="B114" s="16">
        <v>191610</v>
      </c>
      <c r="C114" s="16" t="s">
        <v>499</v>
      </c>
      <c r="D114" s="20" t="s">
        <v>34</v>
      </c>
      <c r="E114" s="17">
        <v>46150</v>
      </c>
      <c r="F114" s="20" t="s">
        <v>92</v>
      </c>
      <c r="G114" s="20" t="s">
        <v>93</v>
      </c>
      <c r="H114" s="20" t="s">
        <v>94</v>
      </c>
      <c r="I114" s="20"/>
      <c r="J114" s="20"/>
      <c r="K114" s="20"/>
      <c r="L114" s="20"/>
      <c r="M114" s="17"/>
      <c r="N114" s="17"/>
      <c r="O114" s="19" t="str">
        <f t="shared" si="18"/>
        <v/>
      </c>
      <c r="P114" s="19">
        <f>IFERROR(VLOOKUP(B114,Deals[#All],7,FALSE),DEF_LAYTIME)</f>
        <v>2</v>
      </c>
      <c r="Q114" s="19" t="str">
        <f t="shared" si="19"/>
        <v/>
      </c>
      <c r="R114" s="121">
        <f>IFERROR(VLOOKUP(B114,Deals[#All],8,FALSE),DEF_RATE)</f>
        <v>250</v>
      </c>
      <c r="S114" s="121" t="str">
        <f t="shared" si="20"/>
        <v/>
      </c>
      <c r="T114" s="16" t="str">
        <f t="shared" si="21"/>
        <v>PENDING</v>
      </c>
      <c r="U114" s="16" t="str">
        <f t="shared" si="22"/>
        <v>OK</v>
      </c>
      <c r="V114" s="16" t="str">
        <f t="shared" si="23"/>
        <v>2026-05</v>
      </c>
    </row>
    <row r="115" spans="2:22" x14ac:dyDescent="0.25">
      <c r="B115" s="16">
        <v>191610</v>
      </c>
      <c r="C115" s="16" t="s">
        <v>499</v>
      </c>
      <c r="D115" s="20" t="s">
        <v>34</v>
      </c>
      <c r="E115" s="17">
        <v>46151</v>
      </c>
      <c r="F115" s="20" t="s">
        <v>92</v>
      </c>
      <c r="G115" s="20" t="s">
        <v>93</v>
      </c>
      <c r="H115" s="20" t="s">
        <v>94</v>
      </c>
      <c r="I115" s="20"/>
      <c r="J115" s="20"/>
      <c r="K115" s="20"/>
      <c r="L115" s="20"/>
      <c r="M115" s="17"/>
      <c r="N115" s="17"/>
      <c r="O115" s="19" t="str">
        <f t="shared" si="18"/>
        <v/>
      </c>
      <c r="P115" s="19">
        <f>IFERROR(VLOOKUP(B115,Deals[#All],7,FALSE),DEF_LAYTIME)</f>
        <v>2</v>
      </c>
      <c r="Q115" s="19" t="str">
        <f t="shared" si="19"/>
        <v/>
      </c>
      <c r="R115" s="121">
        <f>IFERROR(VLOOKUP(B115,Deals[#All],8,FALSE),DEF_RATE)</f>
        <v>250</v>
      </c>
      <c r="S115" s="121" t="str">
        <f t="shared" si="20"/>
        <v/>
      </c>
      <c r="T115" s="16" t="str">
        <f t="shared" si="21"/>
        <v>PENDING</v>
      </c>
      <c r="U115" s="16" t="str">
        <f t="shared" si="22"/>
        <v>OK</v>
      </c>
      <c r="V115" s="16" t="str">
        <f t="shared" si="23"/>
        <v>2026-05</v>
      </c>
    </row>
    <row r="116" spans="2:22" x14ac:dyDescent="0.25">
      <c r="B116" s="16">
        <v>191610</v>
      </c>
      <c r="C116" s="16" t="s">
        <v>499</v>
      </c>
      <c r="D116" s="20" t="s">
        <v>34</v>
      </c>
      <c r="E116" s="17">
        <v>46151</v>
      </c>
      <c r="F116" s="20" t="s">
        <v>92</v>
      </c>
      <c r="G116" s="20" t="s">
        <v>93</v>
      </c>
      <c r="H116" s="20" t="s">
        <v>94</v>
      </c>
      <c r="I116" s="20"/>
      <c r="J116" s="20"/>
      <c r="K116" s="20"/>
      <c r="L116" s="20"/>
      <c r="M116" s="17"/>
      <c r="N116" s="17"/>
      <c r="O116" s="19" t="str">
        <f t="shared" si="18"/>
        <v/>
      </c>
      <c r="P116" s="19">
        <f>IFERROR(VLOOKUP(B116,Deals[#All],7,FALSE),DEF_LAYTIME)</f>
        <v>2</v>
      </c>
      <c r="Q116" s="19" t="str">
        <f t="shared" si="19"/>
        <v/>
      </c>
      <c r="R116" s="121">
        <f>IFERROR(VLOOKUP(B116,Deals[#All],8,FALSE),DEF_RATE)</f>
        <v>250</v>
      </c>
      <c r="S116" s="121" t="str">
        <f t="shared" si="20"/>
        <v/>
      </c>
      <c r="T116" s="16" t="str">
        <f t="shared" si="21"/>
        <v>PENDING</v>
      </c>
      <c r="U116" s="16" t="str">
        <f t="shared" si="22"/>
        <v>OK</v>
      </c>
      <c r="V116" s="16" t="str">
        <f t="shared" si="23"/>
        <v>2026-05</v>
      </c>
    </row>
    <row r="117" spans="2:22" x14ac:dyDescent="0.25">
      <c r="B117" s="16">
        <v>191610</v>
      </c>
      <c r="C117" s="16" t="s">
        <v>499</v>
      </c>
      <c r="D117" s="20" t="s">
        <v>34</v>
      </c>
      <c r="E117" s="17">
        <v>46151</v>
      </c>
      <c r="F117" s="20" t="s">
        <v>92</v>
      </c>
      <c r="G117" s="20" t="s">
        <v>93</v>
      </c>
      <c r="H117" s="20" t="s">
        <v>94</v>
      </c>
      <c r="I117" s="20"/>
      <c r="J117" s="20"/>
      <c r="K117" s="20"/>
      <c r="L117" s="20"/>
      <c r="M117" s="17"/>
      <c r="N117" s="17"/>
      <c r="O117" s="19" t="str">
        <f t="shared" si="18"/>
        <v/>
      </c>
      <c r="P117" s="19">
        <f>IFERROR(VLOOKUP(B117,Deals[#All],7,FALSE),DEF_LAYTIME)</f>
        <v>2</v>
      </c>
      <c r="Q117" s="19" t="str">
        <f t="shared" si="19"/>
        <v/>
      </c>
      <c r="R117" s="121">
        <f>IFERROR(VLOOKUP(B117,Deals[#All],8,FALSE),DEF_RATE)</f>
        <v>250</v>
      </c>
      <c r="S117" s="121" t="str">
        <f t="shared" si="20"/>
        <v/>
      </c>
      <c r="T117" s="16" t="str">
        <f t="shared" si="21"/>
        <v>PENDING</v>
      </c>
      <c r="U117" s="16" t="str">
        <f t="shared" si="22"/>
        <v>OK</v>
      </c>
      <c r="V117" s="16" t="str">
        <f t="shared" si="23"/>
        <v>2026-05</v>
      </c>
    </row>
    <row r="118" spans="2:22" x14ac:dyDescent="0.25">
      <c r="B118" s="16">
        <v>191610</v>
      </c>
      <c r="C118" s="16" t="s">
        <v>499</v>
      </c>
      <c r="D118" s="20" t="s">
        <v>34</v>
      </c>
      <c r="E118" s="17">
        <v>46150</v>
      </c>
      <c r="F118" s="20" t="s">
        <v>92</v>
      </c>
      <c r="G118" s="20" t="s">
        <v>93</v>
      </c>
      <c r="H118" s="20" t="s">
        <v>94</v>
      </c>
      <c r="I118" s="20"/>
      <c r="J118" s="20"/>
      <c r="K118" s="20"/>
      <c r="L118" s="20"/>
      <c r="M118" s="17"/>
      <c r="N118" s="17"/>
      <c r="O118" s="19" t="str">
        <f t="shared" si="18"/>
        <v/>
      </c>
      <c r="P118" s="19">
        <f>IFERROR(VLOOKUP(B118,Deals[#All],7,FALSE),DEF_LAYTIME)</f>
        <v>2</v>
      </c>
      <c r="Q118" s="19" t="str">
        <f t="shared" si="19"/>
        <v/>
      </c>
      <c r="R118" s="121">
        <f>IFERROR(VLOOKUP(B118,Deals[#All],8,FALSE),DEF_RATE)</f>
        <v>250</v>
      </c>
      <c r="S118" s="121" t="str">
        <f t="shared" si="20"/>
        <v/>
      </c>
      <c r="T118" s="16" t="str">
        <f t="shared" si="21"/>
        <v>PENDING</v>
      </c>
      <c r="U118" s="16" t="str">
        <f t="shared" si="22"/>
        <v>OK</v>
      </c>
      <c r="V118" s="16" t="str">
        <f t="shared" si="23"/>
        <v>2026-05</v>
      </c>
    </row>
    <row r="119" spans="2:22" x14ac:dyDescent="0.25">
      <c r="B119" s="16">
        <v>191610</v>
      </c>
      <c r="C119" s="16" t="s">
        <v>499</v>
      </c>
      <c r="D119" s="20" t="s">
        <v>34</v>
      </c>
      <c r="E119" s="17">
        <v>46150</v>
      </c>
      <c r="F119" s="20" t="s">
        <v>92</v>
      </c>
      <c r="G119" s="20" t="s">
        <v>93</v>
      </c>
      <c r="H119" s="20" t="s">
        <v>94</v>
      </c>
      <c r="I119" s="20"/>
      <c r="J119" s="20"/>
      <c r="K119" s="20"/>
      <c r="L119" s="20"/>
      <c r="M119" s="17"/>
      <c r="N119" s="17"/>
      <c r="O119" s="19" t="str">
        <f t="shared" si="18"/>
        <v/>
      </c>
      <c r="P119" s="19">
        <f>IFERROR(VLOOKUP(B119,Deals[#All],7,FALSE),DEF_LAYTIME)</f>
        <v>2</v>
      </c>
      <c r="Q119" s="19" t="str">
        <f t="shared" si="19"/>
        <v/>
      </c>
      <c r="R119" s="121">
        <f>IFERROR(VLOOKUP(B119,Deals[#All],8,FALSE),DEF_RATE)</f>
        <v>250</v>
      </c>
      <c r="S119" s="121" t="str">
        <f t="shared" si="20"/>
        <v/>
      </c>
      <c r="T119" s="16" t="str">
        <f t="shared" si="21"/>
        <v>PENDING</v>
      </c>
      <c r="U119" s="16" t="str">
        <f t="shared" si="22"/>
        <v>OK</v>
      </c>
      <c r="V119" s="16" t="str">
        <f t="shared" si="23"/>
        <v>2026-05</v>
      </c>
    </row>
    <row r="120" spans="2:22" x14ac:dyDescent="0.25">
      <c r="B120" s="16">
        <v>191610</v>
      </c>
      <c r="C120" s="16" t="s">
        <v>499</v>
      </c>
      <c r="D120" s="20" t="s">
        <v>34</v>
      </c>
      <c r="E120" s="17">
        <v>46150</v>
      </c>
      <c r="F120" s="20" t="s">
        <v>92</v>
      </c>
      <c r="G120" s="20" t="s">
        <v>93</v>
      </c>
      <c r="H120" s="20" t="s">
        <v>94</v>
      </c>
      <c r="I120" s="20"/>
      <c r="J120" s="20"/>
      <c r="K120" s="20"/>
      <c r="L120" s="20"/>
      <c r="M120" s="17"/>
      <c r="N120" s="17"/>
      <c r="O120" s="19" t="str">
        <f t="shared" si="18"/>
        <v/>
      </c>
      <c r="P120" s="19">
        <f>IFERROR(VLOOKUP(B120,Deals[#All],7,FALSE),DEF_LAYTIME)</f>
        <v>2</v>
      </c>
      <c r="Q120" s="19" t="str">
        <f t="shared" si="19"/>
        <v/>
      </c>
      <c r="R120" s="121">
        <f>IFERROR(VLOOKUP(B120,Deals[#All],8,FALSE),DEF_RATE)</f>
        <v>250</v>
      </c>
      <c r="S120" s="121" t="str">
        <f t="shared" si="20"/>
        <v/>
      </c>
      <c r="T120" s="16" t="str">
        <f t="shared" si="21"/>
        <v>PENDING</v>
      </c>
      <c r="U120" s="16" t="str">
        <f t="shared" si="22"/>
        <v>OK</v>
      </c>
      <c r="V120" s="16" t="str">
        <f t="shared" si="23"/>
        <v>2026-05</v>
      </c>
    </row>
    <row r="121" spans="2:22" x14ac:dyDescent="0.25">
      <c r="B121" s="16">
        <v>191610</v>
      </c>
      <c r="C121" s="16" t="s">
        <v>499</v>
      </c>
      <c r="D121" s="20" t="s">
        <v>34</v>
      </c>
      <c r="E121" s="17">
        <v>46151</v>
      </c>
      <c r="F121" s="20" t="s">
        <v>92</v>
      </c>
      <c r="G121" s="20" t="s">
        <v>93</v>
      </c>
      <c r="H121" s="20" t="s">
        <v>94</v>
      </c>
      <c r="I121" s="20"/>
      <c r="J121" s="20"/>
      <c r="K121" s="20"/>
      <c r="L121" s="20"/>
      <c r="M121" s="17"/>
      <c r="N121" s="17"/>
      <c r="O121" s="19" t="str">
        <f t="shared" si="18"/>
        <v/>
      </c>
      <c r="P121" s="19">
        <f>IFERROR(VLOOKUP(B121,Deals[#All],7,FALSE),DEF_LAYTIME)</f>
        <v>2</v>
      </c>
      <c r="Q121" s="19" t="str">
        <f t="shared" si="19"/>
        <v/>
      </c>
      <c r="R121" s="121">
        <f>IFERROR(VLOOKUP(B121,Deals[#All],8,FALSE),DEF_RATE)</f>
        <v>250</v>
      </c>
      <c r="S121" s="121" t="str">
        <f t="shared" si="20"/>
        <v/>
      </c>
      <c r="T121" s="16" t="str">
        <f t="shared" si="21"/>
        <v>PENDING</v>
      </c>
      <c r="U121" s="16" t="str">
        <f t="shared" si="22"/>
        <v>OK</v>
      </c>
      <c r="V121" s="16" t="str">
        <f t="shared" si="23"/>
        <v>2026-05</v>
      </c>
    </row>
    <row r="122" spans="2:22" x14ac:dyDescent="0.25">
      <c r="B122" s="16">
        <v>191610</v>
      </c>
      <c r="C122" s="16" t="s">
        <v>499</v>
      </c>
      <c r="D122" s="20" t="s">
        <v>34</v>
      </c>
      <c r="E122" s="17">
        <v>46151</v>
      </c>
      <c r="F122" s="20" t="s">
        <v>92</v>
      </c>
      <c r="G122" s="20" t="s">
        <v>93</v>
      </c>
      <c r="H122" s="20" t="s">
        <v>94</v>
      </c>
      <c r="I122" s="20"/>
      <c r="J122" s="20"/>
      <c r="K122" s="20"/>
      <c r="L122" s="20"/>
      <c r="M122" s="17"/>
      <c r="N122" s="17"/>
      <c r="O122" s="19" t="str">
        <f t="shared" si="18"/>
        <v/>
      </c>
      <c r="P122" s="19">
        <f>IFERROR(VLOOKUP(B122,Deals[#All],7,FALSE),DEF_LAYTIME)</f>
        <v>2</v>
      </c>
      <c r="Q122" s="19" t="str">
        <f t="shared" si="19"/>
        <v/>
      </c>
      <c r="R122" s="121">
        <f>IFERROR(VLOOKUP(B122,Deals[#All],8,FALSE),DEF_RATE)</f>
        <v>250</v>
      </c>
      <c r="S122" s="121" t="str">
        <f t="shared" si="20"/>
        <v/>
      </c>
      <c r="T122" s="16" t="str">
        <f t="shared" si="21"/>
        <v>PENDING</v>
      </c>
      <c r="U122" s="16" t="str">
        <f t="shared" si="22"/>
        <v>OK</v>
      </c>
      <c r="V122" s="16" t="str">
        <f t="shared" si="23"/>
        <v>2026-05</v>
      </c>
    </row>
    <row r="123" spans="2:22" x14ac:dyDescent="0.25">
      <c r="B123" s="16">
        <v>191610</v>
      </c>
      <c r="C123" s="16" t="s">
        <v>499</v>
      </c>
      <c r="D123" s="20" t="s">
        <v>34</v>
      </c>
      <c r="E123" s="17">
        <v>46150</v>
      </c>
      <c r="F123" s="20" t="s">
        <v>92</v>
      </c>
      <c r="G123" s="20" t="s">
        <v>93</v>
      </c>
      <c r="H123" s="20" t="s">
        <v>94</v>
      </c>
      <c r="I123" s="20"/>
      <c r="J123" s="20"/>
      <c r="K123" s="20"/>
      <c r="L123" s="20"/>
      <c r="M123" s="17"/>
      <c r="N123" s="17"/>
      <c r="O123" s="19" t="str">
        <f t="shared" si="18"/>
        <v/>
      </c>
      <c r="P123" s="19">
        <f>IFERROR(VLOOKUP(B123,Deals[#All],7,FALSE),DEF_LAYTIME)</f>
        <v>2</v>
      </c>
      <c r="Q123" s="19" t="str">
        <f t="shared" si="19"/>
        <v/>
      </c>
      <c r="R123" s="121">
        <f>IFERROR(VLOOKUP(B123,Deals[#All],8,FALSE),DEF_RATE)</f>
        <v>250</v>
      </c>
      <c r="S123" s="121" t="str">
        <f t="shared" si="20"/>
        <v/>
      </c>
      <c r="T123" s="16" t="str">
        <f t="shared" si="21"/>
        <v>PENDING</v>
      </c>
      <c r="U123" s="16" t="str">
        <f t="shared" si="22"/>
        <v>OK</v>
      </c>
      <c r="V123" s="16" t="str">
        <f t="shared" si="23"/>
        <v>2026-05</v>
      </c>
    </row>
    <row r="124" spans="2:22" x14ac:dyDescent="0.25">
      <c r="B124" s="16">
        <v>191610</v>
      </c>
      <c r="C124" s="16" t="s">
        <v>499</v>
      </c>
      <c r="D124" s="20" t="s">
        <v>34</v>
      </c>
      <c r="E124" s="17">
        <v>46150</v>
      </c>
      <c r="F124" s="20" t="s">
        <v>92</v>
      </c>
      <c r="G124" s="20" t="s">
        <v>93</v>
      </c>
      <c r="H124" s="20" t="s">
        <v>94</v>
      </c>
      <c r="I124" s="20"/>
      <c r="J124" s="20"/>
      <c r="K124" s="20"/>
      <c r="L124" s="20"/>
      <c r="M124" s="17"/>
      <c r="N124" s="17"/>
      <c r="O124" s="19" t="str">
        <f t="shared" si="18"/>
        <v/>
      </c>
      <c r="P124" s="19">
        <f>IFERROR(VLOOKUP(B124,Deals[#All],7,FALSE),DEF_LAYTIME)</f>
        <v>2</v>
      </c>
      <c r="Q124" s="19" t="str">
        <f t="shared" si="19"/>
        <v/>
      </c>
      <c r="R124" s="121">
        <f>IFERROR(VLOOKUP(B124,Deals[#All],8,FALSE),DEF_RATE)</f>
        <v>250</v>
      </c>
      <c r="S124" s="121" t="str">
        <f t="shared" si="20"/>
        <v/>
      </c>
      <c r="T124" s="16" t="str">
        <f t="shared" si="21"/>
        <v>PENDING</v>
      </c>
      <c r="U124" s="16" t="str">
        <f t="shared" si="22"/>
        <v>OK</v>
      </c>
      <c r="V124" s="16" t="str">
        <f t="shared" si="23"/>
        <v>2026-05</v>
      </c>
    </row>
    <row r="125" spans="2:22" x14ac:dyDescent="0.25">
      <c r="B125" s="16">
        <v>184182</v>
      </c>
      <c r="C125" s="16" t="s">
        <v>491</v>
      </c>
      <c r="D125" s="20" t="s">
        <v>34</v>
      </c>
      <c r="E125" s="17">
        <v>45994</v>
      </c>
      <c r="F125" s="20" t="s">
        <v>92</v>
      </c>
      <c r="G125" s="20" t="s">
        <v>93</v>
      </c>
      <c r="H125" s="20" t="s">
        <v>375</v>
      </c>
      <c r="I125" s="20" t="s">
        <v>376</v>
      </c>
      <c r="J125" s="20" t="s">
        <v>377</v>
      </c>
      <c r="K125" s="20" t="s">
        <v>45</v>
      </c>
      <c r="L125" s="20" t="s">
        <v>378</v>
      </c>
      <c r="M125" s="17">
        <v>46002</v>
      </c>
      <c r="N125" s="17">
        <v>46004</v>
      </c>
      <c r="O125" s="19">
        <f t="shared" si="18"/>
        <v>2</v>
      </c>
      <c r="P125" s="19">
        <f>IFERROR(VLOOKUP(B125,Deals[#All],7,FALSE),DEF_LAYTIME)</f>
        <v>2</v>
      </c>
      <c r="Q125" s="19">
        <f t="shared" si="19"/>
        <v>0</v>
      </c>
      <c r="R125" s="121">
        <f>IFERROR(VLOOKUP(B125,Deals[#All],8,FALSE),DEF_RATE)</f>
        <v>250</v>
      </c>
      <c r="S125" s="121">
        <f t="shared" si="20"/>
        <v>0</v>
      </c>
      <c r="T125" s="16" t="str">
        <f t="shared" si="21"/>
        <v>ON-TIME</v>
      </c>
      <c r="U125" s="16" t="str">
        <f t="shared" si="22"/>
        <v>OK</v>
      </c>
      <c r="V125" s="16" t="str">
        <f t="shared" si="23"/>
        <v>2025-12</v>
      </c>
    </row>
    <row r="126" spans="2:22" x14ac:dyDescent="0.25">
      <c r="B126" s="16">
        <v>184182</v>
      </c>
      <c r="C126" s="16" t="s">
        <v>491</v>
      </c>
      <c r="D126" s="20" t="s">
        <v>34</v>
      </c>
      <c r="E126" s="17">
        <v>45992</v>
      </c>
      <c r="F126" s="20" t="s">
        <v>92</v>
      </c>
      <c r="G126" s="20" t="s">
        <v>93</v>
      </c>
      <c r="H126" s="20" t="s">
        <v>375</v>
      </c>
      <c r="I126" s="20" t="s">
        <v>379</v>
      </c>
      <c r="J126" s="20" t="s">
        <v>380</v>
      </c>
      <c r="K126" s="20" t="s">
        <v>45</v>
      </c>
      <c r="L126" s="20" t="s">
        <v>381</v>
      </c>
      <c r="M126" s="17">
        <v>45999</v>
      </c>
      <c r="N126" s="17">
        <v>46000</v>
      </c>
      <c r="O126" s="19">
        <f t="shared" si="18"/>
        <v>1</v>
      </c>
      <c r="P126" s="19">
        <f>IFERROR(VLOOKUP(B126,Deals[#All],7,FALSE),DEF_LAYTIME)</f>
        <v>2</v>
      </c>
      <c r="Q126" s="19">
        <f t="shared" si="19"/>
        <v>0</v>
      </c>
      <c r="R126" s="121">
        <f>IFERROR(VLOOKUP(B126,Deals[#All],8,FALSE),DEF_RATE)</f>
        <v>250</v>
      </c>
      <c r="S126" s="121">
        <f t="shared" si="20"/>
        <v>0</v>
      </c>
      <c r="T126" s="16" t="str">
        <f t="shared" si="21"/>
        <v>ON-TIME</v>
      </c>
      <c r="U126" s="16" t="str">
        <f t="shared" si="22"/>
        <v>OK</v>
      </c>
      <c r="V126" s="16" t="str">
        <f t="shared" si="23"/>
        <v>2025-12</v>
      </c>
    </row>
    <row r="127" spans="2:22" x14ac:dyDescent="0.25">
      <c r="B127" s="16">
        <v>184182</v>
      </c>
      <c r="C127" s="16" t="s">
        <v>491</v>
      </c>
      <c r="D127" s="20" t="s">
        <v>34</v>
      </c>
      <c r="E127" s="17">
        <v>45995</v>
      </c>
      <c r="F127" s="20" t="s">
        <v>92</v>
      </c>
      <c r="G127" s="20" t="s">
        <v>93</v>
      </c>
      <c r="H127" s="20" t="s">
        <v>375</v>
      </c>
      <c r="I127" s="20" t="s">
        <v>382</v>
      </c>
      <c r="J127" s="20" t="s">
        <v>383</v>
      </c>
      <c r="K127" s="20" t="s">
        <v>45</v>
      </c>
      <c r="L127" s="20" t="s">
        <v>384</v>
      </c>
      <c r="M127" s="17">
        <v>46007</v>
      </c>
      <c r="N127" s="17">
        <v>46008</v>
      </c>
      <c r="O127" s="19">
        <f t="shared" si="18"/>
        <v>1</v>
      </c>
      <c r="P127" s="19">
        <f>IFERROR(VLOOKUP(B127,Deals[#All],7,FALSE),DEF_LAYTIME)</f>
        <v>2</v>
      </c>
      <c r="Q127" s="19">
        <f t="shared" si="19"/>
        <v>0</v>
      </c>
      <c r="R127" s="121">
        <f>IFERROR(VLOOKUP(B127,Deals[#All],8,FALSE),DEF_RATE)</f>
        <v>250</v>
      </c>
      <c r="S127" s="121">
        <f t="shared" si="20"/>
        <v>0</v>
      </c>
      <c r="T127" s="16" t="str">
        <f t="shared" si="21"/>
        <v>ON-TIME</v>
      </c>
      <c r="U127" s="16" t="str">
        <f t="shared" si="22"/>
        <v>OK</v>
      </c>
      <c r="V127" s="16" t="str">
        <f t="shared" si="23"/>
        <v>2025-12</v>
      </c>
    </row>
    <row r="128" spans="2:22" x14ac:dyDescent="0.25">
      <c r="B128" s="16">
        <v>184182</v>
      </c>
      <c r="C128" s="16" t="s">
        <v>491</v>
      </c>
      <c r="D128" s="20" t="s">
        <v>34</v>
      </c>
      <c r="E128" s="17">
        <v>45994</v>
      </c>
      <c r="F128" s="20" t="s">
        <v>92</v>
      </c>
      <c r="G128" s="20" t="s">
        <v>93</v>
      </c>
      <c r="H128" s="20" t="s">
        <v>375</v>
      </c>
      <c r="I128" s="20" t="s">
        <v>385</v>
      </c>
      <c r="J128" s="20" t="s">
        <v>386</v>
      </c>
      <c r="K128" s="20" t="s">
        <v>45</v>
      </c>
      <c r="L128" s="20" t="s">
        <v>387</v>
      </c>
      <c r="M128" s="17">
        <v>46002</v>
      </c>
      <c r="N128" s="17">
        <v>46007</v>
      </c>
      <c r="O128" s="19">
        <f t="shared" si="18"/>
        <v>5</v>
      </c>
      <c r="P128" s="19">
        <f>IFERROR(VLOOKUP(B128,Deals[#All],7,FALSE),DEF_LAYTIME)</f>
        <v>2</v>
      </c>
      <c r="Q128" s="19">
        <f t="shared" si="19"/>
        <v>3</v>
      </c>
      <c r="R128" s="121">
        <f>IFERROR(VLOOKUP(B128,Deals[#All],8,FALSE),DEF_RATE)</f>
        <v>250</v>
      </c>
      <c r="S128" s="121">
        <f t="shared" si="20"/>
        <v>750</v>
      </c>
      <c r="T128" s="16" t="str">
        <f t="shared" si="21"/>
        <v>DEMURRAGE</v>
      </c>
      <c r="U128" s="16" t="str">
        <f t="shared" si="22"/>
        <v>OK</v>
      </c>
      <c r="V128" s="16" t="str">
        <f t="shared" si="23"/>
        <v>2025-12</v>
      </c>
    </row>
    <row r="129" spans="2:22" x14ac:dyDescent="0.25">
      <c r="B129" s="16">
        <v>184182</v>
      </c>
      <c r="C129" s="16" t="s">
        <v>491</v>
      </c>
      <c r="D129" s="20" t="s">
        <v>34</v>
      </c>
      <c r="E129" s="17">
        <v>45994</v>
      </c>
      <c r="F129" s="20" t="s">
        <v>92</v>
      </c>
      <c r="G129" s="20" t="s">
        <v>93</v>
      </c>
      <c r="H129" s="20" t="s">
        <v>375</v>
      </c>
      <c r="I129" s="20" t="s">
        <v>388</v>
      </c>
      <c r="J129" s="20" t="s">
        <v>389</v>
      </c>
      <c r="K129" s="20" t="s">
        <v>45</v>
      </c>
      <c r="L129" s="20" t="s">
        <v>390</v>
      </c>
      <c r="M129" s="17">
        <v>46000</v>
      </c>
      <c r="N129" s="17">
        <v>46002</v>
      </c>
      <c r="O129" s="19">
        <f t="shared" si="18"/>
        <v>2</v>
      </c>
      <c r="P129" s="19">
        <f>IFERROR(VLOOKUP(B129,Deals[#All],7,FALSE),DEF_LAYTIME)</f>
        <v>2</v>
      </c>
      <c r="Q129" s="19">
        <f t="shared" si="19"/>
        <v>0</v>
      </c>
      <c r="R129" s="121">
        <f>IFERROR(VLOOKUP(B129,Deals[#All],8,FALSE),DEF_RATE)</f>
        <v>250</v>
      </c>
      <c r="S129" s="121">
        <f t="shared" si="20"/>
        <v>0</v>
      </c>
      <c r="T129" s="16" t="str">
        <f t="shared" si="21"/>
        <v>ON-TIME</v>
      </c>
      <c r="U129" s="16" t="str">
        <f t="shared" si="22"/>
        <v>OK</v>
      </c>
      <c r="V129" s="16" t="str">
        <f t="shared" si="23"/>
        <v>2025-12</v>
      </c>
    </row>
    <row r="130" spans="2:22" x14ac:dyDescent="0.25">
      <c r="B130" s="16">
        <v>184182</v>
      </c>
      <c r="C130" s="16" t="s">
        <v>491</v>
      </c>
      <c r="D130" s="20" t="s">
        <v>34</v>
      </c>
      <c r="E130" s="17">
        <v>45994</v>
      </c>
      <c r="F130" s="20" t="s">
        <v>92</v>
      </c>
      <c r="G130" s="20" t="s">
        <v>93</v>
      </c>
      <c r="H130" s="20" t="s">
        <v>375</v>
      </c>
      <c r="I130" s="20" t="s">
        <v>391</v>
      </c>
      <c r="J130" s="20" t="s">
        <v>392</v>
      </c>
      <c r="K130" s="20" t="s">
        <v>45</v>
      </c>
      <c r="L130" s="20" t="s">
        <v>393</v>
      </c>
      <c r="M130" s="17">
        <v>46002</v>
      </c>
      <c r="N130" s="17">
        <v>46007</v>
      </c>
      <c r="O130" s="19">
        <f t="shared" si="18"/>
        <v>5</v>
      </c>
      <c r="P130" s="19">
        <f>IFERROR(VLOOKUP(B130,Deals[#All],7,FALSE),DEF_LAYTIME)</f>
        <v>2</v>
      </c>
      <c r="Q130" s="19">
        <f t="shared" si="19"/>
        <v>3</v>
      </c>
      <c r="R130" s="121">
        <f>IFERROR(VLOOKUP(B130,Deals[#All],8,FALSE),DEF_RATE)</f>
        <v>250</v>
      </c>
      <c r="S130" s="121">
        <f t="shared" si="20"/>
        <v>750</v>
      </c>
      <c r="T130" s="16" t="str">
        <f t="shared" si="21"/>
        <v>DEMURRAGE</v>
      </c>
      <c r="U130" s="16" t="str">
        <f t="shared" si="22"/>
        <v>OK</v>
      </c>
      <c r="V130" s="16" t="str">
        <f t="shared" si="23"/>
        <v>2025-12</v>
      </c>
    </row>
    <row r="131" spans="2:22" x14ac:dyDescent="0.25">
      <c r="B131" s="16">
        <v>184182</v>
      </c>
      <c r="C131" s="16" t="s">
        <v>491</v>
      </c>
      <c r="D131" s="20" t="s">
        <v>34</v>
      </c>
      <c r="E131" s="17">
        <v>45994</v>
      </c>
      <c r="F131" s="20" t="s">
        <v>92</v>
      </c>
      <c r="G131" s="20" t="s">
        <v>93</v>
      </c>
      <c r="H131" s="20" t="s">
        <v>375</v>
      </c>
      <c r="I131" s="20" t="s">
        <v>394</v>
      </c>
      <c r="J131" s="20" t="s">
        <v>395</v>
      </c>
      <c r="K131" s="20" t="s">
        <v>45</v>
      </c>
      <c r="L131" s="20" t="s">
        <v>396</v>
      </c>
      <c r="M131" s="17">
        <v>46002</v>
      </c>
      <c r="N131" s="17">
        <v>46007</v>
      </c>
      <c r="O131" s="19">
        <f t="shared" si="18"/>
        <v>5</v>
      </c>
      <c r="P131" s="19">
        <f>IFERROR(VLOOKUP(B131,Deals[#All],7,FALSE),DEF_LAYTIME)</f>
        <v>2</v>
      </c>
      <c r="Q131" s="19">
        <f t="shared" si="19"/>
        <v>3</v>
      </c>
      <c r="R131" s="121">
        <f>IFERROR(VLOOKUP(B131,Deals[#All],8,FALSE),DEF_RATE)</f>
        <v>250</v>
      </c>
      <c r="S131" s="121">
        <f t="shared" si="20"/>
        <v>750</v>
      </c>
      <c r="T131" s="16" t="str">
        <f t="shared" si="21"/>
        <v>DEMURRAGE</v>
      </c>
      <c r="U131" s="16" t="str">
        <f t="shared" si="22"/>
        <v>OK</v>
      </c>
      <c r="V131" s="16" t="str">
        <f t="shared" si="23"/>
        <v>2025-12</v>
      </c>
    </row>
    <row r="132" spans="2:22" x14ac:dyDescent="0.25">
      <c r="B132" s="16">
        <v>184182</v>
      </c>
      <c r="C132" s="16" t="s">
        <v>491</v>
      </c>
      <c r="D132" s="20" t="s">
        <v>34</v>
      </c>
      <c r="E132" s="17">
        <v>45995</v>
      </c>
      <c r="F132" s="20" t="s">
        <v>92</v>
      </c>
      <c r="G132" s="20" t="s">
        <v>93</v>
      </c>
      <c r="H132" s="20" t="s">
        <v>375</v>
      </c>
      <c r="I132" s="20" t="s">
        <v>397</v>
      </c>
      <c r="J132" s="20" t="s">
        <v>398</v>
      </c>
      <c r="K132" s="20" t="s">
        <v>45</v>
      </c>
      <c r="L132" s="20" t="s">
        <v>399</v>
      </c>
      <c r="M132" s="17">
        <v>46007</v>
      </c>
      <c r="N132" s="17">
        <v>46009</v>
      </c>
      <c r="O132" s="19">
        <f t="shared" si="18"/>
        <v>2</v>
      </c>
      <c r="P132" s="19">
        <f>IFERROR(VLOOKUP(B132,Deals[#All],7,FALSE),DEF_LAYTIME)</f>
        <v>2</v>
      </c>
      <c r="Q132" s="19">
        <f t="shared" si="19"/>
        <v>0</v>
      </c>
      <c r="R132" s="121">
        <f>IFERROR(VLOOKUP(B132,Deals[#All],8,FALSE),DEF_RATE)</f>
        <v>250</v>
      </c>
      <c r="S132" s="121">
        <f t="shared" si="20"/>
        <v>0</v>
      </c>
      <c r="T132" s="16" t="str">
        <f t="shared" si="21"/>
        <v>ON-TIME</v>
      </c>
      <c r="U132" s="16" t="str">
        <f t="shared" si="22"/>
        <v>OK</v>
      </c>
      <c r="V132" s="16" t="str">
        <f t="shared" si="23"/>
        <v>2025-12</v>
      </c>
    </row>
    <row r="133" spans="2:22" x14ac:dyDescent="0.25">
      <c r="B133" s="16">
        <v>184182</v>
      </c>
      <c r="C133" s="16" t="s">
        <v>491</v>
      </c>
      <c r="D133" s="20" t="s">
        <v>34</v>
      </c>
      <c r="E133" s="17">
        <v>45994</v>
      </c>
      <c r="F133" s="20" t="s">
        <v>92</v>
      </c>
      <c r="G133" s="20" t="s">
        <v>93</v>
      </c>
      <c r="H133" s="20" t="s">
        <v>375</v>
      </c>
      <c r="I133" s="20" t="s">
        <v>400</v>
      </c>
      <c r="J133" s="20" t="s">
        <v>401</v>
      </c>
      <c r="K133" s="20" t="s">
        <v>45</v>
      </c>
      <c r="L133" s="20" t="s">
        <v>402</v>
      </c>
      <c r="M133" s="17">
        <v>46001</v>
      </c>
      <c r="N133" s="17">
        <v>46002</v>
      </c>
      <c r="O133" s="19">
        <f t="shared" si="18"/>
        <v>1</v>
      </c>
      <c r="P133" s="19">
        <f>IFERROR(VLOOKUP(B133,Deals[#All],7,FALSE),DEF_LAYTIME)</f>
        <v>2</v>
      </c>
      <c r="Q133" s="19">
        <f t="shared" si="19"/>
        <v>0</v>
      </c>
      <c r="R133" s="121">
        <f>IFERROR(VLOOKUP(B133,Deals[#All],8,FALSE),DEF_RATE)</f>
        <v>250</v>
      </c>
      <c r="S133" s="121">
        <f t="shared" si="20"/>
        <v>0</v>
      </c>
      <c r="T133" s="16" t="str">
        <f t="shared" si="21"/>
        <v>ON-TIME</v>
      </c>
      <c r="U133" s="16" t="str">
        <f t="shared" si="22"/>
        <v>OK</v>
      </c>
      <c r="V133" s="16" t="str">
        <f t="shared" si="23"/>
        <v>2025-12</v>
      </c>
    </row>
    <row r="134" spans="2:22" x14ac:dyDescent="0.25">
      <c r="B134" s="16">
        <v>184182</v>
      </c>
      <c r="C134" s="16" t="s">
        <v>491</v>
      </c>
      <c r="D134" s="20" t="s">
        <v>34</v>
      </c>
      <c r="E134" s="17">
        <v>45992</v>
      </c>
      <c r="F134" s="20" t="s">
        <v>92</v>
      </c>
      <c r="G134" s="20" t="s">
        <v>93</v>
      </c>
      <c r="H134" s="20" t="s">
        <v>375</v>
      </c>
      <c r="I134" s="20" t="s">
        <v>403</v>
      </c>
      <c r="J134" s="20" t="s">
        <v>404</v>
      </c>
      <c r="K134" s="20" t="s">
        <v>45</v>
      </c>
      <c r="L134" s="20" t="s">
        <v>405</v>
      </c>
      <c r="M134" s="17">
        <v>45999</v>
      </c>
      <c r="N134" s="17">
        <v>46000</v>
      </c>
      <c r="O134" s="19">
        <f t="shared" si="18"/>
        <v>1</v>
      </c>
      <c r="P134" s="19">
        <f>IFERROR(VLOOKUP(B134,Deals[#All],7,FALSE),DEF_LAYTIME)</f>
        <v>2</v>
      </c>
      <c r="Q134" s="19">
        <f t="shared" si="19"/>
        <v>0</v>
      </c>
      <c r="R134" s="121">
        <f>IFERROR(VLOOKUP(B134,Deals[#All],8,FALSE),DEF_RATE)</f>
        <v>250</v>
      </c>
      <c r="S134" s="121">
        <f t="shared" si="20"/>
        <v>0</v>
      </c>
      <c r="T134" s="16" t="str">
        <f t="shared" si="21"/>
        <v>ON-TIME</v>
      </c>
      <c r="U134" s="16" t="str">
        <f t="shared" si="22"/>
        <v>OK</v>
      </c>
      <c r="V134" s="16" t="str">
        <f t="shared" si="23"/>
        <v>2025-12</v>
      </c>
    </row>
    <row r="135" spans="2:22" x14ac:dyDescent="0.25">
      <c r="B135" s="16">
        <v>184182</v>
      </c>
      <c r="C135" s="16" t="s">
        <v>491</v>
      </c>
      <c r="D135" s="20" t="s">
        <v>34</v>
      </c>
      <c r="E135" s="17">
        <v>45992</v>
      </c>
      <c r="F135" s="20" t="s">
        <v>92</v>
      </c>
      <c r="G135" s="20" t="s">
        <v>93</v>
      </c>
      <c r="H135" s="20" t="s">
        <v>375</v>
      </c>
      <c r="I135" s="20" t="s">
        <v>406</v>
      </c>
      <c r="J135" s="20" t="s">
        <v>407</v>
      </c>
      <c r="K135" s="20" t="s">
        <v>45</v>
      </c>
      <c r="L135" s="20" t="s">
        <v>408</v>
      </c>
      <c r="M135" s="17">
        <v>46004</v>
      </c>
      <c r="N135" s="17">
        <v>46008</v>
      </c>
      <c r="O135" s="19">
        <f t="shared" ref="O135:O137" si="24">IF(OR(M135="",N135=""),"",N135-M135)</f>
        <v>4</v>
      </c>
      <c r="P135" s="19">
        <f>IFERROR(VLOOKUP(B135,Deals[#All],7,FALSE),DEF_LAYTIME)</f>
        <v>2</v>
      </c>
      <c r="Q135" s="19">
        <f t="shared" ref="Q135:Q137" si="25">IF(O135="","",MAX(0,O135-P135))</f>
        <v>2</v>
      </c>
      <c r="R135" s="121">
        <f>IFERROR(VLOOKUP(B135,Deals[#All],8,FALSE),DEF_RATE)</f>
        <v>250</v>
      </c>
      <c r="S135" s="121">
        <f t="shared" ref="S135:S137" si="26">IF(Q135="","",Q135*R135)</f>
        <v>500</v>
      </c>
      <c r="T135" s="16" t="str">
        <f t="shared" si="21"/>
        <v>DEMURRAGE</v>
      </c>
      <c r="U135" s="16" t="str">
        <f t="shared" si="22"/>
        <v>OK</v>
      </c>
      <c r="V135" s="16" t="str">
        <f t="shared" si="23"/>
        <v>2025-12</v>
      </c>
    </row>
    <row r="136" spans="2:22" x14ac:dyDescent="0.25">
      <c r="B136" s="16">
        <v>184182</v>
      </c>
      <c r="C136" s="16" t="s">
        <v>491</v>
      </c>
      <c r="D136" s="20" t="s">
        <v>34</v>
      </c>
      <c r="E136" s="17">
        <v>45992</v>
      </c>
      <c r="F136" s="20" t="s">
        <v>92</v>
      </c>
      <c r="G136" s="20" t="s">
        <v>93</v>
      </c>
      <c r="H136" s="20" t="s">
        <v>375</v>
      </c>
      <c r="I136" s="20" t="s">
        <v>409</v>
      </c>
      <c r="J136" s="20" t="s">
        <v>410</v>
      </c>
      <c r="K136" s="20" t="s">
        <v>45</v>
      </c>
      <c r="L136" s="20" t="s">
        <v>411</v>
      </c>
      <c r="M136" s="17">
        <v>46004</v>
      </c>
      <c r="N136" s="17">
        <v>46008</v>
      </c>
      <c r="O136" s="19">
        <f t="shared" si="24"/>
        <v>4</v>
      </c>
      <c r="P136" s="19">
        <f>IFERROR(VLOOKUP(B136,Deals[#All],7,FALSE),DEF_LAYTIME)</f>
        <v>2</v>
      </c>
      <c r="Q136" s="19">
        <f t="shared" si="25"/>
        <v>2</v>
      </c>
      <c r="R136" s="121">
        <f>IFERROR(VLOOKUP(B136,Deals[#All],8,FALSE),DEF_RATE)</f>
        <v>250</v>
      </c>
      <c r="S136" s="121">
        <f t="shared" si="26"/>
        <v>500</v>
      </c>
      <c r="T136" s="16" t="str">
        <f t="shared" si="21"/>
        <v>DEMURRAGE</v>
      </c>
      <c r="U136" s="16" t="str">
        <f t="shared" si="22"/>
        <v>OK</v>
      </c>
      <c r="V136" s="16" t="str">
        <f t="shared" si="23"/>
        <v>2025-12</v>
      </c>
    </row>
    <row r="137" spans="2:22" x14ac:dyDescent="0.25">
      <c r="B137" s="16">
        <v>184182</v>
      </c>
      <c r="C137" s="16" t="s">
        <v>491</v>
      </c>
      <c r="D137" s="20" t="s">
        <v>34</v>
      </c>
      <c r="E137" s="17">
        <v>45993</v>
      </c>
      <c r="F137" s="20" t="s">
        <v>92</v>
      </c>
      <c r="G137" s="20" t="s">
        <v>93</v>
      </c>
      <c r="H137" s="20" t="s">
        <v>375</v>
      </c>
      <c r="I137" s="20" t="s">
        <v>412</v>
      </c>
      <c r="J137" s="20" t="s">
        <v>413</v>
      </c>
      <c r="K137" s="20" t="s">
        <v>45</v>
      </c>
      <c r="L137" s="20" t="s">
        <v>414</v>
      </c>
      <c r="M137" s="17">
        <v>45999</v>
      </c>
      <c r="N137" s="17">
        <v>46001</v>
      </c>
      <c r="O137" s="19">
        <f t="shared" si="24"/>
        <v>2</v>
      </c>
      <c r="P137" s="19">
        <f>IFERROR(VLOOKUP(B137,Deals[#All],7,FALSE),DEF_LAYTIME)</f>
        <v>2</v>
      </c>
      <c r="Q137" s="19">
        <f t="shared" si="25"/>
        <v>0</v>
      </c>
      <c r="R137" s="121">
        <f>IFERROR(VLOOKUP(B137,Deals[#All],8,FALSE),DEF_RATE)</f>
        <v>250</v>
      </c>
      <c r="S137" s="121">
        <f t="shared" si="26"/>
        <v>0</v>
      </c>
      <c r="T137" s="16" t="str">
        <f t="shared" si="21"/>
        <v>ON-TIME</v>
      </c>
      <c r="U137" s="16" t="str">
        <f t="shared" si="22"/>
        <v>OK</v>
      </c>
      <c r="V137" s="16" t="str">
        <f t="shared" si="23"/>
        <v>2025-12</v>
      </c>
    </row>
    <row r="138" spans="2:22" x14ac:dyDescent="0.25">
      <c r="B138" s="71" t="s">
        <v>481</v>
      </c>
      <c r="C138" s="71"/>
      <c r="D138" s="71"/>
      <c r="E138" s="71"/>
      <c r="F138" s="71"/>
      <c r="G138" s="71"/>
      <c r="H138" s="71"/>
      <c r="I138" s="71"/>
      <c r="J138" s="71"/>
      <c r="K138" s="71"/>
      <c r="L138" s="71"/>
      <c r="M138" s="71"/>
      <c r="N138" s="71"/>
      <c r="O138" s="71">
        <f>SUBTOTAL(109,Trips[Waiting (d)])</f>
        <v>608</v>
      </c>
      <c r="P138" s="71"/>
      <c r="Q138" s="71">
        <f>SUBTOTAL(109,Trips[Excess (d)])</f>
        <v>423</v>
      </c>
      <c r="R138" s="122"/>
      <c r="S138" s="122">
        <f>SUBTOTAL(109,Trips[Demurrage (USD)])</f>
        <v>105750</v>
      </c>
      <c r="T138" s="71"/>
      <c r="U138" s="71"/>
      <c r="V138" s="71"/>
    </row>
    <row r="139" spans="2:22" x14ac:dyDescent="0.25">
      <c r="R139" s="123"/>
      <c r="S139" s="123"/>
    </row>
    <row r="140" spans="2:22" x14ac:dyDescent="0.25">
      <c r="R140" s="123"/>
      <c r="S140" s="123"/>
    </row>
    <row r="141" spans="2:22" x14ac:dyDescent="0.25">
      <c r="R141" s="123"/>
      <c r="S141" s="123"/>
    </row>
    <row r="142" spans="2:22" x14ac:dyDescent="0.25">
      <c r="R142" s="123"/>
      <c r="S142" s="123"/>
    </row>
    <row r="143" spans="2:22" x14ac:dyDescent="0.25">
      <c r="R143" s="123"/>
      <c r="S143" s="123"/>
    </row>
    <row r="144" spans="2:22" x14ac:dyDescent="0.25">
      <c r="R144" s="123"/>
      <c r="S144" s="123"/>
    </row>
    <row r="145" spans="18:19" x14ac:dyDescent="0.25">
      <c r="R145" s="123"/>
      <c r="S145" s="123"/>
    </row>
    <row r="146" spans="18:19" x14ac:dyDescent="0.25">
      <c r="R146" s="123"/>
      <c r="S146" s="123"/>
    </row>
    <row r="147" spans="18:19" x14ac:dyDescent="0.25">
      <c r="R147" s="123"/>
      <c r="S147" s="123"/>
    </row>
    <row r="148" spans="18:19" x14ac:dyDescent="0.25">
      <c r="R148" s="123"/>
      <c r="S148" s="123"/>
    </row>
    <row r="149" spans="18:19" x14ac:dyDescent="0.25">
      <c r="R149" s="123"/>
      <c r="S149" s="123"/>
    </row>
    <row r="150" spans="18:19" x14ac:dyDescent="0.25">
      <c r="R150" s="123"/>
      <c r="S150" s="123"/>
    </row>
    <row r="151" spans="18:19" x14ac:dyDescent="0.25">
      <c r="R151" s="123"/>
      <c r="S151" s="123"/>
    </row>
    <row r="152" spans="18:19" x14ac:dyDescent="0.25">
      <c r="R152" s="123"/>
      <c r="S152" s="123"/>
    </row>
    <row r="153" spans="18:19" x14ac:dyDescent="0.25">
      <c r="R153" s="123"/>
      <c r="S153" s="123"/>
    </row>
    <row r="154" spans="18:19" x14ac:dyDescent="0.25">
      <c r="R154" s="123"/>
      <c r="S154" s="123"/>
    </row>
    <row r="155" spans="18:19" x14ac:dyDescent="0.25">
      <c r="R155" s="123"/>
      <c r="S155" s="123"/>
    </row>
    <row r="156" spans="18:19" x14ac:dyDescent="0.25">
      <c r="R156" s="123"/>
      <c r="S156" s="123"/>
    </row>
    <row r="157" spans="18:19" x14ac:dyDescent="0.25">
      <c r="R157" s="123"/>
      <c r="S157" s="123"/>
    </row>
    <row r="158" spans="18:19" x14ac:dyDescent="0.25">
      <c r="R158" s="123"/>
      <c r="S158" s="123"/>
    </row>
    <row r="159" spans="18:19" x14ac:dyDescent="0.25">
      <c r="R159" s="123"/>
      <c r="S159" s="123"/>
    </row>
    <row r="160" spans="18:19" x14ac:dyDescent="0.25">
      <c r="R160" s="123"/>
      <c r="S160" s="123"/>
    </row>
    <row r="161" spans="18:19" x14ac:dyDescent="0.25">
      <c r="R161" s="123"/>
      <c r="S161" s="123"/>
    </row>
    <row r="162" spans="18:19" x14ac:dyDescent="0.25">
      <c r="R162" s="123"/>
      <c r="S162" s="123"/>
    </row>
    <row r="163" spans="18:19" x14ac:dyDescent="0.25">
      <c r="R163" s="123"/>
      <c r="S163" s="123"/>
    </row>
    <row r="164" spans="18:19" x14ac:dyDescent="0.25">
      <c r="R164" s="123"/>
      <c r="S164" s="123"/>
    </row>
    <row r="165" spans="18:19" x14ac:dyDescent="0.25">
      <c r="R165" s="123"/>
      <c r="S165" s="123"/>
    </row>
    <row r="166" spans="18:19" x14ac:dyDescent="0.25">
      <c r="R166" s="123"/>
      <c r="S166" s="123"/>
    </row>
    <row r="167" spans="18:19" x14ac:dyDescent="0.25">
      <c r="R167" s="123"/>
      <c r="S167" s="123"/>
    </row>
    <row r="168" spans="18:19" x14ac:dyDescent="0.25">
      <c r="R168" s="123"/>
      <c r="S168" s="123"/>
    </row>
    <row r="169" spans="18:19" x14ac:dyDescent="0.25">
      <c r="R169" s="123"/>
      <c r="S169" s="123"/>
    </row>
    <row r="170" spans="18:19" x14ac:dyDescent="0.25">
      <c r="R170" s="123"/>
      <c r="S170" s="123"/>
    </row>
    <row r="171" spans="18:19" x14ac:dyDescent="0.25">
      <c r="R171" s="123"/>
      <c r="S171" s="123"/>
    </row>
    <row r="172" spans="18:19" x14ac:dyDescent="0.25">
      <c r="R172" s="123"/>
      <c r="S172" s="123"/>
    </row>
    <row r="173" spans="18:19" x14ac:dyDescent="0.25">
      <c r="R173" s="123"/>
      <c r="S173" s="123"/>
    </row>
    <row r="174" spans="18:19" x14ac:dyDescent="0.25">
      <c r="R174" s="123"/>
      <c r="S174" s="123"/>
    </row>
    <row r="175" spans="18:19" x14ac:dyDescent="0.25">
      <c r="R175" s="123"/>
      <c r="S175" s="123"/>
    </row>
    <row r="176" spans="18:19" x14ac:dyDescent="0.25">
      <c r="R176" s="123"/>
      <c r="S176" s="123"/>
    </row>
    <row r="177" spans="18:19" x14ac:dyDescent="0.25">
      <c r="R177" s="123"/>
      <c r="S177" s="123"/>
    </row>
    <row r="178" spans="18:19" x14ac:dyDescent="0.25">
      <c r="R178" s="123"/>
      <c r="S178" s="123"/>
    </row>
    <row r="179" spans="18:19" x14ac:dyDescent="0.25">
      <c r="R179" s="123"/>
      <c r="S179" s="123"/>
    </row>
    <row r="180" spans="18:19" x14ac:dyDescent="0.25">
      <c r="R180" s="123"/>
      <c r="S180" s="123"/>
    </row>
    <row r="181" spans="18:19" x14ac:dyDescent="0.25">
      <c r="R181" s="123"/>
      <c r="S181" s="123"/>
    </row>
    <row r="182" spans="18:19" x14ac:dyDescent="0.25">
      <c r="R182" s="123"/>
      <c r="S182" s="123"/>
    </row>
    <row r="183" spans="18:19" x14ac:dyDescent="0.25">
      <c r="R183" s="123"/>
      <c r="S183" s="123"/>
    </row>
    <row r="184" spans="18:19" x14ac:dyDescent="0.25">
      <c r="R184" s="123"/>
      <c r="S184" s="123"/>
    </row>
    <row r="185" spans="18:19" x14ac:dyDescent="0.25">
      <c r="R185" s="123"/>
      <c r="S185" s="123"/>
    </row>
    <row r="186" spans="18:19" x14ac:dyDescent="0.25">
      <c r="R186" s="123"/>
      <c r="S186" s="123"/>
    </row>
    <row r="187" spans="18:19" x14ac:dyDescent="0.25">
      <c r="R187" s="123"/>
      <c r="S187" s="123"/>
    </row>
    <row r="188" spans="18:19" x14ac:dyDescent="0.25">
      <c r="R188" s="123"/>
      <c r="S188" s="123"/>
    </row>
    <row r="189" spans="18:19" x14ac:dyDescent="0.25">
      <c r="R189" s="123"/>
      <c r="S189" s="123"/>
    </row>
    <row r="190" spans="18:19" x14ac:dyDescent="0.25">
      <c r="R190" s="123"/>
      <c r="S190" s="123"/>
    </row>
    <row r="191" spans="18:19" x14ac:dyDescent="0.25">
      <c r="R191" s="123"/>
      <c r="S191" s="123"/>
    </row>
    <row r="192" spans="18:19" x14ac:dyDescent="0.25">
      <c r="R192" s="123"/>
      <c r="S192" s="123"/>
    </row>
    <row r="193" spans="18:19" x14ac:dyDescent="0.25">
      <c r="R193" s="123"/>
      <c r="S193" s="123"/>
    </row>
    <row r="194" spans="18:19" x14ac:dyDescent="0.25">
      <c r="R194" s="123"/>
      <c r="S194" s="123"/>
    </row>
    <row r="195" spans="18:19" x14ac:dyDescent="0.25">
      <c r="R195" s="123"/>
      <c r="S195" s="123"/>
    </row>
    <row r="196" spans="18:19" x14ac:dyDescent="0.25">
      <c r="R196" s="123"/>
      <c r="S196" s="123"/>
    </row>
    <row r="197" spans="18:19" x14ac:dyDescent="0.25">
      <c r="R197" s="123"/>
      <c r="S197" s="123"/>
    </row>
    <row r="198" spans="18:19" x14ac:dyDescent="0.25">
      <c r="R198" s="123"/>
      <c r="S198" s="123"/>
    </row>
    <row r="199" spans="18:19" x14ac:dyDescent="0.25">
      <c r="R199" s="123"/>
      <c r="S199" s="123"/>
    </row>
    <row r="200" spans="18:19" x14ac:dyDescent="0.25">
      <c r="R200" s="123"/>
      <c r="S200" s="123"/>
    </row>
    <row r="201" spans="18:19" x14ac:dyDescent="0.25">
      <c r="R201" s="123"/>
      <c r="S201" s="123"/>
    </row>
    <row r="202" spans="18:19" x14ac:dyDescent="0.25">
      <c r="R202" s="123"/>
      <c r="S202" s="123"/>
    </row>
    <row r="203" spans="18:19" x14ac:dyDescent="0.25">
      <c r="R203" s="123"/>
      <c r="S203" s="123"/>
    </row>
    <row r="204" spans="18:19" x14ac:dyDescent="0.25">
      <c r="R204" s="123"/>
      <c r="S204" s="123"/>
    </row>
    <row r="205" spans="18:19" x14ac:dyDescent="0.25">
      <c r="R205" s="123"/>
      <c r="S205" s="123"/>
    </row>
    <row r="206" spans="18:19" x14ac:dyDescent="0.25">
      <c r="R206" s="123"/>
      <c r="S206" s="123"/>
    </row>
    <row r="207" spans="18:19" x14ac:dyDescent="0.25">
      <c r="R207" s="123"/>
      <c r="S207" s="123"/>
    </row>
    <row r="208" spans="18:19" x14ac:dyDescent="0.25">
      <c r="R208" s="123"/>
      <c r="S208" s="123"/>
    </row>
    <row r="209" spans="18:19" x14ac:dyDescent="0.25">
      <c r="R209" s="123"/>
      <c r="S209" s="123"/>
    </row>
    <row r="210" spans="18:19" x14ac:dyDescent="0.25">
      <c r="R210" s="123"/>
      <c r="S210" s="123"/>
    </row>
    <row r="211" spans="18:19" x14ac:dyDescent="0.25">
      <c r="R211" s="123"/>
      <c r="S211" s="123"/>
    </row>
    <row r="212" spans="18:19" x14ac:dyDescent="0.25">
      <c r="R212" s="123"/>
      <c r="S212" s="123"/>
    </row>
    <row r="213" spans="18:19" x14ac:dyDescent="0.25">
      <c r="R213" s="123"/>
      <c r="S213" s="123"/>
    </row>
    <row r="214" spans="18:19" x14ac:dyDescent="0.25">
      <c r="R214" s="123"/>
      <c r="S214" s="123"/>
    </row>
    <row r="215" spans="18:19" x14ac:dyDescent="0.25">
      <c r="R215" s="123"/>
      <c r="S215" s="123"/>
    </row>
    <row r="216" spans="18:19" x14ac:dyDescent="0.25">
      <c r="R216" s="123"/>
      <c r="S216" s="123"/>
    </row>
    <row r="217" spans="18:19" x14ac:dyDescent="0.25">
      <c r="R217" s="123"/>
      <c r="S217" s="123"/>
    </row>
    <row r="218" spans="18:19" x14ac:dyDescent="0.25">
      <c r="R218" s="123"/>
      <c r="S218" s="123"/>
    </row>
    <row r="219" spans="18:19" x14ac:dyDescent="0.25">
      <c r="R219" s="123"/>
      <c r="S219" s="123"/>
    </row>
    <row r="220" spans="18:19" x14ac:dyDescent="0.25">
      <c r="R220" s="123"/>
      <c r="S220" s="123"/>
    </row>
    <row r="221" spans="18:19" x14ac:dyDescent="0.25">
      <c r="R221" s="123"/>
      <c r="S221" s="123"/>
    </row>
    <row r="222" spans="18:19" x14ac:dyDescent="0.25">
      <c r="R222" s="123"/>
      <c r="S222" s="123"/>
    </row>
    <row r="223" spans="18:19" x14ac:dyDescent="0.25">
      <c r="R223" s="123"/>
      <c r="S223" s="123"/>
    </row>
    <row r="224" spans="18:19" x14ac:dyDescent="0.25">
      <c r="R224" s="123"/>
      <c r="S224" s="123"/>
    </row>
    <row r="225" spans="18:19" x14ac:dyDescent="0.25">
      <c r="R225" s="123"/>
      <c r="S225" s="123"/>
    </row>
    <row r="226" spans="18:19" x14ac:dyDescent="0.25">
      <c r="R226" s="123"/>
      <c r="S226" s="123"/>
    </row>
    <row r="227" spans="18:19" x14ac:dyDescent="0.25">
      <c r="R227" s="123"/>
      <c r="S227" s="123"/>
    </row>
    <row r="228" spans="18:19" x14ac:dyDescent="0.25">
      <c r="R228" s="123"/>
      <c r="S228" s="123"/>
    </row>
    <row r="229" spans="18:19" x14ac:dyDescent="0.25">
      <c r="R229" s="123"/>
      <c r="S229" s="123"/>
    </row>
    <row r="230" spans="18:19" x14ac:dyDescent="0.25">
      <c r="R230" s="123"/>
      <c r="S230" s="123"/>
    </row>
    <row r="231" spans="18:19" x14ac:dyDescent="0.25">
      <c r="R231" s="123"/>
      <c r="S231" s="123"/>
    </row>
    <row r="232" spans="18:19" x14ac:dyDescent="0.25">
      <c r="R232" s="123"/>
      <c r="S232" s="123"/>
    </row>
    <row r="233" spans="18:19" x14ac:dyDescent="0.25">
      <c r="R233" s="123"/>
      <c r="S233" s="123"/>
    </row>
    <row r="234" spans="18:19" x14ac:dyDescent="0.25">
      <c r="R234" s="123"/>
      <c r="S234" s="123"/>
    </row>
    <row r="235" spans="18:19" x14ac:dyDescent="0.25">
      <c r="R235" s="123"/>
      <c r="S235" s="123"/>
    </row>
    <row r="236" spans="18:19" x14ac:dyDescent="0.25">
      <c r="R236" s="123"/>
      <c r="S236" s="123"/>
    </row>
    <row r="237" spans="18:19" x14ac:dyDescent="0.25">
      <c r="R237" s="123"/>
      <c r="S237" s="123"/>
    </row>
    <row r="238" spans="18:19" x14ac:dyDescent="0.25">
      <c r="R238" s="123"/>
      <c r="S238" s="123"/>
    </row>
    <row r="239" spans="18:19" x14ac:dyDescent="0.25">
      <c r="R239" s="123"/>
      <c r="S239" s="123"/>
    </row>
    <row r="240" spans="18:19" x14ac:dyDescent="0.25">
      <c r="R240" s="123"/>
      <c r="S240" s="123"/>
    </row>
    <row r="241" spans="18:19" x14ac:dyDescent="0.25">
      <c r="R241" s="123"/>
      <c r="S241" s="123"/>
    </row>
    <row r="242" spans="18:19" x14ac:dyDescent="0.25">
      <c r="R242" s="123"/>
      <c r="S242" s="123"/>
    </row>
    <row r="243" spans="18:19" x14ac:dyDescent="0.25">
      <c r="R243" s="123"/>
      <c r="S243" s="123"/>
    </row>
    <row r="244" spans="18:19" x14ac:dyDescent="0.25">
      <c r="R244" s="123"/>
      <c r="S244" s="123"/>
    </row>
    <row r="245" spans="18:19" x14ac:dyDescent="0.25">
      <c r="R245" s="123"/>
      <c r="S245" s="123"/>
    </row>
    <row r="246" spans="18:19" x14ac:dyDescent="0.25">
      <c r="R246" s="123"/>
      <c r="S246" s="123"/>
    </row>
    <row r="247" spans="18:19" x14ac:dyDescent="0.25">
      <c r="R247" s="123"/>
      <c r="S247" s="123"/>
    </row>
    <row r="248" spans="18:19" x14ac:dyDescent="0.25">
      <c r="R248" s="123"/>
      <c r="S248" s="123"/>
    </row>
    <row r="249" spans="18:19" x14ac:dyDescent="0.25">
      <c r="R249" s="123"/>
      <c r="S249" s="123"/>
    </row>
    <row r="250" spans="18:19" x14ac:dyDescent="0.25">
      <c r="R250" s="123"/>
      <c r="S250" s="123"/>
    </row>
    <row r="251" spans="18:19" x14ac:dyDescent="0.25">
      <c r="R251" s="123"/>
      <c r="S251" s="123"/>
    </row>
    <row r="252" spans="18:19" x14ac:dyDescent="0.25">
      <c r="R252" s="123"/>
      <c r="S252" s="123"/>
    </row>
    <row r="253" spans="18:19" x14ac:dyDescent="0.25">
      <c r="R253" s="123"/>
      <c r="S253" s="123"/>
    </row>
    <row r="254" spans="18:19" x14ac:dyDescent="0.25">
      <c r="R254" s="123"/>
      <c r="S254" s="123"/>
    </row>
    <row r="255" spans="18:19" x14ac:dyDescent="0.25">
      <c r="R255" s="123"/>
      <c r="S255" s="123"/>
    </row>
    <row r="256" spans="18:19" x14ac:dyDescent="0.25">
      <c r="R256" s="123"/>
      <c r="S256" s="123"/>
    </row>
    <row r="257" spans="18:19" x14ac:dyDescent="0.25">
      <c r="R257" s="123"/>
      <c r="S257" s="123"/>
    </row>
    <row r="258" spans="18:19" x14ac:dyDescent="0.25">
      <c r="R258" s="123"/>
      <c r="S258" s="123"/>
    </row>
    <row r="259" spans="18:19" x14ac:dyDescent="0.25">
      <c r="R259" s="123"/>
      <c r="S259" s="123"/>
    </row>
    <row r="260" spans="18:19" x14ac:dyDescent="0.25">
      <c r="R260" s="123"/>
      <c r="S260" s="123"/>
    </row>
    <row r="261" spans="18:19" x14ac:dyDescent="0.25">
      <c r="R261" s="123"/>
      <c r="S261" s="123"/>
    </row>
    <row r="262" spans="18:19" x14ac:dyDescent="0.25">
      <c r="R262" s="123"/>
      <c r="S262" s="123"/>
    </row>
    <row r="263" spans="18:19" x14ac:dyDescent="0.25">
      <c r="R263" s="123"/>
      <c r="S263" s="123"/>
    </row>
    <row r="264" spans="18:19" x14ac:dyDescent="0.25">
      <c r="R264" s="123"/>
      <c r="S264" s="123"/>
    </row>
    <row r="265" spans="18:19" x14ac:dyDescent="0.25">
      <c r="R265" s="123"/>
      <c r="S265" s="123"/>
    </row>
    <row r="266" spans="18:19" x14ac:dyDescent="0.25">
      <c r="R266" s="123"/>
      <c r="S266" s="123"/>
    </row>
    <row r="267" spans="18:19" x14ac:dyDescent="0.25">
      <c r="R267" s="123"/>
      <c r="S267" s="123"/>
    </row>
    <row r="268" spans="18:19" x14ac:dyDescent="0.25">
      <c r="R268" s="123"/>
      <c r="S268" s="123"/>
    </row>
    <row r="269" spans="18:19" x14ac:dyDescent="0.25">
      <c r="R269" s="123"/>
      <c r="S269" s="123"/>
    </row>
    <row r="270" spans="18:19" x14ac:dyDescent="0.25">
      <c r="R270" s="123"/>
      <c r="S270" s="123"/>
    </row>
    <row r="271" spans="18:19" x14ac:dyDescent="0.25">
      <c r="R271" s="123"/>
      <c r="S271" s="123"/>
    </row>
    <row r="272" spans="18:19" x14ac:dyDescent="0.25">
      <c r="R272" s="123"/>
      <c r="S272" s="123"/>
    </row>
    <row r="273" spans="18:19" x14ac:dyDescent="0.25">
      <c r="R273" s="123"/>
      <c r="S273" s="123"/>
    </row>
    <row r="274" spans="18:19" x14ac:dyDescent="0.25">
      <c r="R274" s="123"/>
      <c r="S274" s="123"/>
    </row>
    <row r="275" spans="18:19" x14ac:dyDescent="0.25">
      <c r="R275" s="123"/>
      <c r="S275" s="123"/>
    </row>
    <row r="276" spans="18:19" x14ac:dyDescent="0.25">
      <c r="R276" s="123"/>
      <c r="S276" s="123"/>
    </row>
    <row r="277" spans="18:19" x14ac:dyDescent="0.25">
      <c r="R277" s="123"/>
      <c r="S277" s="123"/>
    </row>
    <row r="278" spans="18:19" x14ac:dyDescent="0.25">
      <c r="R278" s="123"/>
      <c r="S278" s="123"/>
    </row>
    <row r="279" spans="18:19" x14ac:dyDescent="0.25">
      <c r="R279" s="123"/>
      <c r="S279" s="123"/>
    </row>
    <row r="280" spans="18:19" x14ac:dyDescent="0.25">
      <c r="R280" s="123"/>
      <c r="S280" s="123"/>
    </row>
    <row r="281" spans="18:19" x14ac:dyDescent="0.25">
      <c r="R281" s="123"/>
      <c r="S281" s="123"/>
    </row>
    <row r="282" spans="18:19" x14ac:dyDescent="0.25">
      <c r="R282" s="123"/>
      <c r="S282" s="123"/>
    </row>
    <row r="283" spans="18:19" x14ac:dyDescent="0.25">
      <c r="R283" s="123"/>
      <c r="S283" s="123"/>
    </row>
    <row r="284" spans="18:19" x14ac:dyDescent="0.25">
      <c r="R284" s="123"/>
      <c r="S284" s="123"/>
    </row>
    <row r="285" spans="18:19" x14ac:dyDescent="0.25">
      <c r="R285" s="123"/>
      <c r="S285" s="123"/>
    </row>
    <row r="286" spans="18:19" x14ac:dyDescent="0.25">
      <c r="R286" s="123"/>
      <c r="S286" s="123"/>
    </row>
    <row r="287" spans="18:19" x14ac:dyDescent="0.25">
      <c r="R287" s="123"/>
      <c r="S287" s="123"/>
    </row>
    <row r="288" spans="18:19" x14ac:dyDescent="0.25">
      <c r="R288" s="123"/>
      <c r="S288" s="123"/>
    </row>
    <row r="289" spans="18:19" x14ac:dyDescent="0.25">
      <c r="R289" s="123"/>
      <c r="S289" s="123"/>
    </row>
    <row r="290" spans="18:19" x14ac:dyDescent="0.25">
      <c r="R290" s="123"/>
      <c r="S290" s="123"/>
    </row>
    <row r="291" spans="18:19" x14ac:dyDescent="0.25">
      <c r="R291" s="123"/>
      <c r="S291" s="123"/>
    </row>
    <row r="292" spans="18:19" x14ac:dyDescent="0.25">
      <c r="R292" s="123"/>
      <c r="S292" s="123"/>
    </row>
    <row r="293" spans="18:19" x14ac:dyDescent="0.25">
      <c r="R293" s="123"/>
      <c r="S293" s="123"/>
    </row>
    <row r="294" spans="18:19" x14ac:dyDescent="0.25">
      <c r="R294" s="123"/>
      <c r="S294" s="123"/>
    </row>
    <row r="295" spans="18:19" x14ac:dyDescent="0.25">
      <c r="R295" s="123"/>
      <c r="S295" s="123"/>
    </row>
    <row r="296" spans="18:19" x14ac:dyDescent="0.25">
      <c r="R296" s="123"/>
      <c r="S296" s="123"/>
    </row>
    <row r="297" spans="18:19" x14ac:dyDescent="0.25">
      <c r="R297" s="123"/>
      <c r="S297" s="123"/>
    </row>
    <row r="298" spans="18:19" x14ac:dyDescent="0.25">
      <c r="R298" s="123"/>
      <c r="S298" s="123"/>
    </row>
    <row r="299" spans="18:19" x14ac:dyDescent="0.25">
      <c r="R299" s="123"/>
      <c r="S299" s="123"/>
    </row>
    <row r="300" spans="18:19" x14ac:dyDescent="0.25">
      <c r="R300" s="123"/>
      <c r="S300" s="123"/>
    </row>
    <row r="301" spans="18:19" x14ac:dyDescent="0.25">
      <c r="R301" s="123"/>
      <c r="S301" s="123"/>
    </row>
    <row r="302" spans="18:19" x14ac:dyDescent="0.25">
      <c r="R302" s="123"/>
      <c r="S302" s="123"/>
    </row>
    <row r="303" spans="18:19" x14ac:dyDescent="0.25">
      <c r="R303" s="123"/>
      <c r="S303" s="123"/>
    </row>
    <row r="304" spans="18:19" x14ac:dyDescent="0.25">
      <c r="R304" s="123"/>
      <c r="S304" s="123"/>
    </row>
    <row r="305" spans="18:19" x14ac:dyDescent="0.25">
      <c r="R305" s="123"/>
      <c r="S305" s="123"/>
    </row>
    <row r="306" spans="18:19" x14ac:dyDescent="0.25">
      <c r="R306" s="123"/>
      <c r="S306" s="123"/>
    </row>
    <row r="307" spans="18:19" x14ac:dyDescent="0.25">
      <c r="R307" s="123"/>
      <c r="S307" s="123"/>
    </row>
    <row r="308" spans="18:19" x14ac:dyDescent="0.25">
      <c r="R308" s="123"/>
      <c r="S308" s="123"/>
    </row>
    <row r="309" spans="18:19" x14ac:dyDescent="0.25">
      <c r="R309" s="123"/>
      <c r="S309" s="123"/>
    </row>
    <row r="310" spans="18:19" x14ac:dyDescent="0.25">
      <c r="R310" s="123"/>
      <c r="S310" s="123"/>
    </row>
    <row r="311" spans="18:19" x14ac:dyDescent="0.25">
      <c r="R311" s="123"/>
      <c r="S311" s="123"/>
    </row>
    <row r="312" spans="18:19" x14ac:dyDescent="0.25">
      <c r="R312" s="123"/>
      <c r="S312" s="123"/>
    </row>
    <row r="313" spans="18:19" x14ac:dyDescent="0.25">
      <c r="R313" s="123"/>
      <c r="S313" s="123"/>
    </row>
    <row r="314" spans="18:19" x14ac:dyDescent="0.25">
      <c r="R314" s="123"/>
      <c r="S314" s="123"/>
    </row>
    <row r="315" spans="18:19" x14ac:dyDescent="0.25">
      <c r="R315" s="123"/>
      <c r="S315" s="123"/>
    </row>
    <row r="316" spans="18:19" x14ac:dyDescent="0.25">
      <c r="R316" s="123"/>
      <c r="S316" s="123"/>
    </row>
    <row r="317" spans="18:19" x14ac:dyDescent="0.25">
      <c r="R317" s="123"/>
      <c r="S317" s="123"/>
    </row>
    <row r="318" spans="18:19" x14ac:dyDescent="0.25">
      <c r="R318" s="123"/>
      <c r="S318" s="123"/>
    </row>
    <row r="319" spans="18:19" x14ac:dyDescent="0.25">
      <c r="R319" s="123"/>
      <c r="S319" s="123"/>
    </row>
    <row r="320" spans="18:19" x14ac:dyDescent="0.25">
      <c r="R320" s="123"/>
      <c r="S320" s="123"/>
    </row>
    <row r="321" spans="18:19" x14ac:dyDescent="0.25">
      <c r="R321" s="123"/>
      <c r="S321" s="123"/>
    </row>
    <row r="322" spans="18:19" x14ac:dyDescent="0.25">
      <c r="R322" s="123"/>
      <c r="S322" s="123"/>
    </row>
    <row r="323" spans="18:19" x14ac:dyDescent="0.25">
      <c r="R323" s="123"/>
      <c r="S323" s="123"/>
    </row>
    <row r="324" spans="18:19" x14ac:dyDescent="0.25">
      <c r="R324" s="123"/>
      <c r="S324" s="123"/>
    </row>
    <row r="325" spans="18:19" x14ac:dyDescent="0.25">
      <c r="R325" s="123"/>
      <c r="S325" s="123"/>
    </row>
    <row r="326" spans="18:19" x14ac:dyDescent="0.25">
      <c r="R326" s="123"/>
      <c r="S326" s="123"/>
    </row>
    <row r="327" spans="18:19" x14ac:dyDescent="0.25">
      <c r="R327" s="123"/>
      <c r="S327" s="123"/>
    </row>
    <row r="328" spans="18:19" x14ac:dyDescent="0.25">
      <c r="R328" s="123"/>
      <c r="S328" s="123"/>
    </row>
    <row r="329" spans="18:19" x14ac:dyDescent="0.25">
      <c r="R329" s="123"/>
      <c r="S329" s="123"/>
    </row>
    <row r="330" spans="18:19" x14ac:dyDescent="0.25">
      <c r="R330" s="123"/>
      <c r="S330" s="123"/>
    </row>
    <row r="331" spans="18:19" x14ac:dyDescent="0.25">
      <c r="R331" s="123"/>
      <c r="S331" s="123"/>
    </row>
    <row r="332" spans="18:19" x14ac:dyDescent="0.25">
      <c r="R332" s="123"/>
      <c r="S332" s="123"/>
    </row>
    <row r="333" spans="18:19" x14ac:dyDescent="0.25">
      <c r="R333" s="123"/>
      <c r="S333" s="123"/>
    </row>
    <row r="334" spans="18:19" x14ac:dyDescent="0.25">
      <c r="R334" s="123"/>
      <c r="S334" s="123"/>
    </row>
    <row r="335" spans="18:19" x14ac:dyDescent="0.25">
      <c r="R335" s="123"/>
      <c r="S335" s="123"/>
    </row>
    <row r="336" spans="18:19" x14ac:dyDescent="0.25">
      <c r="R336" s="123"/>
      <c r="S336" s="123"/>
    </row>
    <row r="337" spans="18:19" x14ac:dyDescent="0.25">
      <c r="R337" s="123"/>
      <c r="S337" s="123"/>
    </row>
    <row r="338" spans="18:19" x14ac:dyDescent="0.25">
      <c r="R338" s="123"/>
      <c r="S338" s="123"/>
    </row>
    <row r="339" spans="18:19" x14ac:dyDescent="0.25">
      <c r="R339" s="123"/>
      <c r="S339" s="123"/>
    </row>
    <row r="340" spans="18:19" x14ac:dyDescent="0.25">
      <c r="R340" s="123"/>
      <c r="S340" s="123"/>
    </row>
    <row r="341" spans="18:19" x14ac:dyDescent="0.25">
      <c r="R341" s="123"/>
      <c r="S341" s="123"/>
    </row>
    <row r="342" spans="18:19" x14ac:dyDescent="0.25">
      <c r="R342" s="123"/>
      <c r="S342" s="123"/>
    </row>
    <row r="343" spans="18:19" x14ac:dyDescent="0.25">
      <c r="R343" s="123"/>
      <c r="S343" s="123"/>
    </row>
    <row r="344" spans="18:19" x14ac:dyDescent="0.25">
      <c r="R344" s="123"/>
      <c r="S344" s="123"/>
    </row>
    <row r="345" spans="18:19" x14ac:dyDescent="0.25">
      <c r="R345" s="123"/>
      <c r="S345" s="123"/>
    </row>
    <row r="346" spans="18:19" x14ac:dyDescent="0.25">
      <c r="R346" s="123"/>
      <c r="S346" s="123"/>
    </row>
    <row r="347" spans="18:19" x14ac:dyDescent="0.25">
      <c r="R347" s="123"/>
      <c r="S347" s="123"/>
    </row>
    <row r="348" spans="18:19" x14ac:dyDescent="0.25">
      <c r="R348" s="123"/>
      <c r="S348" s="123"/>
    </row>
    <row r="349" spans="18:19" x14ac:dyDescent="0.25">
      <c r="R349" s="123"/>
      <c r="S349" s="123"/>
    </row>
    <row r="350" spans="18:19" x14ac:dyDescent="0.25">
      <c r="R350" s="123"/>
      <c r="S350" s="123"/>
    </row>
    <row r="351" spans="18:19" x14ac:dyDescent="0.25">
      <c r="R351" s="123"/>
      <c r="S351" s="123"/>
    </row>
    <row r="352" spans="18:19" x14ac:dyDescent="0.25">
      <c r="R352" s="123"/>
      <c r="S352" s="123"/>
    </row>
    <row r="353" spans="18:19" x14ac:dyDescent="0.25">
      <c r="R353" s="123"/>
      <c r="S353" s="123"/>
    </row>
    <row r="354" spans="18:19" x14ac:dyDescent="0.25">
      <c r="R354" s="123"/>
      <c r="S354" s="123"/>
    </row>
    <row r="355" spans="18:19" x14ac:dyDescent="0.25">
      <c r="R355" s="123"/>
      <c r="S355" s="123"/>
    </row>
    <row r="356" spans="18:19" x14ac:dyDescent="0.25">
      <c r="R356" s="123"/>
      <c r="S356" s="123"/>
    </row>
    <row r="357" spans="18:19" x14ac:dyDescent="0.25">
      <c r="R357" s="123"/>
      <c r="S357" s="123"/>
    </row>
    <row r="358" spans="18:19" x14ac:dyDescent="0.25">
      <c r="R358" s="123"/>
      <c r="S358" s="123"/>
    </row>
    <row r="359" spans="18:19" x14ac:dyDescent="0.25">
      <c r="R359" s="123"/>
      <c r="S359" s="123"/>
    </row>
    <row r="360" spans="18:19" x14ac:dyDescent="0.25">
      <c r="R360" s="123"/>
      <c r="S360" s="123"/>
    </row>
    <row r="361" spans="18:19" x14ac:dyDescent="0.25">
      <c r="R361" s="123"/>
      <c r="S361" s="123"/>
    </row>
    <row r="362" spans="18:19" x14ac:dyDescent="0.25">
      <c r="R362" s="123"/>
      <c r="S362" s="123"/>
    </row>
    <row r="363" spans="18:19" x14ac:dyDescent="0.25">
      <c r="R363" s="123"/>
      <c r="S363" s="123"/>
    </row>
    <row r="364" spans="18:19" x14ac:dyDescent="0.25">
      <c r="R364" s="123"/>
      <c r="S364" s="123"/>
    </row>
    <row r="365" spans="18:19" x14ac:dyDescent="0.25">
      <c r="R365" s="123"/>
      <c r="S365" s="123"/>
    </row>
    <row r="366" spans="18:19" x14ac:dyDescent="0.25">
      <c r="R366" s="123"/>
      <c r="S366" s="123"/>
    </row>
    <row r="367" spans="18:19" x14ac:dyDescent="0.25">
      <c r="R367" s="123"/>
      <c r="S367" s="123"/>
    </row>
    <row r="368" spans="18:19" x14ac:dyDescent="0.25">
      <c r="R368" s="123"/>
      <c r="S368" s="123"/>
    </row>
    <row r="369" spans="18:19" x14ac:dyDescent="0.25">
      <c r="R369" s="123"/>
      <c r="S369" s="123"/>
    </row>
    <row r="370" spans="18:19" x14ac:dyDescent="0.25">
      <c r="R370" s="123"/>
      <c r="S370" s="123"/>
    </row>
    <row r="371" spans="18:19" x14ac:dyDescent="0.25">
      <c r="R371" s="123"/>
      <c r="S371" s="123"/>
    </row>
    <row r="372" spans="18:19" x14ac:dyDescent="0.25">
      <c r="R372" s="123"/>
      <c r="S372" s="123"/>
    </row>
    <row r="373" spans="18:19" x14ac:dyDescent="0.25">
      <c r="R373" s="123"/>
      <c r="S373" s="123"/>
    </row>
    <row r="374" spans="18:19" x14ac:dyDescent="0.25">
      <c r="R374" s="123"/>
      <c r="S374" s="123"/>
    </row>
    <row r="375" spans="18:19" x14ac:dyDescent="0.25">
      <c r="R375" s="123"/>
      <c r="S375" s="123"/>
    </row>
    <row r="376" spans="18:19" x14ac:dyDescent="0.25">
      <c r="R376" s="123"/>
      <c r="S376" s="123"/>
    </row>
    <row r="377" spans="18:19" x14ac:dyDescent="0.25">
      <c r="R377" s="123"/>
      <c r="S377" s="123"/>
    </row>
    <row r="378" spans="18:19" x14ac:dyDescent="0.25">
      <c r="R378" s="123"/>
      <c r="S378" s="123"/>
    </row>
    <row r="379" spans="18:19" x14ac:dyDescent="0.25">
      <c r="R379" s="123"/>
      <c r="S379" s="123"/>
    </row>
    <row r="380" spans="18:19" x14ac:dyDescent="0.25">
      <c r="R380" s="123"/>
      <c r="S380" s="123"/>
    </row>
    <row r="381" spans="18:19" x14ac:dyDescent="0.25">
      <c r="R381" s="123"/>
      <c r="S381" s="123"/>
    </row>
    <row r="382" spans="18:19" x14ac:dyDescent="0.25">
      <c r="R382" s="123"/>
      <c r="S382" s="123"/>
    </row>
    <row r="383" spans="18:19" x14ac:dyDescent="0.25">
      <c r="R383" s="123"/>
      <c r="S383" s="123"/>
    </row>
    <row r="384" spans="18:19" x14ac:dyDescent="0.25">
      <c r="R384" s="123"/>
      <c r="S384" s="123"/>
    </row>
    <row r="385" spans="18:19" x14ac:dyDescent="0.25">
      <c r="R385" s="123"/>
      <c r="S385" s="123"/>
    </row>
    <row r="386" spans="18:19" x14ac:dyDescent="0.25">
      <c r="R386" s="123"/>
      <c r="S386" s="123"/>
    </row>
    <row r="387" spans="18:19" x14ac:dyDescent="0.25">
      <c r="R387" s="123"/>
      <c r="S387" s="123"/>
    </row>
    <row r="388" spans="18:19" x14ac:dyDescent="0.25">
      <c r="R388" s="123"/>
      <c r="S388" s="123"/>
    </row>
    <row r="389" spans="18:19" x14ac:dyDescent="0.25">
      <c r="R389" s="123"/>
      <c r="S389" s="123"/>
    </row>
    <row r="390" spans="18:19" x14ac:dyDescent="0.25">
      <c r="R390" s="123"/>
      <c r="S390" s="123"/>
    </row>
    <row r="391" spans="18:19" x14ac:dyDescent="0.25">
      <c r="R391" s="123"/>
      <c r="S391" s="123"/>
    </row>
    <row r="392" spans="18:19" x14ac:dyDescent="0.25">
      <c r="R392" s="123"/>
      <c r="S392" s="123"/>
    </row>
    <row r="393" spans="18:19" x14ac:dyDescent="0.25">
      <c r="R393" s="123"/>
      <c r="S393" s="123"/>
    </row>
    <row r="394" spans="18:19" x14ac:dyDescent="0.25">
      <c r="R394" s="123"/>
      <c r="S394" s="123"/>
    </row>
    <row r="395" spans="18:19" x14ac:dyDescent="0.25">
      <c r="R395" s="123"/>
      <c r="S395" s="123"/>
    </row>
    <row r="396" spans="18:19" x14ac:dyDescent="0.25">
      <c r="R396" s="123"/>
      <c r="S396" s="123"/>
    </row>
    <row r="397" spans="18:19" x14ac:dyDescent="0.25">
      <c r="R397" s="123"/>
      <c r="S397" s="123"/>
    </row>
    <row r="398" spans="18:19" x14ac:dyDescent="0.25">
      <c r="R398" s="123"/>
      <c r="S398" s="123"/>
    </row>
    <row r="399" spans="18:19" x14ac:dyDescent="0.25">
      <c r="R399" s="123"/>
      <c r="S399" s="123"/>
    </row>
    <row r="400" spans="18:19" x14ac:dyDescent="0.25">
      <c r="R400" s="123"/>
      <c r="S400" s="123"/>
    </row>
    <row r="401" spans="18:19" x14ac:dyDescent="0.25">
      <c r="R401" s="123"/>
      <c r="S401" s="123"/>
    </row>
    <row r="402" spans="18:19" x14ac:dyDescent="0.25">
      <c r="R402" s="123"/>
      <c r="S402" s="123"/>
    </row>
    <row r="403" spans="18:19" x14ac:dyDescent="0.25">
      <c r="R403" s="123"/>
      <c r="S403" s="123"/>
    </row>
    <row r="404" spans="18:19" x14ac:dyDescent="0.25">
      <c r="R404" s="123"/>
      <c r="S404" s="123"/>
    </row>
    <row r="405" spans="18:19" x14ac:dyDescent="0.25">
      <c r="R405" s="123"/>
      <c r="S405" s="123"/>
    </row>
    <row r="406" spans="18:19" x14ac:dyDescent="0.25">
      <c r="R406" s="123"/>
      <c r="S406" s="123"/>
    </row>
    <row r="407" spans="18:19" x14ac:dyDescent="0.25">
      <c r="R407" s="123"/>
      <c r="S407" s="123"/>
    </row>
    <row r="408" spans="18:19" x14ac:dyDescent="0.25">
      <c r="R408" s="123"/>
      <c r="S408" s="123"/>
    </row>
    <row r="409" spans="18:19" x14ac:dyDescent="0.25">
      <c r="R409" s="123"/>
      <c r="S409" s="123"/>
    </row>
    <row r="410" spans="18:19" x14ac:dyDescent="0.25">
      <c r="R410" s="123"/>
      <c r="S410" s="123"/>
    </row>
    <row r="411" spans="18:19" x14ac:dyDescent="0.25">
      <c r="R411" s="123"/>
      <c r="S411" s="123"/>
    </row>
    <row r="412" spans="18:19" x14ac:dyDescent="0.25">
      <c r="R412" s="123"/>
      <c r="S412" s="123"/>
    </row>
    <row r="413" spans="18:19" x14ac:dyDescent="0.25">
      <c r="R413" s="123"/>
      <c r="S413" s="123"/>
    </row>
    <row r="414" spans="18:19" x14ac:dyDescent="0.25">
      <c r="R414" s="123"/>
      <c r="S414" s="123"/>
    </row>
    <row r="415" spans="18:19" x14ac:dyDescent="0.25">
      <c r="R415" s="123"/>
      <c r="S415" s="123"/>
    </row>
    <row r="416" spans="18:19" x14ac:dyDescent="0.25">
      <c r="R416" s="123"/>
      <c r="S416" s="123"/>
    </row>
    <row r="417" spans="18:19" x14ac:dyDescent="0.25">
      <c r="R417" s="123"/>
      <c r="S417" s="123"/>
    </row>
    <row r="418" spans="18:19" x14ac:dyDescent="0.25">
      <c r="R418" s="123"/>
      <c r="S418" s="123"/>
    </row>
    <row r="419" spans="18:19" x14ac:dyDescent="0.25">
      <c r="R419" s="123"/>
      <c r="S419" s="123"/>
    </row>
    <row r="420" spans="18:19" x14ac:dyDescent="0.25">
      <c r="R420" s="123"/>
      <c r="S420" s="123"/>
    </row>
    <row r="421" spans="18:19" x14ac:dyDescent="0.25">
      <c r="R421" s="123"/>
      <c r="S421" s="123"/>
    </row>
    <row r="422" spans="18:19" x14ac:dyDescent="0.25">
      <c r="R422" s="123"/>
      <c r="S422" s="123"/>
    </row>
    <row r="423" spans="18:19" x14ac:dyDescent="0.25">
      <c r="R423" s="123"/>
      <c r="S423" s="123"/>
    </row>
    <row r="424" spans="18:19" x14ac:dyDescent="0.25">
      <c r="R424" s="123"/>
      <c r="S424" s="123"/>
    </row>
    <row r="425" spans="18:19" x14ac:dyDescent="0.25">
      <c r="R425" s="123"/>
      <c r="S425" s="123"/>
    </row>
    <row r="426" spans="18:19" x14ac:dyDescent="0.25">
      <c r="R426" s="123"/>
      <c r="S426" s="123"/>
    </row>
    <row r="427" spans="18:19" x14ac:dyDescent="0.25">
      <c r="R427" s="123"/>
      <c r="S427" s="123"/>
    </row>
    <row r="428" spans="18:19" x14ac:dyDescent="0.25">
      <c r="R428" s="123"/>
      <c r="S428" s="123"/>
    </row>
    <row r="429" spans="18:19" x14ac:dyDescent="0.25">
      <c r="R429" s="123"/>
      <c r="S429" s="123"/>
    </row>
    <row r="430" spans="18:19" x14ac:dyDescent="0.25">
      <c r="R430" s="123"/>
      <c r="S430" s="123"/>
    </row>
    <row r="431" spans="18:19" x14ac:dyDescent="0.25">
      <c r="R431" s="123"/>
      <c r="S431" s="123"/>
    </row>
    <row r="432" spans="18:19" x14ac:dyDescent="0.25">
      <c r="R432" s="123"/>
      <c r="S432" s="123"/>
    </row>
    <row r="433" spans="18:19" x14ac:dyDescent="0.25">
      <c r="R433" s="123"/>
      <c r="S433" s="123"/>
    </row>
    <row r="434" spans="18:19" x14ac:dyDescent="0.25">
      <c r="R434" s="123"/>
      <c r="S434" s="123"/>
    </row>
    <row r="435" spans="18:19" x14ac:dyDescent="0.25">
      <c r="R435" s="123"/>
      <c r="S435" s="123"/>
    </row>
    <row r="436" spans="18:19" x14ac:dyDescent="0.25">
      <c r="R436" s="123"/>
      <c r="S436" s="123"/>
    </row>
    <row r="437" spans="18:19" x14ac:dyDescent="0.25">
      <c r="R437" s="123"/>
      <c r="S437" s="123"/>
    </row>
    <row r="438" spans="18:19" x14ac:dyDescent="0.25">
      <c r="R438" s="123"/>
      <c r="S438" s="123"/>
    </row>
    <row r="439" spans="18:19" x14ac:dyDescent="0.25">
      <c r="R439" s="123"/>
      <c r="S439" s="123"/>
    </row>
    <row r="440" spans="18:19" x14ac:dyDescent="0.25">
      <c r="R440" s="123"/>
      <c r="S440" s="123"/>
    </row>
    <row r="441" spans="18:19" x14ac:dyDescent="0.25">
      <c r="R441" s="123"/>
      <c r="S441" s="123"/>
    </row>
    <row r="442" spans="18:19" x14ac:dyDescent="0.25">
      <c r="R442" s="123"/>
      <c r="S442" s="123"/>
    </row>
    <row r="443" spans="18:19" x14ac:dyDescent="0.25">
      <c r="R443" s="123"/>
      <c r="S443" s="123"/>
    </row>
    <row r="444" spans="18:19" x14ac:dyDescent="0.25">
      <c r="R444" s="123"/>
      <c r="S444" s="123"/>
    </row>
    <row r="445" spans="18:19" x14ac:dyDescent="0.25">
      <c r="R445" s="123"/>
      <c r="S445" s="123"/>
    </row>
    <row r="446" spans="18:19" x14ac:dyDescent="0.25">
      <c r="R446" s="123"/>
      <c r="S446" s="123"/>
    </row>
    <row r="447" spans="18:19" x14ac:dyDescent="0.25">
      <c r="R447" s="123"/>
      <c r="S447" s="123"/>
    </row>
    <row r="448" spans="18:19" x14ac:dyDescent="0.25">
      <c r="R448" s="123"/>
      <c r="S448" s="123"/>
    </row>
    <row r="449" spans="18:19" x14ac:dyDescent="0.25">
      <c r="R449" s="123"/>
      <c r="S449" s="123"/>
    </row>
    <row r="450" spans="18:19" x14ac:dyDescent="0.25">
      <c r="R450" s="123"/>
      <c r="S450" s="123"/>
    </row>
    <row r="451" spans="18:19" x14ac:dyDescent="0.25">
      <c r="R451" s="123"/>
      <c r="S451" s="123"/>
    </row>
    <row r="452" spans="18:19" x14ac:dyDescent="0.25">
      <c r="R452" s="123"/>
      <c r="S452" s="123"/>
    </row>
    <row r="453" spans="18:19" x14ac:dyDescent="0.25">
      <c r="R453" s="123"/>
      <c r="S453" s="123"/>
    </row>
    <row r="454" spans="18:19" x14ac:dyDescent="0.25">
      <c r="R454" s="123"/>
      <c r="S454" s="123"/>
    </row>
    <row r="455" spans="18:19" x14ac:dyDescent="0.25">
      <c r="R455" s="123"/>
      <c r="S455" s="123"/>
    </row>
    <row r="456" spans="18:19" x14ac:dyDescent="0.25">
      <c r="R456" s="123"/>
      <c r="S456" s="123"/>
    </row>
    <row r="457" spans="18:19" x14ac:dyDescent="0.25">
      <c r="R457" s="123"/>
      <c r="S457" s="123"/>
    </row>
    <row r="458" spans="18:19" x14ac:dyDescent="0.25">
      <c r="R458" s="123"/>
      <c r="S458" s="123"/>
    </row>
    <row r="459" spans="18:19" x14ac:dyDescent="0.25">
      <c r="R459" s="123"/>
      <c r="S459" s="123"/>
    </row>
    <row r="460" spans="18:19" x14ac:dyDescent="0.25">
      <c r="R460" s="123"/>
      <c r="S460" s="123"/>
    </row>
    <row r="461" spans="18:19" x14ac:dyDescent="0.25">
      <c r="R461" s="123"/>
      <c r="S461" s="123"/>
    </row>
    <row r="462" spans="18:19" x14ac:dyDescent="0.25">
      <c r="R462" s="123"/>
      <c r="S462" s="123"/>
    </row>
    <row r="463" spans="18:19" x14ac:dyDescent="0.25">
      <c r="R463" s="123"/>
      <c r="S463" s="123"/>
    </row>
    <row r="464" spans="18:19" x14ac:dyDescent="0.25">
      <c r="R464" s="123"/>
      <c r="S464" s="123"/>
    </row>
    <row r="465" spans="18:19" x14ac:dyDescent="0.25">
      <c r="R465" s="123"/>
      <c r="S465" s="123"/>
    </row>
    <row r="466" spans="18:19" x14ac:dyDescent="0.25">
      <c r="R466" s="123"/>
      <c r="S466" s="123"/>
    </row>
    <row r="467" spans="18:19" x14ac:dyDescent="0.25">
      <c r="R467" s="123"/>
      <c r="S467" s="123"/>
    </row>
    <row r="468" spans="18:19" x14ac:dyDescent="0.25">
      <c r="R468" s="123"/>
      <c r="S468" s="123"/>
    </row>
    <row r="469" spans="18:19" x14ac:dyDescent="0.25">
      <c r="R469" s="123"/>
      <c r="S469" s="123"/>
    </row>
    <row r="470" spans="18:19" x14ac:dyDescent="0.25">
      <c r="R470" s="123"/>
      <c r="S470" s="123"/>
    </row>
    <row r="471" spans="18:19" x14ac:dyDescent="0.25">
      <c r="R471" s="123"/>
      <c r="S471" s="123"/>
    </row>
    <row r="472" spans="18:19" x14ac:dyDescent="0.25">
      <c r="R472" s="123"/>
      <c r="S472" s="123"/>
    </row>
    <row r="473" spans="18:19" x14ac:dyDescent="0.25">
      <c r="R473" s="123"/>
      <c r="S473" s="123"/>
    </row>
    <row r="474" spans="18:19" x14ac:dyDescent="0.25">
      <c r="R474" s="123"/>
      <c r="S474" s="123"/>
    </row>
    <row r="475" spans="18:19" x14ac:dyDescent="0.25">
      <c r="R475" s="123"/>
      <c r="S475" s="123"/>
    </row>
    <row r="476" spans="18:19" x14ac:dyDescent="0.25">
      <c r="R476" s="123"/>
      <c r="S476" s="123"/>
    </row>
    <row r="477" spans="18:19" x14ac:dyDescent="0.25">
      <c r="R477" s="123"/>
      <c r="S477" s="123"/>
    </row>
    <row r="478" spans="18:19" x14ac:dyDescent="0.25">
      <c r="R478" s="123"/>
      <c r="S478" s="123"/>
    </row>
    <row r="479" spans="18:19" x14ac:dyDescent="0.25">
      <c r="R479" s="123"/>
      <c r="S479" s="123"/>
    </row>
    <row r="480" spans="18:19" x14ac:dyDescent="0.25">
      <c r="R480" s="123"/>
      <c r="S480" s="123"/>
    </row>
    <row r="481" spans="18:19" x14ac:dyDescent="0.25">
      <c r="R481" s="123"/>
      <c r="S481" s="123"/>
    </row>
    <row r="482" spans="18:19" x14ac:dyDescent="0.25">
      <c r="R482" s="123"/>
      <c r="S482" s="123"/>
    </row>
    <row r="483" spans="18:19" x14ac:dyDescent="0.25">
      <c r="R483" s="123"/>
      <c r="S483" s="123"/>
    </row>
    <row r="484" spans="18:19" x14ac:dyDescent="0.25">
      <c r="R484" s="123"/>
      <c r="S484" s="123"/>
    </row>
    <row r="485" spans="18:19" x14ac:dyDescent="0.25">
      <c r="R485" s="123"/>
      <c r="S485" s="123"/>
    </row>
    <row r="486" spans="18:19" x14ac:dyDescent="0.25">
      <c r="R486" s="123"/>
      <c r="S486" s="123"/>
    </row>
    <row r="487" spans="18:19" x14ac:dyDescent="0.25">
      <c r="R487" s="123"/>
      <c r="S487" s="123"/>
    </row>
    <row r="488" spans="18:19" x14ac:dyDescent="0.25">
      <c r="R488" s="123"/>
      <c r="S488" s="123"/>
    </row>
    <row r="489" spans="18:19" x14ac:dyDescent="0.25">
      <c r="R489" s="123"/>
      <c r="S489" s="123"/>
    </row>
    <row r="490" spans="18:19" x14ac:dyDescent="0.25">
      <c r="R490" s="123"/>
      <c r="S490" s="123"/>
    </row>
    <row r="491" spans="18:19" x14ac:dyDescent="0.25">
      <c r="R491" s="123"/>
      <c r="S491" s="123"/>
    </row>
    <row r="492" spans="18:19" x14ac:dyDescent="0.25">
      <c r="R492" s="123"/>
      <c r="S492" s="123"/>
    </row>
    <row r="493" spans="18:19" x14ac:dyDescent="0.25">
      <c r="R493" s="123"/>
      <c r="S493" s="123"/>
    </row>
    <row r="494" spans="18:19" x14ac:dyDescent="0.25">
      <c r="R494" s="123"/>
      <c r="S494" s="123"/>
    </row>
    <row r="495" spans="18:19" x14ac:dyDescent="0.25">
      <c r="R495" s="123"/>
      <c r="S495" s="123"/>
    </row>
    <row r="496" spans="18:19" x14ac:dyDescent="0.25">
      <c r="R496" s="123"/>
      <c r="S496" s="123"/>
    </row>
    <row r="497" spans="18:19" x14ac:dyDescent="0.25">
      <c r="R497" s="123"/>
      <c r="S497" s="123"/>
    </row>
    <row r="498" spans="18:19" x14ac:dyDescent="0.25">
      <c r="R498" s="123"/>
      <c r="S498" s="123"/>
    </row>
    <row r="499" spans="18:19" x14ac:dyDescent="0.25">
      <c r="R499" s="123"/>
      <c r="S499" s="123"/>
    </row>
    <row r="500" spans="18:19" x14ac:dyDescent="0.25">
      <c r="R500" s="123"/>
      <c r="S500" s="123"/>
    </row>
  </sheetData>
  <mergeCells count="1">
    <mergeCell ref="B3:V3"/>
  </mergeCells>
  <conditionalFormatting sqref="O7:O137">
    <cfRule type="colorScale" priority="4">
      <colorScale>
        <cfvo type="num" val="0"/>
        <cfvo type="num" val="7"/>
        <cfvo type="num" val="15"/>
        <color rgb="FFDCFCE7"/>
        <color rgb="FFFEF3C7"/>
        <color rgb="FFFCA5A5"/>
      </colorScale>
    </cfRule>
  </conditionalFormatting>
  <conditionalFormatting sqref="U7:U137">
    <cfRule type="expression" dxfId="15" priority="5">
      <formula>LEFT(U7,1)="⚠"</formula>
    </cfRule>
  </conditionalFormatting>
  <conditionalFormatting sqref="T7:T500">
    <cfRule type="cellIs" dxfId="8" priority="6" operator="equal">
      <formula>"DEMURRAGE"</formula>
    </cfRule>
  </conditionalFormatting>
  <conditionalFormatting sqref="T7:T500">
    <cfRule type="cellIs" dxfId="7" priority="7" operator="equal">
      <formula>"ON-TIME"</formula>
    </cfRule>
  </conditionalFormatting>
  <conditionalFormatting sqref="T7:T500">
    <cfRule type="cellIs" dxfId="6" priority="8" operator="equal">
      <formula>"Open"</formula>
    </cfRule>
  </conditionalFormatting>
  <conditionalFormatting sqref="T7:T500">
    <cfRule type="cellIs" dxfId="5" priority="9" operator="equal">
      <formula>"Claimed"</formula>
    </cfRule>
  </conditionalFormatting>
  <conditionalFormatting sqref="T7:T500">
    <cfRule type="cellIs" dxfId="4" priority="10" operator="equal">
      <formula>"Invoiced"</formula>
    </cfRule>
  </conditionalFormatting>
  <conditionalFormatting sqref="T7:T500">
    <cfRule type="cellIs" dxfId="3" priority="11" operator="equal">
      <formula>"Paid"</formula>
    </cfRule>
  </conditionalFormatting>
  <conditionalFormatting sqref="T7:T500">
    <cfRule type="cellIs" dxfId="2" priority="12" operator="equal">
      <formula>"Disputed"</formula>
    </cfRule>
  </conditionalFormatting>
  <conditionalFormatting sqref="T7:T500">
    <cfRule type="cellIs" dxfId="1" priority="13" operator="equal">
      <formula>"Cancelled"</formula>
    </cfRule>
  </conditionalFormatting>
  <dataValidations count="5">
    <dataValidation type="list" errorStyle="warning" allowBlank="1" showErrorMessage="1" errorTitle="Check entry" error="Deal No. not found in Deals master." sqref="B7:B500" xr:uid="{EFFE2854-5A0B-48AA-A7F3-87E370C2318E}">
      <formula1>LIST_DealNo</formula1>
    </dataValidation>
    <dataValidation type="list" errorStyle="warning" allowBlank="1" showErrorMessage="1" errorTitle="Check entry" error="Claim No. not in Claims tab." sqref="C7:C500" xr:uid="{36B7F753-185E-404B-9C7F-64B521B7A3AA}">
      <formula1>LIST_ClaimNo</formula1>
    </dataValidation>
    <dataValidation type="list" errorStyle="warning" allowBlank="1" showErrorMessage="1" errorTitle="Check entry" error="Consignee not in Deals master." sqref="D7:D500" xr:uid="{63ACF841-CA19-4829-B1F3-A1B915976BEF}">
      <formula1>LIST_Consignee</formula1>
    </dataValidation>
    <dataValidation type="list" errorStyle="warning" allowBlank="1" showErrorMessage="1" errorTitle="Check entry" error="Transporter not in Deals master." sqref="K7:K500" xr:uid="{1B076076-7A07-421E-9C7A-2C1FEFC3BF2A}">
      <formula1>LIST_Transporter</formula1>
    </dataValidation>
    <dataValidation type="list" errorStyle="warning" allowBlank="1" showErrorMessage="1" errorTitle="Check entry" error="Status must be one of: Draft, Sent, Paid, Partial, Cancelled." sqref="T7:T500" xr:uid="{325F1030-5D20-4C27-9A4C-CFDCF1829DB1}">
      <formula1>LIST_Status</formula1>
    </dataValidation>
  </dataValidations>
  <hyperlinks>
    <hyperlink ref="B2" location="Cover!A1" tooltip="Go to 📋 Cover" display="📋 Cover" xr:uid="{152270E6-ECFC-48F9-9079-9093CDFCF369}"/>
    <hyperlink ref="C2" location="Dashboard!A1" tooltip="Go to 📊 Dashboard" display="📊 Dashboard" xr:uid="{1698718E-6FD6-4234-BCF3-3E36D10EE72B}"/>
    <hyperlink ref="D2" location="'Trips Ledger'!A1" tooltip="Go to 🚚 Trips" display="🚚 Trips" xr:uid="{5D7553AF-BC57-40D6-98FB-0610676829F2}"/>
    <hyperlink ref="E2" location="Claims!A1" tooltip="Go to 🧾 Claims" display="🧾 Claims" xr:uid="{86D6548E-6FB3-45B2-95E9-908EF286C3AE}"/>
    <hyperlink ref="F2" location="Deals!A1" tooltip="Go to 📑 Deals" display="📑 Deals" xr:uid="{3D463959-25D6-410A-A13A-3CA5386F8DA1}"/>
    <hyperlink ref="G2" location="Invoice!A1" tooltip="Go to 💰 Invoice" display="💰 Invoice" xr:uid="{BC57A986-9C68-4AE6-B71F-29550ECF2E51}"/>
    <hyperlink ref="H2" location="Annex!A1" tooltip="Go to 📎 Annex" display="📎 Annex" xr:uid="{DD6FA2B6-F3CE-47A2-B546-5DA324B0D2B1}"/>
  </hyperlinks>
  <pageMargins left="0.75" right="0.75" top="1" bottom="1" header="0.5" footer="0.5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1F3D8E"/>
  </sheetPr>
  <dimension ref="B2:K30"/>
  <sheetViews>
    <sheetView showGridLines="0" workbookViewId="0">
      <pane xSplit="1" ySplit="6" topLeftCell="B7" activePane="bottomRight" state="frozen"/>
      <selection pane="topRight"/>
      <selection pane="bottomLeft"/>
      <selection pane="bottomRight" activeCell="D25" sqref="D25"/>
    </sheetView>
  </sheetViews>
  <sheetFormatPr defaultRowHeight="15" x14ac:dyDescent="0.25"/>
  <cols>
    <col min="1" max="1" width="2" customWidth="1"/>
    <col min="2" max="2" width="12" customWidth="1"/>
    <col min="3" max="3" width="30" customWidth="1"/>
    <col min="4" max="4" width="20" customWidth="1"/>
    <col min="5" max="6" width="16" customWidth="1"/>
    <col min="7" max="8" width="12" customWidth="1"/>
    <col min="9" max="10" width="18" customWidth="1"/>
    <col min="11" max="11" width="16" customWidth="1"/>
  </cols>
  <sheetData>
    <row r="2" spans="2:11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4" t="s">
        <v>486</v>
      </c>
      <c r="G2" s="125" t="s">
        <v>487</v>
      </c>
      <c r="H2" s="125" t="s">
        <v>514</v>
      </c>
    </row>
    <row r="3" spans="2:11" x14ac:dyDescent="0.25">
      <c r="B3" s="37" t="s">
        <v>415</v>
      </c>
      <c r="C3" s="38"/>
      <c r="D3" s="38"/>
      <c r="E3" s="38"/>
      <c r="F3" s="38"/>
      <c r="G3" s="38"/>
      <c r="H3" s="38"/>
      <c r="I3" s="38"/>
      <c r="J3" s="38"/>
      <c r="K3" s="38"/>
    </row>
    <row r="4" spans="2:11" x14ac:dyDescent="0.25">
      <c r="B4" s="5"/>
      <c r="C4" s="5"/>
      <c r="D4" s="5"/>
      <c r="E4" s="5"/>
      <c r="F4" s="5"/>
      <c r="G4" s="5"/>
      <c r="H4" s="5"/>
      <c r="I4" s="5"/>
      <c r="J4" s="5"/>
      <c r="K4" s="5"/>
    </row>
    <row r="6" spans="2:11" ht="36" customHeight="1" x14ac:dyDescent="0.25">
      <c r="B6" s="15" t="s">
        <v>28</v>
      </c>
      <c r="C6" s="15" t="s">
        <v>24</v>
      </c>
      <c r="D6" s="15" t="s">
        <v>416</v>
      </c>
      <c r="E6" s="15" t="s">
        <v>81</v>
      </c>
      <c r="F6" s="15" t="s">
        <v>82</v>
      </c>
      <c r="G6" s="15" t="s">
        <v>83</v>
      </c>
      <c r="H6" s="15" t="s">
        <v>417</v>
      </c>
      <c r="I6" s="15" t="s">
        <v>418</v>
      </c>
      <c r="J6" s="15" t="s">
        <v>419</v>
      </c>
      <c r="K6" s="15" t="s">
        <v>37</v>
      </c>
    </row>
    <row r="7" spans="2:11" x14ac:dyDescent="0.25">
      <c r="B7" s="21">
        <v>183574</v>
      </c>
      <c r="C7" s="22" t="s">
        <v>34</v>
      </c>
      <c r="D7" s="22" t="s">
        <v>420</v>
      </c>
      <c r="E7" s="22" t="s">
        <v>92</v>
      </c>
      <c r="F7" s="22" t="s">
        <v>93</v>
      </c>
      <c r="G7" s="22" t="s">
        <v>94</v>
      </c>
      <c r="H7" s="23">
        <v>2</v>
      </c>
      <c r="I7" s="24">
        <v>250</v>
      </c>
      <c r="J7" s="25"/>
      <c r="K7" s="22"/>
    </row>
    <row r="8" spans="2:11" x14ac:dyDescent="0.25">
      <c r="B8" s="16">
        <v>184119</v>
      </c>
      <c r="C8" s="20" t="s">
        <v>34</v>
      </c>
      <c r="D8" s="20" t="s">
        <v>420</v>
      </c>
      <c r="E8" s="20" t="s">
        <v>92</v>
      </c>
      <c r="F8" s="20" t="s">
        <v>93</v>
      </c>
      <c r="G8" s="20" t="s">
        <v>94</v>
      </c>
      <c r="H8" s="19">
        <v>2</v>
      </c>
      <c r="I8" s="26">
        <v>250</v>
      </c>
      <c r="J8" s="27"/>
      <c r="K8" s="20"/>
    </row>
    <row r="9" spans="2:11" x14ac:dyDescent="0.25">
      <c r="B9" s="21">
        <v>184752</v>
      </c>
      <c r="C9" s="22" t="s">
        <v>34</v>
      </c>
      <c r="D9" s="22" t="s">
        <v>420</v>
      </c>
      <c r="E9" s="22" t="s">
        <v>92</v>
      </c>
      <c r="F9" s="22" t="s">
        <v>93</v>
      </c>
      <c r="G9" s="22" t="s">
        <v>94</v>
      </c>
      <c r="H9" s="23">
        <v>2</v>
      </c>
      <c r="I9" s="24">
        <v>250</v>
      </c>
      <c r="J9" s="25"/>
      <c r="K9" s="22"/>
    </row>
    <row r="10" spans="2:11" x14ac:dyDescent="0.25">
      <c r="B10" s="16">
        <v>184834</v>
      </c>
      <c r="C10" s="20" t="s">
        <v>33</v>
      </c>
      <c r="D10" s="20" t="s">
        <v>420</v>
      </c>
      <c r="E10" s="20" t="s">
        <v>92</v>
      </c>
      <c r="F10" s="20" t="s">
        <v>93</v>
      </c>
      <c r="G10" s="20" t="s">
        <v>94</v>
      </c>
      <c r="H10" s="19">
        <v>2</v>
      </c>
      <c r="I10" s="26">
        <v>250</v>
      </c>
      <c r="J10" s="27"/>
      <c r="K10" s="20"/>
    </row>
    <row r="11" spans="2:11" x14ac:dyDescent="0.25">
      <c r="B11" s="21">
        <v>185260</v>
      </c>
      <c r="C11" s="22" t="s">
        <v>34</v>
      </c>
      <c r="D11" s="22" t="s">
        <v>420</v>
      </c>
      <c r="E11" s="22" t="s">
        <v>92</v>
      </c>
      <c r="F11" s="22" t="s">
        <v>93</v>
      </c>
      <c r="G11" s="22" t="s">
        <v>94</v>
      </c>
      <c r="H11" s="23">
        <v>2</v>
      </c>
      <c r="I11" s="24">
        <v>250</v>
      </c>
      <c r="J11" s="25"/>
      <c r="K11" s="22"/>
    </row>
    <row r="12" spans="2:11" x14ac:dyDescent="0.25">
      <c r="B12" s="16">
        <v>185732</v>
      </c>
      <c r="C12" s="20" t="s">
        <v>34</v>
      </c>
      <c r="D12" s="20" t="s">
        <v>420</v>
      </c>
      <c r="E12" s="20" t="s">
        <v>92</v>
      </c>
      <c r="F12" s="20" t="s">
        <v>93</v>
      </c>
      <c r="G12" s="20" t="s">
        <v>94</v>
      </c>
      <c r="H12" s="19">
        <v>2</v>
      </c>
      <c r="I12" s="26">
        <v>250</v>
      </c>
      <c r="J12" s="27"/>
      <c r="K12" s="20"/>
    </row>
    <row r="13" spans="2:11" x14ac:dyDescent="0.25">
      <c r="B13" s="21">
        <v>186216</v>
      </c>
      <c r="C13" s="22" t="s">
        <v>34</v>
      </c>
      <c r="D13" s="22" t="s">
        <v>420</v>
      </c>
      <c r="E13" s="22" t="s">
        <v>92</v>
      </c>
      <c r="F13" s="22" t="s">
        <v>93</v>
      </c>
      <c r="G13" s="22" t="s">
        <v>94</v>
      </c>
      <c r="H13" s="23">
        <v>2</v>
      </c>
      <c r="I13" s="24">
        <v>250</v>
      </c>
      <c r="J13" s="25"/>
      <c r="K13" s="22"/>
    </row>
    <row r="14" spans="2:11" x14ac:dyDescent="0.25">
      <c r="B14" s="16">
        <v>186326</v>
      </c>
      <c r="C14" s="20" t="s">
        <v>30</v>
      </c>
      <c r="D14" s="20" t="s">
        <v>420</v>
      </c>
      <c r="E14" s="20" t="s">
        <v>92</v>
      </c>
      <c r="F14" s="20" t="s">
        <v>93</v>
      </c>
      <c r="G14" s="20" t="s">
        <v>94</v>
      </c>
      <c r="H14" s="19">
        <v>2</v>
      </c>
      <c r="I14" s="26">
        <v>250</v>
      </c>
      <c r="J14" s="27"/>
      <c r="K14" s="20"/>
    </row>
    <row r="15" spans="2:11" x14ac:dyDescent="0.25">
      <c r="B15" s="21">
        <v>187293</v>
      </c>
      <c r="C15" s="22" t="s">
        <v>31</v>
      </c>
      <c r="D15" s="22" t="s">
        <v>420</v>
      </c>
      <c r="E15" s="22" t="s">
        <v>92</v>
      </c>
      <c r="F15" s="22" t="s">
        <v>93</v>
      </c>
      <c r="G15" s="22" t="s">
        <v>94</v>
      </c>
      <c r="H15" s="23">
        <v>2</v>
      </c>
      <c r="I15" s="24">
        <v>250</v>
      </c>
      <c r="J15" s="25">
        <v>122</v>
      </c>
      <c r="K15" s="22" t="s">
        <v>421</v>
      </c>
    </row>
    <row r="16" spans="2:11" x14ac:dyDescent="0.25">
      <c r="B16" s="16">
        <v>187296</v>
      </c>
      <c r="C16" s="20" t="s">
        <v>34</v>
      </c>
      <c r="D16" s="20" t="s">
        <v>420</v>
      </c>
      <c r="E16" s="20" t="s">
        <v>92</v>
      </c>
      <c r="F16" s="20" t="s">
        <v>93</v>
      </c>
      <c r="G16" s="20" t="s">
        <v>94</v>
      </c>
      <c r="H16" s="19">
        <v>2</v>
      </c>
      <c r="I16" s="26">
        <v>250</v>
      </c>
      <c r="J16" s="27"/>
      <c r="K16" s="20"/>
    </row>
    <row r="17" spans="2:11" x14ac:dyDescent="0.25">
      <c r="B17" s="21">
        <v>189084</v>
      </c>
      <c r="C17" s="22" t="s">
        <v>34</v>
      </c>
      <c r="D17" s="22" t="s">
        <v>420</v>
      </c>
      <c r="E17" s="22" t="s">
        <v>92</v>
      </c>
      <c r="F17" s="22" t="s">
        <v>93</v>
      </c>
      <c r="G17" s="22" t="s">
        <v>94</v>
      </c>
      <c r="H17" s="23">
        <v>2</v>
      </c>
      <c r="I17" s="24">
        <v>250</v>
      </c>
      <c r="J17" s="25"/>
      <c r="K17" s="22"/>
    </row>
    <row r="18" spans="2:11" x14ac:dyDescent="0.25">
      <c r="B18" s="16">
        <v>190261</v>
      </c>
      <c r="C18" s="20" t="s">
        <v>31</v>
      </c>
      <c r="D18" s="20" t="s">
        <v>420</v>
      </c>
      <c r="E18" s="20" t="s">
        <v>92</v>
      </c>
      <c r="F18" s="20" t="s">
        <v>93</v>
      </c>
      <c r="G18" s="20" t="s">
        <v>94</v>
      </c>
      <c r="H18" s="19">
        <v>2</v>
      </c>
      <c r="I18" s="26">
        <v>250</v>
      </c>
      <c r="J18" s="27"/>
      <c r="K18" s="20"/>
    </row>
    <row r="19" spans="2:11" x14ac:dyDescent="0.25">
      <c r="B19" s="21">
        <v>190664</v>
      </c>
      <c r="C19" s="22" t="s">
        <v>34</v>
      </c>
      <c r="D19" s="22" t="s">
        <v>420</v>
      </c>
      <c r="E19" s="22" t="s">
        <v>92</v>
      </c>
      <c r="F19" s="22" t="s">
        <v>93</v>
      </c>
      <c r="G19" s="22" t="s">
        <v>94</v>
      </c>
      <c r="H19" s="23">
        <v>2</v>
      </c>
      <c r="I19" s="24">
        <v>250</v>
      </c>
      <c r="J19" s="25"/>
      <c r="K19" s="22"/>
    </row>
    <row r="20" spans="2:11" x14ac:dyDescent="0.25">
      <c r="B20" s="16">
        <v>191609</v>
      </c>
      <c r="C20" s="20" t="s">
        <v>34</v>
      </c>
      <c r="D20" s="20" t="s">
        <v>420</v>
      </c>
      <c r="E20" s="20" t="s">
        <v>92</v>
      </c>
      <c r="F20" s="20" t="s">
        <v>93</v>
      </c>
      <c r="G20" s="20" t="s">
        <v>94</v>
      </c>
      <c r="H20" s="19">
        <v>2</v>
      </c>
      <c r="I20" s="26">
        <v>250</v>
      </c>
      <c r="J20" s="27"/>
      <c r="K20" s="20"/>
    </row>
    <row r="21" spans="2:11" x14ac:dyDescent="0.25">
      <c r="B21" s="21">
        <v>191610</v>
      </c>
      <c r="C21" s="22" t="s">
        <v>34</v>
      </c>
      <c r="D21" s="22" t="s">
        <v>420</v>
      </c>
      <c r="E21" s="22" t="s">
        <v>92</v>
      </c>
      <c r="F21" s="22" t="s">
        <v>93</v>
      </c>
      <c r="G21" s="22" t="s">
        <v>94</v>
      </c>
      <c r="H21" s="23">
        <v>2</v>
      </c>
      <c r="I21" s="24">
        <v>250</v>
      </c>
      <c r="J21" s="25"/>
      <c r="K21" s="22"/>
    </row>
    <row r="22" spans="2:11" x14ac:dyDescent="0.25">
      <c r="B22" s="16">
        <v>184182</v>
      </c>
      <c r="C22" s="20" t="s">
        <v>34</v>
      </c>
      <c r="D22" s="20" t="s">
        <v>420</v>
      </c>
      <c r="E22" s="20" t="s">
        <v>92</v>
      </c>
      <c r="F22" s="20" t="s">
        <v>93</v>
      </c>
      <c r="G22" s="20" t="s">
        <v>375</v>
      </c>
      <c r="H22" s="19">
        <v>2</v>
      </c>
      <c r="I22" s="26">
        <v>250</v>
      </c>
      <c r="J22" s="27"/>
      <c r="K22" s="20"/>
    </row>
    <row r="23" spans="2:11" x14ac:dyDescent="0.25">
      <c r="B23" s="21">
        <v>184663</v>
      </c>
      <c r="C23" s="22" t="s">
        <v>33</v>
      </c>
      <c r="D23" s="22" t="s">
        <v>420</v>
      </c>
      <c r="E23" s="22" t="s">
        <v>92</v>
      </c>
      <c r="F23" s="22" t="s">
        <v>93</v>
      </c>
      <c r="G23" s="22" t="s">
        <v>375</v>
      </c>
      <c r="H23" s="23">
        <v>2</v>
      </c>
      <c r="I23" s="24">
        <v>250</v>
      </c>
      <c r="J23" s="25"/>
      <c r="K23" s="22"/>
    </row>
    <row r="24" spans="2:11" x14ac:dyDescent="0.25">
      <c r="B24" s="16">
        <v>184978</v>
      </c>
      <c r="C24" s="20" t="s">
        <v>33</v>
      </c>
      <c r="D24" s="20" t="s">
        <v>420</v>
      </c>
      <c r="E24" s="20" t="s">
        <v>92</v>
      </c>
      <c r="F24" s="20" t="s">
        <v>93</v>
      </c>
      <c r="G24" s="20" t="s">
        <v>375</v>
      </c>
      <c r="H24" s="19">
        <v>2</v>
      </c>
      <c r="I24" s="26">
        <v>250</v>
      </c>
      <c r="J24" s="27"/>
      <c r="K24" s="20"/>
    </row>
    <row r="25" spans="2:11" x14ac:dyDescent="0.25">
      <c r="B25" s="21">
        <v>185350</v>
      </c>
      <c r="C25" s="22" t="s">
        <v>29</v>
      </c>
      <c r="D25" s="22" t="s">
        <v>420</v>
      </c>
      <c r="E25" s="22" t="s">
        <v>92</v>
      </c>
      <c r="F25" s="22" t="s">
        <v>93</v>
      </c>
      <c r="G25" s="22" t="s">
        <v>375</v>
      </c>
      <c r="H25" s="23">
        <v>2</v>
      </c>
      <c r="I25" s="24">
        <v>250</v>
      </c>
      <c r="J25" s="25"/>
      <c r="K25" s="22"/>
    </row>
    <row r="26" spans="2:11" x14ac:dyDescent="0.25">
      <c r="B26" s="16">
        <v>189548</v>
      </c>
      <c r="C26" s="20" t="s">
        <v>30</v>
      </c>
      <c r="D26" s="20" t="s">
        <v>420</v>
      </c>
      <c r="E26" s="20" t="s">
        <v>92</v>
      </c>
      <c r="F26" s="20" t="s">
        <v>93</v>
      </c>
      <c r="G26" s="20" t="s">
        <v>375</v>
      </c>
      <c r="H26" s="19">
        <v>2</v>
      </c>
      <c r="I26" s="26">
        <v>250</v>
      </c>
      <c r="J26" s="27"/>
      <c r="K26" s="20"/>
    </row>
    <row r="27" spans="2:11" x14ac:dyDescent="0.25">
      <c r="B27" s="21">
        <v>190666</v>
      </c>
      <c r="C27" s="22" t="s">
        <v>34</v>
      </c>
      <c r="D27" s="22" t="s">
        <v>420</v>
      </c>
      <c r="E27" s="22" t="s">
        <v>92</v>
      </c>
      <c r="F27" s="22" t="s">
        <v>93</v>
      </c>
      <c r="G27" s="22" t="s">
        <v>375</v>
      </c>
      <c r="H27" s="23">
        <v>2</v>
      </c>
      <c r="I27" s="24">
        <v>250</v>
      </c>
      <c r="J27" s="25"/>
      <c r="K27" s="22"/>
    </row>
    <row r="28" spans="2:11" x14ac:dyDescent="0.25">
      <c r="B28" s="16">
        <v>190778</v>
      </c>
      <c r="C28" s="20" t="s">
        <v>31</v>
      </c>
      <c r="D28" s="20" t="s">
        <v>420</v>
      </c>
      <c r="E28" s="20" t="s">
        <v>92</v>
      </c>
      <c r="F28" s="20" t="s">
        <v>93</v>
      </c>
      <c r="G28" s="20" t="s">
        <v>375</v>
      </c>
      <c r="H28" s="19">
        <v>2</v>
      </c>
      <c r="I28" s="26">
        <v>250</v>
      </c>
      <c r="J28" s="27">
        <v>135</v>
      </c>
      <c r="K28" s="20" t="s">
        <v>422</v>
      </c>
    </row>
    <row r="29" spans="2:11" x14ac:dyDescent="0.25">
      <c r="B29" s="21">
        <v>190839</v>
      </c>
      <c r="C29" s="22" t="s">
        <v>30</v>
      </c>
      <c r="D29" s="22" t="s">
        <v>420</v>
      </c>
      <c r="E29" s="22" t="s">
        <v>92</v>
      </c>
      <c r="F29" s="22" t="s">
        <v>93</v>
      </c>
      <c r="G29" s="22" t="s">
        <v>375</v>
      </c>
      <c r="H29" s="23">
        <v>2</v>
      </c>
      <c r="I29" s="24">
        <v>250</v>
      </c>
      <c r="J29" s="25"/>
      <c r="K29" s="22"/>
    </row>
    <row r="30" spans="2:11" x14ac:dyDescent="0.25">
      <c r="B30" s="16">
        <v>191685</v>
      </c>
      <c r="C30" s="20" t="s">
        <v>32</v>
      </c>
      <c r="D30" s="20" t="s">
        <v>420</v>
      </c>
      <c r="E30" s="20" t="s">
        <v>92</v>
      </c>
      <c r="F30" s="20" t="s">
        <v>93</v>
      </c>
      <c r="G30" s="20" t="s">
        <v>375</v>
      </c>
      <c r="H30" s="19">
        <v>2</v>
      </c>
      <c r="I30" s="26">
        <v>250</v>
      </c>
      <c r="J30" s="27"/>
      <c r="K30" s="20"/>
    </row>
  </sheetData>
  <mergeCells count="1">
    <mergeCell ref="B3:K3"/>
  </mergeCells>
  <hyperlinks>
    <hyperlink ref="B2" location="Cover!A1" tooltip="Go to 📋 Cover" display="📋 Cover" xr:uid="{E7402778-200A-430D-80CF-31F178C75279}"/>
    <hyperlink ref="C2" location="Dashboard!A1" tooltip="Go to 📊 Dashboard" display="📊 Dashboard" xr:uid="{2E306088-AEF5-4727-8691-FB6903A29367}"/>
    <hyperlink ref="D2" location="'Trips Ledger'!A1" tooltip="Go to 🚚 Trips" display="🚚 Trips" xr:uid="{24C01C69-7BF5-47C6-8A78-DAF0EB84BB34}"/>
    <hyperlink ref="E2" location="Claims!A1" tooltip="Go to 🧾 Claims" display="🧾 Claims" xr:uid="{757B5EB3-6462-47B3-8869-322886CAF3AE}"/>
    <hyperlink ref="F2" location="Deals!A1" tooltip="Go to 📑 Deals" display="📑 Deals" xr:uid="{C0E66F09-FE2D-4E7F-8B19-B59C0D423841}"/>
    <hyperlink ref="G2" location="Invoice!A1" tooltip="Go to 💰 Invoice" display="💰 Invoice" xr:uid="{128DA01F-8D44-4F0C-B9E7-778C23E853DA}"/>
    <hyperlink ref="H2" location="Annex!A1" tooltip="Go to 📎 Annex" display="📎 Annex" xr:uid="{F4DF9ED0-48D2-4887-9EDE-74F35F770EBD}"/>
  </hyperlinks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6B7280"/>
  </sheetPr>
  <dimension ref="B2:H19"/>
  <sheetViews>
    <sheetView showGridLines="0" workbookViewId="0">
      <selection activeCell="D23" sqref="D23"/>
    </sheetView>
  </sheetViews>
  <sheetFormatPr defaultRowHeight="15" x14ac:dyDescent="0.25"/>
  <cols>
    <col min="1" max="1" width="2" customWidth="1"/>
    <col min="2" max="2" width="34" customWidth="1"/>
    <col min="3" max="3" width="22" customWidth="1"/>
    <col min="4" max="4" width="50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423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424</v>
      </c>
      <c r="C6" s="38"/>
      <c r="D6" s="38"/>
    </row>
    <row r="7" spans="2:8" ht="20.100000000000001" customHeight="1" x14ac:dyDescent="0.25">
      <c r="B7" s="28" t="s">
        <v>425</v>
      </c>
      <c r="C7" s="29">
        <v>2</v>
      </c>
      <c r="D7" s="30" t="s">
        <v>426</v>
      </c>
    </row>
    <row r="8" spans="2:8" ht="20.100000000000001" customHeight="1" x14ac:dyDescent="0.25">
      <c r="B8" s="28" t="s">
        <v>427</v>
      </c>
      <c r="C8" s="29">
        <v>250</v>
      </c>
      <c r="D8" s="30" t="s">
        <v>428</v>
      </c>
    </row>
    <row r="9" spans="2:8" ht="20.100000000000001" customHeight="1" x14ac:dyDescent="0.25">
      <c r="B9" s="28" t="s">
        <v>73</v>
      </c>
      <c r="C9" s="29" t="s">
        <v>429</v>
      </c>
      <c r="D9" s="30" t="s">
        <v>430</v>
      </c>
    </row>
    <row r="10" spans="2:8" ht="20.100000000000001" customHeight="1" x14ac:dyDescent="0.25">
      <c r="B10" s="28" t="s">
        <v>431</v>
      </c>
      <c r="C10" s="31">
        <v>1</v>
      </c>
      <c r="D10" s="30" t="s">
        <v>432</v>
      </c>
    </row>
    <row r="12" spans="2:8" ht="21.95" customHeight="1" x14ac:dyDescent="0.25">
      <c r="B12" s="61" t="s">
        <v>433</v>
      </c>
      <c r="C12" s="38"/>
      <c r="D12" s="38"/>
    </row>
    <row r="13" spans="2:8" ht="20.100000000000001" customHeight="1" x14ac:dyDescent="0.25">
      <c r="B13" s="28" t="s">
        <v>434</v>
      </c>
      <c r="C13" s="32">
        <v>46023</v>
      </c>
      <c r="D13" s="30" t="s">
        <v>435</v>
      </c>
    </row>
    <row r="14" spans="2:8" ht="20.100000000000001" customHeight="1" x14ac:dyDescent="0.25">
      <c r="B14" s="28" t="s">
        <v>436</v>
      </c>
      <c r="C14" s="32">
        <v>46142</v>
      </c>
      <c r="D14" s="30" t="s">
        <v>435</v>
      </c>
    </row>
    <row r="15" spans="2:8" ht="20.100000000000001" customHeight="1" x14ac:dyDescent="0.25">
      <c r="B15" s="28" t="s">
        <v>437</v>
      </c>
      <c r="C15" s="32">
        <v>46157</v>
      </c>
      <c r="D15" s="30"/>
    </row>
    <row r="17" spans="2:4" ht="21.95" customHeight="1" x14ac:dyDescent="0.25">
      <c r="B17" s="61" t="s">
        <v>438</v>
      </c>
      <c r="C17" s="38"/>
      <c r="D17" s="38"/>
    </row>
    <row r="18" spans="2:4" ht="20.100000000000001" customHeight="1" x14ac:dyDescent="0.25">
      <c r="B18" s="28" t="s">
        <v>439</v>
      </c>
      <c r="C18" s="29">
        <v>7</v>
      </c>
      <c r="D18" s="30" t="s">
        <v>440</v>
      </c>
    </row>
    <row r="19" spans="2:4" ht="20.100000000000001" customHeight="1" x14ac:dyDescent="0.25">
      <c r="B19" s="28" t="s">
        <v>441</v>
      </c>
      <c r="C19" s="29">
        <v>0</v>
      </c>
      <c r="D19" s="30" t="s">
        <v>442</v>
      </c>
    </row>
  </sheetData>
  <mergeCells count="4">
    <mergeCell ref="B3:D3"/>
    <mergeCell ref="B17:D17"/>
    <mergeCell ref="B12:D12"/>
    <mergeCell ref="B6:D6"/>
  </mergeCells>
  <hyperlinks>
    <hyperlink ref="B2" location="Cover!A1" tooltip="Go to 📋 Cover" display="📋 Cover" xr:uid="{95C9726E-9E03-4106-A88A-3C706167F71E}"/>
    <hyperlink ref="C2" location="Dashboard!A1" tooltip="Go to 📊 Dashboard" display="📊 Dashboard" xr:uid="{4616890F-830A-4B04-8822-B946C5B8D3FF}"/>
    <hyperlink ref="D2" location="'Trips Ledger'!A1" tooltip="Go to 🚚 Trips" display="🚚 Trips" xr:uid="{12B735A0-E7C8-48B9-AEF4-AF88E8BDDE61}"/>
    <hyperlink ref="E2" location="Claims!A1" tooltip="Go to 🧾 Claims" display="🧾 Claims" xr:uid="{39D04359-EF88-4DD1-ABF0-E6F872F8D9C6}"/>
    <hyperlink ref="F2" location="Deals!A1" tooltip="Go to 📑 Deals" display="📑 Deals" xr:uid="{E6414D4A-83CF-4601-B1B3-846527E8931D}"/>
    <hyperlink ref="G2" location="Invoice!A1" tooltip="Go to 💰 Invoice" display="💰 Invoice" xr:uid="{BB38180A-63AD-476A-9DC6-5B824D871D4A}"/>
    <hyperlink ref="H2" location="Annex!A1" tooltip="Go to 📎 Annex" display="📎 Annex" xr:uid="{14BBA643-C1AA-4096-8AAB-6F2AF0544FF5}"/>
  </hyperlinks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6B7280"/>
  </sheetPr>
  <dimension ref="B2:H33"/>
  <sheetViews>
    <sheetView showGridLines="0" workbookViewId="0">
      <selection activeCell="L12" sqref="L12"/>
    </sheetView>
  </sheetViews>
  <sheetFormatPr defaultRowHeight="15" x14ac:dyDescent="0.25"/>
  <cols>
    <col min="1" max="1" width="2" customWidth="1"/>
    <col min="2" max="2" width="34" customWidth="1"/>
    <col min="3" max="3" width="55" customWidth="1"/>
    <col min="4" max="4" width="38.140625" customWidth="1"/>
  </cols>
  <sheetData>
    <row r="2" spans="2:8" ht="21.95" customHeight="1" x14ac:dyDescent="0.25">
      <c r="B2" s="125" t="s">
        <v>482</v>
      </c>
      <c r="C2" s="125" t="s">
        <v>483</v>
      </c>
      <c r="D2" s="125" t="s">
        <v>484</v>
      </c>
      <c r="E2" s="125" t="s">
        <v>485</v>
      </c>
      <c r="F2" s="125" t="s">
        <v>486</v>
      </c>
      <c r="G2" s="125" t="s">
        <v>487</v>
      </c>
      <c r="H2" s="125" t="s">
        <v>514</v>
      </c>
    </row>
    <row r="3" spans="2:8" x14ac:dyDescent="0.25">
      <c r="B3" s="37" t="s">
        <v>443</v>
      </c>
      <c r="C3" s="38"/>
      <c r="D3" s="38"/>
    </row>
    <row r="4" spans="2:8" x14ac:dyDescent="0.25">
      <c r="B4" s="5"/>
      <c r="C4" s="5"/>
      <c r="D4" s="5"/>
    </row>
    <row r="6" spans="2:8" ht="21.95" customHeight="1" x14ac:dyDescent="0.25">
      <c r="B6" s="61" t="s">
        <v>444</v>
      </c>
      <c r="C6" s="38"/>
      <c r="D6" s="38"/>
    </row>
    <row r="7" spans="2:8" ht="21.95" customHeight="1" x14ac:dyDescent="0.25">
      <c r="B7" s="28" t="s">
        <v>445</v>
      </c>
      <c r="C7" s="33" t="s">
        <v>446</v>
      </c>
    </row>
    <row r="8" spans="2:8" ht="21.95" customHeight="1" x14ac:dyDescent="0.25">
      <c r="B8" s="28" t="s">
        <v>447</v>
      </c>
      <c r="C8" s="33" t="s">
        <v>448</v>
      </c>
    </row>
    <row r="9" spans="2:8" ht="36" customHeight="1" x14ac:dyDescent="0.25">
      <c r="B9" s="28" t="s">
        <v>449</v>
      </c>
      <c r="C9" s="34" t="s">
        <v>450</v>
      </c>
    </row>
    <row r="10" spans="2:8" ht="21.95" customHeight="1" x14ac:dyDescent="0.25">
      <c r="B10" s="28" t="s">
        <v>451</v>
      </c>
      <c r="C10" s="33" t="s">
        <v>452</v>
      </c>
    </row>
    <row r="11" spans="2:8" ht="21.95" customHeight="1" x14ac:dyDescent="0.25">
      <c r="B11" s="28" t="s">
        <v>453</v>
      </c>
      <c r="C11" s="33" t="s">
        <v>454</v>
      </c>
    </row>
    <row r="12" spans="2:8" ht="21.95" customHeight="1" x14ac:dyDescent="0.25">
      <c r="B12" s="28" t="s">
        <v>455</v>
      </c>
      <c r="C12" s="33" t="s">
        <v>456</v>
      </c>
    </row>
    <row r="14" spans="2:8" ht="21.95" customHeight="1" x14ac:dyDescent="0.25">
      <c r="B14" s="61" t="s">
        <v>457</v>
      </c>
      <c r="C14" s="38"/>
      <c r="D14" s="38"/>
    </row>
    <row r="15" spans="2:8" ht="21.95" customHeight="1" x14ac:dyDescent="0.25">
      <c r="B15" s="28" t="s">
        <v>458</v>
      </c>
      <c r="C15" s="33" t="s">
        <v>459</v>
      </c>
    </row>
    <row r="16" spans="2:8" ht="21.95" customHeight="1" x14ac:dyDescent="0.25">
      <c r="B16" s="28" t="s">
        <v>460</v>
      </c>
      <c r="C16" s="33" t="s">
        <v>448</v>
      </c>
    </row>
    <row r="17" spans="2:4" ht="21.95" customHeight="1" x14ac:dyDescent="0.25">
      <c r="B17" s="28" t="s">
        <v>461</v>
      </c>
      <c r="C17" s="33" t="s">
        <v>462</v>
      </c>
    </row>
    <row r="18" spans="2:4" ht="21.95" customHeight="1" x14ac:dyDescent="0.25">
      <c r="B18" s="28" t="s">
        <v>463</v>
      </c>
      <c r="C18" s="33" t="s">
        <v>464</v>
      </c>
    </row>
    <row r="19" spans="2:4" ht="21.95" customHeight="1" x14ac:dyDescent="0.25">
      <c r="B19" s="28" t="s">
        <v>465</v>
      </c>
      <c r="C19" s="33" t="s">
        <v>466</v>
      </c>
    </row>
    <row r="20" spans="2:4" ht="21.95" customHeight="1" x14ac:dyDescent="0.25">
      <c r="B20" s="28" t="s">
        <v>467</v>
      </c>
      <c r="C20" s="33" t="s">
        <v>468</v>
      </c>
    </row>
    <row r="22" spans="2:4" ht="21.95" customHeight="1" x14ac:dyDescent="0.25">
      <c r="B22" s="61" t="s">
        <v>469</v>
      </c>
      <c r="C22" s="38"/>
      <c r="D22" s="38"/>
    </row>
    <row r="23" spans="2:4" ht="21.95" customHeight="1" x14ac:dyDescent="0.25">
      <c r="B23" s="28" t="s">
        <v>470</v>
      </c>
      <c r="C23" s="33" t="s">
        <v>471</v>
      </c>
    </row>
    <row r="24" spans="2:4" ht="21.95" customHeight="1" x14ac:dyDescent="0.25">
      <c r="B24" s="28" t="s">
        <v>472</v>
      </c>
      <c r="C24" s="35">
        <v>1</v>
      </c>
    </row>
    <row r="25" spans="2:4" ht="21.95" customHeight="1" x14ac:dyDescent="0.25">
      <c r="B25" s="28" t="s">
        <v>473</v>
      </c>
      <c r="C25" s="35">
        <v>14</v>
      </c>
    </row>
    <row r="26" spans="2:4" ht="21.95" customHeight="1" x14ac:dyDescent="0.25">
      <c r="B26" s="28" t="s">
        <v>474</v>
      </c>
      <c r="C26" s="36">
        <v>0</v>
      </c>
    </row>
    <row r="27" spans="2:4" ht="56.1" customHeight="1" x14ac:dyDescent="0.25">
      <c r="B27" s="28" t="s">
        <v>475</v>
      </c>
      <c r="C27" s="34" t="s">
        <v>476</v>
      </c>
    </row>
    <row r="29" spans="2:4" x14ac:dyDescent="0.25">
      <c r="B29" s="128" t="s">
        <v>516</v>
      </c>
    </row>
    <row r="30" spans="2:4" x14ac:dyDescent="0.25">
      <c r="B30" s="129" t="s">
        <v>24</v>
      </c>
      <c r="C30" s="79" t="s">
        <v>69</v>
      </c>
      <c r="D30" s="79" t="s">
        <v>455</v>
      </c>
      <c r="E30" t="inlineStr">
        <is>
          <t>Cc Emails</t>
        </is>
      </c>
    </row>
    <row r="31" spans="2:4" ht="48" customHeight="1" x14ac:dyDescent="0.25">
      <c r="B31" s="101" t="s">
        <v>34</v>
      </c>
      <c r="C31" s="130" t="s">
        <v>517</v>
      </c>
      <c r="D31" s="131" t="s">
        <v>548</v>
      </c>
    </row>
    <row r="32" spans="2:4" ht="48" customHeight="1" x14ac:dyDescent="0.25">
      <c r="B32" s="101" t="s">
        <v>31</v>
      </c>
      <c r="C32" s="130" t="s">
        <v>518</v>
      </c>
      <c r="D32" s="131" t="s">
        <v>548</v>
      </c>
    </row>
    <row r="33" spans="2:4" ht="48" customHeight="1" x14ac:dyDescent="0.25">
      <c r="B33" s="101" t="s">
        <v>33</v>
      </c>
      <c r="C33" s="131" t="s">
        <v>519</v>
      </c>
      <c r="D33" s="131" t="s">
        <v>548</v>
      </c>
    </row>
  </sheetData>
  <mergeCells count="4">
    <mergeCell ref="B3:D3"/>
    <mergeCell ref="B14:D14"/>
    <mergeCell ref="B22:D22"/>
    <mergeCell ref="B6:D6"/>
  </mergeCells>
  <hyperlinks>
    <hyperlink ref="B2" location="Cover!A1" tooltip="Go to 📋 Cover" display="📋 Cover" xr:uid="{38897C50-67E1-4F7B-9D91-A5350A0C7C12}"/>
    <hyperlink ref="C2" location="Dashboard!A1" tooltip="Go to 📊 Dashboard" display="📊 Dashboard" xr:uid="{82BF87A9-3D98-4456-8F3E-37AD41E709FF}"/>
    <hyperlink ref="D2" location="'Trips Ledger'!A1" tooltip="Go to 🚚 Trips" display="🚚 Trips" xr:uid="{0AFD40E8-86BC-4089-838E-0D27B5F33A7C}"/>
    <hyperlink ref="E2" location="Claims!A1" tooltip="Go to 🧾 Claims" display="🧾 Claims" xr:uid="{AD4348DE-7A72-4988-AF08-9D6619C4C86C}"/>
    <hyperlink ref="F2" location="Deals!A1" tooltip="Go to 📑 Deals" display="📑 Deals" xr:uid="{F47B8FFC-F8F2-4757-893F-B13BE505147D}"/>
    <hyperlink ref="G2" location="Invoice!A1" tooltip="Go to 💰 Invoice" display="💰 Invoice" xr:uid="{038D4BC3-6D88-45CB-9C4A-2526997C42DB}"/>
    <hyperlink ref="H2" location="Annex!A1" tooltip="Go to 📎 Annex" display="📎 Annex" xr:uid="{4EF840AA-18BB-443D-950B-240B8D3E0C43}"/>
  </hyperlinks>
  <pageMargins left="0.75" right="0.75" top="1" bottom="1" header="0.5" footer="0.5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3D15A0-C2A6-49A6-8F06-62047010933F}">
  <sheetPr codeName="Sheet10">
    <tabColor rgb="FF6B7280"/>
  </sheetPr>
  <dimension ref="B2:I5"/>
  <sheetViews>
    <sheetView workbookViewId="0">
      <selection activeCell="F3" sqref="F3:J3"/>
    </sheetView>
  </sheetViews>
  <sheetFormatPr defaultRowHeight="15" x14ac:dyDescent="0.25"/>
  <cols>
    <col min="1" max="1" width="2.28515625" customWidth="1"/>
    <col min="2" max="2" width="28.5703125" customWidth="1"/>
    <col min="3" max="4" width="17.140625" customWidth="1"/>
    <col min="5" max="5" width="11.42578125" customWidth="1"/>
    <col min="6" max="6" width="19" customWidth="1"/>
    <col min="7" max="8" width="24.7109375" customWidth="1"/>
    <col min="9" max="9" width="19" customWidth="1"/>
  </cols>
  <sheetData>
    <row r="2" spans="2:9" ht="21" x14ac:dyDescent="0.35">
      <c r="B2" s="143" t="s">
        <v>525</v>
      </c>
    </row>
    <row r="3" spans="2:9" x14ac:dyDescent="0.25">
      <c r="B3" s="144" t="s">
        <v>526</v>
      </c>
    </row>
    <row r="5" spans="2:9" x14ac:dyDescent="0.25">
      <c r="B5" s="145" t="s">
        <v>527</v>
      </c>
      <c r="C5" s="145" t="s">
        <v>528</v>
      </c>
      <c r="D5" s="145" t="s">
        <v>529</v>
      </c>
      <c r="E5" s="145" t="s">
        <v>530</v>
      </c>
      <c r="F5" s="145" t="s">
        <v>531</v>
      </c>
      <c r="G5" s="145" t="s">
        <v>532</v>
      </c>
      <c r="H5" s="145" t="s">
        <v>533</v>
      </c>
      <c r="I5" s="145" t="s">
        <v>534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23EE-DE6F-46DA-8EE7-BDD1A3CF70C2}">
  <sheetPr codeName="Sheet11">
    <tabColor rgb="FFF59E0B"/>
  </sheetPr>
  <dimension ref="B1:B11"/>
  <sheetViews>
    <sheetView tabSelected="1" workbookViewId="0">
      <selection activeCell="B6" sqref="B6"/>
    </sheetView>
  </sheetViews>
  <sheetFormatPr defaultRowHeight="15" x14ac:dyDescent="0.25"/>
  <cols>
    <col min="1" max="1" width="2.28515625" customWidth="1"/>
    <col min="2" max="2" width="114.28515625" customWidth="1"/>
  </cols>
  <sheetData>
    <row r="2">
      <c r="B2" t="inlineStr">
        <is>
          <t>MACROS</t>
        </is>
      </c>
    </row>
    <row r="3">
      <c r="B3" t="inlineStr">
        <is>
          <t>Macros are already installed in this workbook -- you do not need to do anything. Click the buttons on the Invoice and Claims sheets and they will work straight away. (Press Alt+F11 if you want to view the source.)</t>
        </is>
      </c>
    </row>
  </sheetData>
  <hyperlinks>
    <hyperlink ref="B1" location="Cover!A1" display="← Back to Cover" xr:uid="{0104213C-0CFD-4E7A-9F85-5FE34FE81688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32</vt:i4>
      </vt:variant>
    </vt:vector>
  </HeadingPairs>
  <TitlesOfParts>
    <vt:vector size="43" baseType="lpstr">
      <vt:lpstr>Cover</vt:lpstr>
      <vt:lpstr>Dashboard</vt:lpstr>
      <vt:lpstr>Invoice</vt:lpstr>
      <vt:lpstr>Annex</vt:lpstr>
      <vt:lpstr>Claims</vt:lpstr>
      <vt:lpstr>Trips Ledger</vt:lpstr>
      <vt:lpstr>Deals</vt:lpstr>
      <vt:lpstr>Assumptions</vt:lpstr>
      <vt:lpstr>Company</vt:lpstr>
      <vt:lpstr>AuditLog</vt:lpstr>
      <vt:lpstr>Macros</vt:lpstr>
      <vt:lpstr>BANK_CORR</vt:lpstr>
      <vt:lpstr>BANK_CORR_SWIFT</vt:lpstr>
      <vt:lpstr>BANK_HOLDER</vt:lpstr>
      <vt:lpstr>BANK_IBAN</vt:lpstr>
      <vt:lpstr>BANK_NAME</vt:lpstr>
      <vt:lpstr>BANK_SWIFT</vt:lpstr>
      <vt:lpstr>CCY</vt:lpstr>
      <vt:lpstr>COMPANY_ADDR</vt:lpstr>
      <vt:lpstr>COMPANY_EMAIL</vt:lpstr>
      <vt:lpstr>COMPANY_NAME</vt:lpstr>
      <vt:lpstr>COMPANY_PHONE</vt:lpstr>
      <vt:lpstr>COMPANY_TRADING</vt:lpstr>
      <vt:lpstr>COMPANY_VAT</vt:lpstr>
      <vt:lpstr>DEF_LAYTIME</vt:lpstr>
      <vt:lpstr>DEF_RATE</vt:lpstr>
      <vt:lpstr>FX</vt:lpstr>
      <vt:lpstr>INV_CLAIM</vt:lpstr>
      <vt:lpstr>INV_FOOTER</vt:lpstr>
      <vt:lpstr>INV_NEXT</vt:lpstr>
      <vt:lpstr>INV_PREFIX</vt:lpstr>
      <vt:lpstr>LIST_ClaimNo</vt:lpstr>
      <vt:lpstr>LIST_Consignee</vt:lpstr>
      <vt:lpstr>LIST_DealNo</vt:lpstr>
      <vt:lpstr>LIST_Transporter</vt:lpstr>
      <vt:lpstr>OUTLIER_DAYS</vt:lpstr>
      <vt:lpstr>PAY_TERMS</vt:lpstr>
      <vt:lpstr>PERIOD_END</vt:lpstr>
      <vt:lpstr>PERIOD_START</vt:lpstr>
      <vt:lpstr>Annex!Print_Area</vt:lpstr>
      <vt:lpstr>Invoice!Print_Area</vt:lpstr>
      <vt:lpstr>Annex!Print_Titles</vt:lpstr>
      <vt:lpstr>VAT_RATE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Theo Tasset</cp:lastModifiedBy>
  <cp:lastPrinted>2026-05-16T12:35:07Z</cp:lastPrinted>
  <dcterms:created xsi:type="dcterms:W3CDTF">2026-05-15T19:50:18Z</dcterms:created>
  <dcterms:modified xsi:type="dcterms:W3CDTF">2026-05-16T12:59:09Z</dcterms:modified>
</cp:coreProperties>
</file>