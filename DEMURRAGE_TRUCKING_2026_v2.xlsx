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ashboard" sheetId="2" state="visible" r:id="rId2"/>
    <sheet name="Deal Statement" sheetId="3" state="visible" r:id="rId3"/>
    <sheet name="Trips Ledger" sheetId="4" state="visible" r:id="rId4"/>
    <sheet name="Deals" sheetId="5" state="visible" r:id="rId5"/>
    <sheet name="Assumptions" sheetId="6" state="visible" r:id="rId6"/>
  </sheets>
  <definedNames>
    <definedName name="DEF_LAYTIME">Assumptions!$C$7</definedName>
    <definedName name="DEF_RATE">Assumptions!$C$8</definedName>
    <definedName name="CCY">Assumptions!$C$9</definedName>
    <definedName name="FX">Assumptions!$C$10</definedName>
    <definedName name="PERIOD_START">Assumptions!$C$13</definedName>
    <definedName name="PERIOD_END">Assumptions!$C$14</definedName>
    <definedName name="OUTLIER_DAYS">Assumptions!$C$18</definedName>
    <definedName name="_xlnm.Print_Area" localSheetId="2">'Deal Statement'!$A$1:$M$64</definedName>
    <definedName name="_xlnm.Print_Titles" localSheetId="3">'Trips Ledger'!$6:$6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-mmm-yyyy"/>
    <numFmt numFmtId="166" formatCode="_-[$$-409]* #,##0_-;[Red]-[$$-409]* #,##0_-;_-[$$-409]* &quot;-&quot;??_-;_-@_-"/>
    <numFmt numFmtId="167" formatCode="#,##0&quot; / &quot;0"/>
    <numFmt numFmtId="168" formatCode="#,##0;[Red]-#,##0;&quot;-&quot;"/>
    <numFmt numFmtId="169" formatCode="0.0000"/>
    <numFmt numFmtId="170" formatCode="#,##0.00;&quot;-&quot;"/>
    <numFmt numFmtId="171" formatCode="0.0"/>
    <numFmt numFmtId="172" formatCode="0.0%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32"/>
    </font>
    <font>
      <name val="Calibri"/>
      <b val="1"/>
      <color rgb="00F4E1A4"/>
      <sz val="12"/>
    </font>
    <font>
      <name val="Calibri"/>
      <b val="1"/>
      <color rgb="006B7280"/>
      <sz val="10"/>
    </font>
    <font>
      <name val="Calibri"/>
      <b val="1"/>
      <color rgb="00111827"/>
      <sz val="12"/>
    </font>
    <font>
      <name val="Calibri"/>
      <b val="1"/>
      <color rgb="000B2447"/>
      <sz val="12"/>
    </font>
    <font>
      <name val="Calibri"/>
      <b val="1"/>
      <color rgb="00FFFFFF"/>
      <sz val="9"/>
    </font>
    <font>
      <name val="Calibri"/>
      <b val="1"/>
      <color rgb="000B2447"/>
      <sz val="18"/>
    </font>
    <font>
      <name val="Calibri"/>
      <i val="1"/>
      <color rgb="006B7280"/>
      <sz val="9"/>
    </font>
    <font>
      <name val="Calibri"/>
      <b val="1"/>
      <color rgb="000B2447"/>
      <sz val="20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color rgb="00111827"/>
      <sz val="11"/>
    </font>
    <font>
      <name val="Calibri"/>
      <b val="1"/>
      <color rgb="000B2447"/>
      <sz val="11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0B2447"/>
      <sz val="24"/>
    </font>
    <font>
      <name val="Calibri"/>
      <b val="1"/>
      <color rgb="000B2447"/>
      <sz val="22"/>
    </font>
    <font>
      <name val="Calibri"/>
      <b val="1"/>
      <color rgb="00FFFFFF"/>
      <sz val="12"/>
    </font>
    <font>
      <name val="Calibri"/>
      <b val="1"/>
      <color rgb="000B2447"/>
      <sz val="10"/>
    </font>
    <font>
      <name val="Calibri"/>
      <b val="1"/>
      <color rgb="00FFFFFF"/>
      <sz val="22"/>
    </font>
    <font>
      <name val="Calibri"/>
      <i val="1"/>
      <color rgb="00F4E1A4"/>
      <sz val="10"/>
    </font>
    <font>
      <name val="Calibri"/>
      <b val="1"/>
      <color rgb="006B7280"/>
      <sz val="9"/>
    </font>
  </fonts>
  <fills count="8">
    <fill>
      <patternFill/>
    </fill>
    <fill>
      <patternFill patternType="gray125"/>
    </fill>
    <fill>
      <patternFill patternType="solid">
        <fgColor rgb="000B2447"/>
      </patternFill>
    </fill>
    <fill>
      <patternFill patternType="solid">
        <fgColor rgb="00C9A227"/>
      </patternFill>
    </fill>
    <fill>
      <patternFill patternType="solid">
        <fgColor rgb="0019376D"/>
      </patternFill>
    </fill>
    <fill>
      <patternFill patternType="solid">
        <fgColor rgb="00FDFBF7"/>
      </patternFill>
    </fill>
    <fill>
      <patternFill patternType="solid">
        <fgColor rgb="00FDF4D4"/>
      </patternFill>
    </fill>
    <fill>
      <patternFill patternType="solid">
        <fgColor rgb="00FFFFFF"/>
      </patternFill>
    </fill>
  </fills>
  <borders count="8">
    <border>
      <left/>
      <right/>
      <top/>
      <bottom/>
      <diagonal/>
    </border>
    <border>
      <bottom style="dotted">
        <color rgb="00E5E7E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medium">
        <color rgb="00C9A227"/>
      </top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C9A227"/>
      </bottom>
    </border>
    <border>
      <left style="thin">
        <color rgb="00E5E7EB"/>
      </left>
      <right style="thin">
        <color rgb="00E5E7EB"/>
      </right>
      <top style="dotted">
        <color rgb="00E5E7EB"/>
      </top>
      <bottom style="dotted">
        <color rgb="00E5E7EB"/>
      </bottom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165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2" applyAlignment="1" pivotButton="0" quotePrefix="0" xfId="0">
      <alignment horizontal="center" vertical="center"/>
    </xf>
    <xf numFmtId="0" fontId="0" fillId="0" borderId="2" pivotButton="0" quotePrefix="0" xfId="0"/>
    <xf numFmtId="166" fontId="7" fillId="5" borderId="2" applyAlignment="1" pivotButton="0" quotePrefix="0" xfId="0">
      <alignment horizontal="center" vertical="center"/>
    </xf>
    <xf numFmtId="49" fontId="7" fillId="5" borderId="2" applyAlignment="1" pivotButton="0" quotePrefix="0" xfId="0">
      <alignment horizontal="center" vertical="center"/>
    </xf>
    <xf numFmtId="168" fontId="7" fillId="5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0" fillId="0" borderId="3" pivotButton="0" quotePrefix="0" xfId="0"/>
    <xf numFmtId="0" fontId="14" fillId="4" borderId="2" applyAlignment="1" pivotButton="0" quotePrefix="0" xfId="0">
      <alignment horizontal="center" vertical="center"/>
    </xf>
    <xf numFmtId="166" fontId="17" fillId="7" borderId="2" applyAlignment="1" pivotButton="0" quotePrefix="0" xfId="0">
      <alignment horizontal="center" vertical="center"/>
    </xf>
    <xf numFmtId="168" fontId="17" fillId="7" borderId="2" applyAlignment="1" pivotButton="0" quotePrefix="0" xfId="0">
      <alignment horizontal="center" vertical="center"/>
    </xf>
    <xf numFmtId="171" fontId="17" fillId="7" borderId="2" applyAlignment="1" pivotButton="0" quotePrefix="0" xfId="0">
      <alignment horizontal="center" vertical="center"/>
    </xf>
    <xf numFmtId="172" fontId="17" fillId="7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 indent="1"/>
    </xf>
    <xf numFmtId="0" fontId="19" fillId="6" borderId="5" applyAlignment="1" pivotButton="0" quotePrefix="0" xfId="0">
      <alignment horizontal="left" vertical="center" indent="1"/>
    </xf>
    <xf numFmtId="0" fontId="19" fillId="6" borderId="5" applyAlignment="1" pivotButton="0" quotePrefix="0" xfId="0">
      <alignment horizontal="center" vertical="center"/>
    </xf>
    <xf numFmtId="0" fontId="15" fillId="0" borderId="6" applyAlignment="1" pivotButton="0" quotePrefix="0" xfId="0">
      <alignment horizontal="left" vertical="center" indent="1"/>
    </xf>
    <xf numFmtId="168" fontId="15" fillId="0" borderId="6" applyAlignment="1" pivotButton="0" quotePrefix="0" xfId="0">
      <alignment horizontal="right" vertical="center"/>
    </xf>
    <xf numFmtId="166" fontId="15" fillId="0" borderId="6" applyAlignment="1" pivotButton="0" quotePrefix="0" xfId="0">
      <alignment horizontal="right" vertical="center"/>
    </xf>
    <xf numFmtId="0" fontId="15" fillId="5" borderId="6" applyAlignment="1" pivotButton="0" quotePrefix="0" xfId="0">
      <alignment horizontal="left" vertical="center" indent="1"/>
    </xf>
    <xf numFmtId="168" fontId="15" fillId="5" borderId="6" applyAlignment="1" pivotButton="0" quotePrefix="0" xfId="0">
      <alignment horizontal="right" vertical="center"/>
    </xf>
    <xf numFmtId="166" fontId="15" fillId="5" borderId="6" applyAlignment="1" pivotButton="0" quotePrefix="0" xfId="0">
      <alignment horizontal="right" vertical="center"/>
    </xf>
    <xf numFmtId="0" fontId="14" fillId="2" borderId="3" applyAlignment="1" pivotButton="0" quotePrefix="0" xfId="0">
      <alignment horizontal="left" vertical="center" indent="1"/>
    </xf>
    <xf numFmtId="168" fontId="14" fillId="2" borderId="3" applyAlignment="1" pivotButton="0" quotePrefix="0" xfId="0">
      <alignment horizontal="right" vertical="center"/>
    </xf>
    <xf numFmtId="166" fontId="14" fillId="2" borderId="3" applyAlignment="1" pivotButton="0" quotePrefix="0" xfId="0">
      <alignment horizontal="righ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7" fillId="6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8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9" fillId="0" borderId="0" pivotButton="0" quotePrefix="0" xfId="0"/>
    <xf numFmtId="166" fontId="9" fillId="0" borderId="0" pivotButton="0" quotePrefix="0" xfId="0"/>
    <xf numFmtId="166" fontId="17" fillId="6" borderId="2" applyAlignment="1" pivotButton="0" quotePrefix="0" xfId="0">
      <alignment horizontal="center" vertical="center"/>
    </xf>
    <xf numFmtId="0" fontId="14" fillId="2" borderId="4" applyAlignment="1" pivotButton="0" quotePrefix="0" xfId="0">
      <alignment horizontal="center" vertical="center" wrapText="1"/>
    </xf>
    <xf numFmtId="165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 indent="1"/>
    </xf>
    <xf numFmtId="168" fontId="15" fillId="0" borderId="4" applyAlignment="1" pivotButton="0" quotePrefix="0" xfId="0">
      <alignment horizontal="center" vertical="center"/>
    </xf>
    <xf numFmtId="166" fontId="15" fillId="0" borderId="4" applyAlignment="1" pivotButton="0" quotePrefix="0" xfId="0">
      <alignment horizontal="right" vertical="center"/>
    </xf>
    <xf numFmtId="165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horizontal="left" vertical="center" indent="1"/>
    </xf>
    <xf numFmtId="168" fontId="15" fillId="5" borderId="4" applyAlignment="1" pivotButton="0" quotePrefix="0" xfId="0">
      <alignment horizontal="center" vertical="center"/>
    </xf>
    <xf numFmtId="166" fontId="15" fillId="5" borderId="4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0" fontId="18" fillId="2" borderId="0" pivotButton="0" quotePrefix="0" xfId="0"/>
    <xf numFmtId="166" fontId="18" fillId="2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5" fillId="0" borderId="4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0" pivotButton="0" quotePrefix="0" xfId="0"/>
    <xf numFmtId="168" fontId="11" fillId="2" borderId="0" applyAlignment="1" pivotButton="0" quotePrefix="0" xfId="0">
      <alignment horizontal="center" vertical="center"/>
    </xf>
    <xf numFmtId="166" fontId="11" fillId="2" borderId="0" applyAlignment="1" pivotButton="0" quotePrefix="0" xfId="0">
      <alignment horizontal="right" vertical="center"/>
    </xf>
    <xf numFmtId="0" fontId="15" fillId="5" borderId="4" applyAlignment="1" pivotButton="0" quotePrefix="0" xfId="0">
      <alignment horizontal="center" vertical="center"/>
    </xf>
    <xf numFmtId="166" fontId="15" fillId="5" borderId="4" applyAlignment="1" pivotButton="0" quotePrefix="0" xfId="0">
      <alignment horizontal="center" vertical="center"/>
    </xf>
    <xf numFmtId="170" fontId="15" fillId="5" borderId="4" applyAlignment="1" pivotButton="0" quotePrefix="0" xfId="0">
      <alignment horizontal="center" vertical="center"/>
    </xf>
    <xf numFmtId="166" fontId="15" fillId="0" borderId="4" applyAlignment="1" pivotButton="0" quotePrefix="0" xfId="0">
      <alignment horizontal="center" vertical="center"/>
    </xf>
    <xf numFmtId="170" fontId="15" fillId="0" borderId="4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 indent="1"/>
    </xf>
    <xf numFmtId="0" fontId="12" fillId="0" borderId="1" applyAlignment="1" pivotButton="0" quotePrefix="0" xfId="0">
      <alignment horizontal="left" vertical="center" indent="1"/>
    </xf>
    <xf numFmtId="0" fontId="13" fillId="6" borderId="4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indent="1"/>
    </xf>
    <xf numFmtId="169" fontId="13" fillId="6" borderId="4" applyAlignment="1" pivotButton="0" quotePrefix="0" xfId="0">
      <alignment horizontal="center" vertical="center"/>
    </xf>
    <xf numFmtId="165" fontId="13" fillId="6" borderId="4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name val="Calibri"/>
        <b val="1"/>
        <color rgb="00991B1B"/>
        <sz val="11"/>
      </font>
      <fill>
        <patternFill patternType="solid">
          <fgColor rgb="00FCE4E4"/>
        </patternFill>
      </fill>
    </dxf>
    <dxf>
      <font>
        <name val="Calibri"/>
        <b val="1"/>
        <color rgb="00166534"/>
        <sz val="11"/>
      </font>
      <fill>
        <patternFill patternType="solid">
          <fgColor rgb="00DCFCE7"/>
        </patternFill>
      </fill>
    </dxf>
    <dxf>
      <font>
        <name val="Calibri"/>
        <b val="1"/>
        <color rgb="000B2447"/>
        <sz val="11"/>
      </font>
      <fill>
        <patternFill patternType="solid">
          <fgColor rgb="00FDF4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rips" displayName="Trips" ref="B6:U137" headerRowCount="1">
  <autoFilter ref="B6:U137"/>
  <tableColumns count="20">
    <tableColumn id="2" name="Deal No."/>
    <tableColumn id="3" name="Consignee"/>
    <tableColumn id="4" name="Date Loaded"/>
    <tableColumn id="5" name="Loading Port"/>
    <tableColumn id="6" name="Destination"/>
    <tableColumn id="7" name="Product"/>
    <tableColumn id="8" name="Truck No."/>
    <tableColumn id="9" name="Trailer Reg."/>
    <tableColumn id="10" name="Transporter"/>
    <tableColumn id="11" name="Driver"/>
    <tableColumn id="12" name="Arrival"/>
    <tableColumn id="13" name="Offloaded"/>
    <tableColumn id="14" name="Waiting (d)"/>
    <tableColumn id="15" name="Laytime (d)"/>
    <tableColumn id="16" name="Excess (d)"/>
    <tableColumn id="17" name="Rate (USD)"/>
    <tableColumn id="18" name="Demurrage (USD)"/>
    <tableColumn id="19" name="Status"/>
    <tableColumn id="20" name="Sanity"/>
    <tableColumn id="21" name="Month"/>
  </tableColumns>
  <tableStyleInfo name="TableStyleLight1" showRowStripes="1" showColumnStripes="0"/>
</table>
</file>

<file path=xl/tables/table2.xml><?xml version="1.0" encoding="utf-8"?>
<table xmlns="http://schemas.openxmlformats.org/spreadsheetml/2006/main" id="2" name="Deals" displayName="Deals" ref="B6:K30" headerRowCount="1">
  <autoFilter ref="B6:K30"/>
  <tableColumns count="10">
    <tableColumn id="2" name="Deal No."/>
    <tableColumn id="3" name="Consignee"/>
    <tableColumn id="4" name="Route"/>
    <tableColumn id="5" name="Loading Port"/>
    <tableColumn id="6" name="Destination"/>
    <tableColumn id="7" name="Product"/>
    <tableColumn id="8" name="Laytime (days)"/>
    <tableColumn id="9" name="Rate (USD/day)"/>
    <tableColumn id="10" name="Transport (USD/m³)"/>
    <tableColumn id="11" name="Transporter"/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0B2447"/>
    <outlinePr summaryBelow="1" summaryRight="1"/>
    <pageSetUpPr/>
  </sheetPr>
  <dimension ref="A2:J36"/>
  <sheetViews>
    <sheetView showGridLines="0" showRowColHeader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" customWidth="1" min="10" max="10"/>
  </cols>
  <sheetData>
    <row r="1" ht="18" customHeight="1"/>
    <row r="2" ht="18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18" customHeight="1">
      <c r="A3" s="1" t="n"/>
      <c r="B3" s="2" t="inlineStr">
        <is>
          <t>DEMURRAGE STATEMENT</t>
        </is>
      </c>
      <c r="J3" s="1" t="n"/>
    </row>
    <row r="4" ht="18" customHeight="1">
      <c r="A4" s="1" t="n"/>
      <c r="J4" s="1" t="n"/>
    </row>
    <row r="5" ht="18" customHeight="1">
      <c r="A5" s="1" t="n"/>
      <c r="B5" s="3" t="inlineStr">
        <is>
          <t>TRUCKING  •  BEIRA → LUSAKA CORRIDOR  •  2026</t>
        </is>
      </c>
      <c r="J5" s="1" t="n"/>
    </row>
    <row r="6" ht="18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4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18" customHeight="1"/>
    <row r="9" ht="18" customHeight="1"/>
    <row r="10" ht="18" customHeight="1">
      <c r="B10" s="5" t="inlineStr">
        <is>
          <t>Document</t>
        </is>
      </c>
      <c r="D10" s="6" t="inlineStr">
        <is>
          <t>Demurrage Calculation — Trucking</t>
        </is>
      </c>
      <c r="E10" s="7" t="n"/>
      <c r="F10" s="7" t="n"/>
      <c r="G10" s="7" t="n"/>
      <c r="H10" s="7" t="n"/>
      <c r="I10" s="7" t="n"/>
    </row>
    <row r="11" ht="18" customHeight="1"/>
    <row r="12" ht="18" customHeight="1">
      <c r="B12" s="5" t="inlineStr">
        <is>
          <t>Period</t>
        </is>
      </c>
      <c r="D12" s="6" t="inlineStr">
        <is>
          <t>January – April 2026</t>
        </is>
      </c>
      <c r="E12" s="7" t="n"/>
      <c r="F12" s="7" t="n"/>
      <c r="G12" s="7" t="n"/>
      <c r="H12" s="7" t="n"/>
      <c r="I12" s="7" t="n"/>
    </row>
    <row r="13" ht="18" customHeight="1"/>
    <row r="14" ht="18" customHeight="1">
      <c r="B14" s="5" t="inlineStr">
        <is>
          <t>Currency</t>
        </is>
      </c>
      <c r="D14" s="6" t="inlineStr">
        <is>
          <t>USD</t>
        </is>
      </c>
      <c r="E14" s="7" t="n"/>
      <c r="F14" s="7" t="n"/>
      <c r="G14" s="7" t="n"/>
      <c r="H14" s="7" t="n"/>
      <c r="I14" s="7" t="n"/>
    </row>
    <row r="15" ht="18" customHeight="1"/>
    <row r="16" ht="18" customHeight="1">
      <c r="B16" s="5" t="inlineStr">
        <is>
          <t>Prepared by</t>
        </is>
      </c>
      <c r="D16" s="6" t="inlineStr">
        <is>
          <t>—</t>
        </is>
      </c>
      <c r="E16" s="7" t="n"/>
      <c r="F16" s="7" t="n"/>
      <c r="G16" s="7" t="n"/>
      <c r="H16" s="7" t="n"/>
      <c r="I16" s="7" t="n"/>
    </row>
    <row r="17" ht="18" customHeight="1"/>
    <row r="18" ht="18" customHeight="1">
      <c r="B18" s="5" t="inlineStr">
        <is>
          <t>Reviewed by</t>
        </is>
      </c>
      <c r="D18" s="6" t="inlineStr">
        <is>
          <t>—</t>
        </is>
      </c>
      <c r="E18" s="7" t="n"/>
      <c r="F18" s="7" t="n"/>
      <c r="G18" s="7" t="n"/>
      <c r="H18" s="7" t="n"/>
      <c r="I18" s="7" t="n"/>
    </row>
    <row r="19" ht="18" customHeight="1"/>
    <row r="20" ht="18" customHeight="1">
      <c r="B20" s="5" t="inlineStr">
        <is>
          <t>Issue date</t>
        </is>
      </c>
      <c r="D20" s="8" t="n">
        <v>46157</v>
      </c>
      <c r="E20" s="7" t="n"/>
      <c r="F20" s="7" t="n"/>
      <c r="G20" s="7" t="n"/>
      <c r="H20" s="7" t="n"/>
      <c r="I20" s="7" t="n"/>
    </row>
    <row r="21" ht="18" customHeight="1"/>
    <row r="22" ht="18" customHeight="1"/>
    <row r="23" ht="18" customHeight="1"/>
    <row r="24" ht="18" customHeight="1">
      <c r="B24" s="9" t="inlineStr">
        <is>
          <t>PORTFOLIO AT A GLANCE</t>
        </is>
      </c>
    </row>
    <row r="25" ht="18" customHeight="1"/>
    <row r="26" ht="18" customHeight="1">
      <c r="B26" s="10" t="inlineStr">
        <is>
          <t>TOTAL DEMURRAGE (USD)</t>
        </is>
      </c>
      <c r="C26" s="11" t="n"/>
      <c r="D26" s="10" t="inlineStr">
        <is>
          <t>TRIPS IN DEMURRAGE</t>
        </is>
      </c>
      <c r="E26" s="11" t="n"/>
      <c r="F26" s="10" t="inlineStr">
        <is>
          <t>TOTAL TRIPS</t>
        </is>
      </c>
      <c r="G26" s="11" t="n"/>
      <c r="H26" s="10" t="inlineStr">
        <is>
          <t>AVG / TRIP (USD)</t>
        </is>
      </c>
      <c r="I26" s="11" t="n"/>
    </row>
    <row r="27" ht="18" customHeight="1">
      <c r="B27" s="12">
        <f>Dashboard!B7</f>
        <v/>
      </c>
      <c r="C27" s="11" t="n"/>
      <c r="D27" s="13">
        <f>Dashboard!F7&amp;" / "&amp;Dashboard!D7</f>
        <v/>
      </c>
      <c r="E27" s="11" t="n"/>
      <c r="F27" s="14">
        <f>Dashboard!D7</f>
        <v/>
      </c>
      <c r="G27" s="11" t="n"/>
      <c r="H27" s="12">
        <f>Dashboard!H7</f>
        <v/>
      </c>
      <c r="I27" s="11" t="n"/>
    </row>
    <row r="28" ht="18" customHeight="1">
      <c r="B28" s="11" t="n"/>
      <c r="C28" s="11" t="n"/>
      <c r="D28" s="11" t="n"/>
      <c r="E28" s="11" t="n"/>
      <c r="F28" s="11" t="n"/>
      <c r="G28" s="11" t="n"/>
      <c r="H28" s="11" t="n"/>
      <c r="I28" s="11" t="n"/>
    </row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>
      <c r="B36" s="15" t="inlineStr">
        <is>
          <t>CONFIDENTIAL  •  Internal use only  •  Generated from Trips Ledger</t>
        </is>
      </c>
    </row>
    <row r="37" ht="18" customHeight="1"/>
    <row r="38" ht="18" customHeight="1"/>
    <row r="39" ht="18" customHeight="1"/>
  </sheetData>
  <mergeCells count="17">
    <mergeCell ref="H27:I28"/>
    <mergeCell ref="D10:I10"/>
    <mergeCell ref="B3:I4"/>
    <mergeCell ref="B26:C26"/>
    <mergeCell ref="D14:I14"/>
    <mergeCell ref="D18:I18"/>
    <mergeCell ref="F26:G26"/>
    <mergeCell ref="B5:I5"/>
    <mergeCell ref="D12:I12"/>
    <mergeCell ref="B36:I36"/>
    <mergeCell ref="D20:I20"/>
    <mergeCell ref="D16:I16"/>
    <mergeCell ref="D26:E26"/>
    <mergeCell ref="B27:C28"/>
    <mergeCell ref="F27:G28"/>
    <mergeCell ref="D27:E28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B2:I42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" customWidth="1" min="10" max="10"/>
  </cols>
  <sheetData>
    <row r="2" ht="36" customHeight="1">
      <c r="B2" s="16" t="inlineStr">
        <is>
          <t>DEMURRAGE DASHBOARD</t>
        </is>
      </c>
    </row>
    <row r="3">
      <c r="B3" s="17" t="inlineStr">
        <is>
          <t>Live KPIs and breakdowns. All figures recompute from the Trips Ledger.</t>
        </is>
      </c>
    </row>
    <row r="4" ht="6" customHeight="1">
      <c r="B4" s="18" t="n"/>
      <c r="C4" s="18" t="n"/>
      <c r="D4" s="18" t="n"/>
      <c r="E4" s="18" t="n"/>
      <c r="F4" s="18" t="n"/>
      <c r="G4" s="18" t="n"/>
      <c r="H4" s="18" t="n"/>
      <c r="I4" s="18" t="n"/>
    </row>
    <row r="6" ht="22" customHeight="1">
      <c r="B6" s="19" t="inlineStr">
        <is>
          <t>TOTAL DEMURRAGE</t>
        </is>
      </c>
      <c r="C6" s="11" t="n"/>
      <c r="D6" s="19" t="inlineStr">
        <is>
          <t>TOTAL TRIPS</t>
        </is>
      </c>
      <c r="E6" s="11" t="n"/>
      <c r="F6" s="19" t="inlineStr">
        <is>
          <t>IN DEMURRAGE</t>
        </is>
      </c>
      <c r="G6" s="11" t="n"/>
      <c r="H6" s="19" t="inlineStr">
        <is>
          <t>AVG / TRIP</t>
        </is>
      </c>
      <c r="I6" s="11" t="n"/>
    </row>
    <row r="7" ht="22" customHeight="1">
      <c r="B7" s="20">
        <f>SUM(Trips[Demurrage (USD)])</f>
        <v/>
      </c>
      <c r="C7" s="11" t="n"/>
      <c r="D7" s="21">
        <f>ROWS(Trips[Deal No.])</f>
        <v/>
      </c>
      <c r="E7" s="11" t="n"/>
      <c r="F7" s="21">
        <f>COUNTIF(Trips[Status],"DEMURRAGE")</f>
        <v/>
      </c>
      <c r="G7" s="11" t="n"/>
      <c r="H7" s="20">
        <f>IFERROR(SUM(Trips[Demurrage (USD)])/ROWS(Trips[Deal No.]),0)</f>
        <v/>
      </c>
      <c r="I7" s="11" t="n"/>
    </row>
    <row r="8" ht="22" customHeight="1">
      <c r="B8" s="11" t="n"/>
      <c r="C8" s="11" t="n"/>
      <c r="D8" s="11" t="n"/>
      <c r="E8" s="11" t="n"/>
      <c r="F8" s="11" t="n"/>
      <c r="G8" s="11" t="n"/>
      <c r="H8" s="11" t="n"/>
      <c r="I8" s="11" t="n"/>
    </row>
    <row r="10" ht="22" customHeight="1">
      <c r="B10" s="19" t="inlineStr">
        <is>
          <t>AVG EXCESS DAYS</t>
        </is>
      </c>
      <c r="C10" s="11" t="n"/>
      <c r="D10" s="19" t="inlineStr">
        <is>
          <t>MAX EXCESS DAYS</t>
        </is>
      </c>
      <c r="E10" s="11" t="n"/>
      <c r="F10" s="19" t="inlineStr">
        <is>
          <t>ACTIVE DEALS</t>
        </is>
      </c>
      <c r="G10" s="11" t="n"/>
      <c r="H10" s="19" t="inlineStr">
        <is>
          <t>% TRIPS IN DEMURRAGE</t>
        </is>
      </c>
      <c r="I10" s="11" t="n"/>
    </row>
    <row r="11" ht="22" customHeight="1">
      <c r="B11" s="22">
        <f>IFERROR(SUMPRODUCT(Trips[Excess (d)])/COUNT(Trips[Excess (d)]),0)</f>
        <v/>
      </c>
      <c r="C11" s="11" t="n"/>
      <c r="D11" s="21">
        <f>IFERROR(MAX(Trips[Excess (d)]),0)</f>
        <v/>
      </c>
      <c r="E11" s="11" t="n"/>
      <c r="F11" s="21">
        <f>SUMPRODUCT((COUNTIF(Trips[Deal No.],Deals[Deal No.])&gt;0)*1)</f>
        <v/>
      </c>
      <c r="G11" s="11" t="n"/>
      <c r="H11" s="23">
        <f>IFERROR(COUNTIF(Trips[Status],"DEMURRAGE")/ROWS(Trips[Deal No.]),0)</f>
        <v/>
      </c>
      <c r="I11" s="11" t="n"/>
    </row>
    <row r="12" ht="22" customHeight="1">
      <c r="B12" s="11" t="n"/>
      <c r="C12" s="11" t="n"/>
      <c r="D12" s="11" t="n"/>
      <c r="E12" s="11" t="n"/>
      <c r="F12" s="11" t="n"/>
      <c r="G12" s="11" t="n"/>
      <c r="H12" s="11" t="n"/>
      <c r="I12" s="11" t="n"/>
    </row>
    <row r="14" ht="24" customHeight="1">
      <c r="B14" s="24" t="inlineStr">
        <is>
          <t>BY CONSIGNEE</t>
        </is>
      </c>
      <c r="F14" s="24" t="inlineStr">
        <is>
          <t>TOP DEALS BY DEMURRAGE</t>
        </is>
      </c>
    </row>
    <row r="15" ht="22" customHeight="1">
      <c r="B15" s="25" t="inlineStr">
        <is>
          <t>Consignee</t>
        </is>
      </c>
      <c r="C15" s="26" t="inlineStr">
        <is>
          <t>Trips</t>
        </is>
      </c>
      <c r="D15" s="26" t="inlineStr">
        <is>
          <t>Total Demurrage</t>
        </is>
      </c>
      <c r="E15" s="26" t="inlineStr">
        <is>
          <t>Avg / Trip</t>
        </is>
      </c>
      <c r="F15" s="25" t="inlineStr">
        <is>
          <t>Deal No.</t>
        </is>
      </c>
      <c r="G15" s="26" t="inlineStr">
        <is>
          <t>Trips</t>
        </is>
      </c>
      <c r="H15" s="26" t="inlineStr">
        <is>
          <t>Total Demurrage</t>
        </is>
      </c>
      <c r="I15" s="26" t="inlineStr">
        <is>
          <t>Avg / Trip</t>
        </is>
      </c>
    </row>
    <row r="16">
      <c r="B16" s="27" t="inlineStr">
        <is>
          <t>ARV Energy</t>
        </is>
      </c>
      <c r="C16" s="28">
        <f>COUNTIF(Trips[Consignee],"ARV Energy")</f>
        <v/>
      </c>
      <c r="D16" s="29">
        <f>SUMIF(Trips[Consignee],"ARV Energy",Trips[Demurrage (USD)])</f>
        <v/>
      </c>
      <c r="E16" s="29">
        <f>IFERROR(SUMIF(Trips[Consignee],"ARV Energy",Trips[Demurrage (USD)])/COUNTIF(Trips[Consignee],"ARV Energy"),0)</f>
        <v/>
      </c>
      <c r="F16" s="27" t="n">
        <v>187293</v>
      </c>
      <c r="G16" s="28">
        <f>COUNTIF(Trips[Deal No.],187293)</f>
        <v/>
      </c>
      <c r="H16" s="29">
        <f>SUMIF(Trips[Deal No.],187293,Trips[Demurrage (USD)])</f>
        <v/>
      </c>
      <c r="I16" s="29">
        <f>IFERROR(SUMIF(Trips[Deal No.],187293,Trips[Demurrage (USD)])/COUNTIF(Trips[Deal No.],187293),0)</f>
        <v/>
      </c>
    </row>
    <row r="17">
      <c r="B17" s="30" t="inlineStr">
        <is>
          <t>La Grace De Dieu Avec Nous Sarl</t>
        </is>
      </c>
      <c r="C17" s="31">
        <f>COUNTIF(Trips[Consignee],"La Grace De Dieu Avec Nous Sarl")</f>
        <v/>
      </c>
      <c r="D17" s="32">
        <f>SUMIF(Trips[Consignee],"La Grace De Dieu Avec Nous Sarl",Trips[Demurrage (USD)])</f>
        <v/>
      </c>
      <c r="E17" s="32">
        <f>IFERROR(SUMIF(Trips[Consignee],"La Grace De Dieu Avec Nous Sarl",Trips[Demurrage (USD)])/COUNTIF(Trips[Consignee],"La Grace De Dieu Avec Nous Sarl"),0)</f>
        <v/>
      </c>
      <c r="F17" s="30" t="n">
        <v>190664</v>
      </c>
      <c r="G17" s="31">
        <f>COUNTIF(Trips[Deal No.],190664)</f>
        <v/>
      </c>
      <c r="H17" s="32">
        <f>SUMIF(Trips[Deal No.],190664,Trips[Demurrage (USD)])</f>
        <v/>
      </c>
      <c r="I17" s="32">
        <f>IFERROR(SUMIF(Trips[Deal No.],190664,Trips[Demurrage (USD)])/COUNTIF(Trips[Deal No.],190664),0)</f>
        <v/>
      </c>
    </row>
    <row r="18">
      <c r="B18" s="27" t="inlineStr">
        <is>
          <t>Lake Petroleum Zambia</t>
        </is>
      </c>
      <c r="C18" s="28">
        <f>COUNTIF(Trips[Consignee],"Lake Petroleum Zambia")</f>
        <v/>
      </c>
      <c r="D18" s="29">
        <f>SUMIF(Trips[Consignee],"Lake Petroleum Zambia",Trips[Demurrage (USD)])</f>
        <v/>
      </c>
      <c r="E18" s="29">
        <f>IFERROR(SUMIF(Trips[Consignee],"Lake Petroleum Zambia",Trips[Demurrage (USD)])/COUNTIF(Trips[Consignee],"Lake Petroleum Zambia"),0)</f>
        <v/>
      </c>
      <c r="F18" s="27" t="n">
        <v>187296</v>
      </c>
      <c r="G18" s="28">
        <f>COUNTIF(Trips[Deal No.],187296)</f>
        <v/>
      </c>
      <c r="H18" s="29">
        <f>SUMIF(Trips[Deal No.],187296,Trips[Demurrage (USD)])</f>
        <v/>
      </c>
      <c r="I18" s="29">
        <f>IFERROR(SUMIF(Trips[Deal No.],187296,Trips[Demurrage (USD)])/COUNTIF(Trips[Deal No.],187296),0)</f>
        <v/>
      </c>
    </row>
    <row r="19">
      <c r="B19" s="30" t="inlineStr">
        <is>
          <t>Monaluxe</t>
        </is>
      </c>
      <c r="C19" s="31">
        <f>COUNTIF(Trips[Consignee],"Monaluxe")</f>
        <v/>
      </c>
      <c r="D19" s="32">
        <f>SUMIF(Trips[Consignee],"Monaluxe",Trips[Demurrage (USD)])</f>
        <v/>
      </c>
      <c r="E19" s="32">
        <f>IFERROR(SUMIF(Trips[Consignee],"Monaluxe",Trips[Demurrage (USD)])/COUNTIF(Trips[Consignee],"Monaluxe"),0)</f>
        <v/>
      </c>
      <c r="F19" s="30" t="n">
        <v>184752</v>
      </c>
      <c r="G19" s="31">
        <f>COUNTIF(Trips[Deal No.],184752)</f>
        <v/>
      </c>
      <c r="H19" s="32">
        <f>SUMIF(Trips[Deal No.],184752,Trips[Demurrage (USD)])</f>
        <v/>
      </c>
      <c r="I19" s="32">
        <f>IFERROR(SUMIF(Trips[Deal No.],184752,Trips[Demurrage (USD)])/COUNTIF(Trips[Deal No.],184752),0)</f>
        <v/>
      </c>
    </row>
    <row r="20">
      <c r="B20" s="27" t="inlineStr">
        <is>
          <t>Reliance Energy Zambia</t>
        </is>
      </c>
      <c r="C20" s="28">
        <f>COUNTIF(Trips[Consignee],"Reliance Energy Zambia")</f>
        <v/>
      </c>
      <c r="D20" s="29">
        <f>SUMIF(Trips[Consignee],"Reliance Energy Zambia",Trips[Demurrage (USD)])</f>
        <v/>
      </c>
      <c r="E20" s="29">
        <f>IFERROR(SUMIF(Trips[Consignee],"Reliance Energy Zambia",Trips[Demurrage (USD)])/COUNTIF(Trips[Consignee],"Reliance Energy Zambia"),0)</f>
        <v/>
      </c>
      <c r="F20" s="27" t="n">
        <v>184182</v>
      </c>
      <c r="G20" s="28">
        <f>COUNTIF(Trips[Deal No.],184182)</f>
        <v/>
      </c>
      <c r="H20" s="29">
        <f>SUMIF(Trips[Deal No.],184182,Trips[Demurrage (USD)])</f>
        <v/>
      </c>
      <c r="I20" s="29">
        <f>IFERROR(SUMIF(Trips[Deal No.],184182,Trips[Demurrage (USD)])/COUNTIF(Trips[Deal No.],184182),0)</f>
        <v/>
      </c>
    </row>
    <row r="21">
      <c r="B21" s="30" t="inlineStr">
        <is>
          <t>Rubis Energy Zambia</t>
        </is>
      </c>
      <c r="C21" s="31">
        <f>COUNTIF(Trips[Consignee],"Rubis Energy Zambia")</f>
        <v/>
      </c>
      <c r="D21" s="32">
        <f>SUMIF(Trips[Consignee],"Rubis Energy Zambia",Trips[Demurrage (USD)])</f>
        <v/>
      </c>
      <c r="E21" s="32">
        <f>IFERROR(SUMIF(Trips[Consignee],"Rubis Energy Zambia",Trips[Demurrage (USD)])/COUNTIF(Trips[Consignee],"Rubis Energy Zambia"),0)</f>
        <v/>
      </c>
      <c r="F21" s="30" t="n">
        <v>189084</v>
      </c>
      <c r="G21" s="31">
        <f>COUNTIF(Trips[Deal No.],189084)</f>
        <v/>
      </c>
      <c r="H21" s="32">
        <f>SUMIF(Trips[Deal No.],189084,Trips[Demurrage (USD)])</f>
        <v/>
      </c>
      <c r="I21" s="32">
        <f>IFERROR(SUMIF(Trips[Deal No.],189084,Trips[Demurrage (USD)])/COUNTIF(Trips[Deal No.],189084),0)</f>
        <v/>
      </c>
    </row>
    <row r="22">
      <c r="B22" s="33" t="inlineStr">
        <is>
          <t>TOTAL</t>
        </is>
      </c>
      <c r="C22" s="34">
        <f>ROWS(Trips[Deal No.])</f>
        <v/>
      </c>
      <c r="D22" s="35">
        <f>SUM(Trips[Demurrage (USD)])</f>
        <v/>
      </c>
      <c r="E22" s="35">
        <f>IFERROR(SUM(Trips[Demurrage (USD)])/ROWS(Trips[Deal No.]),0)</f>
        <v/>
      </c>
      <c r="F22" s="27" t="n">
        <v>184834</v>
      </c>
      <c r="G22" s="28">
        <f>COUNTIF(Trips[Deal No.],184834)</f>
        <v/>
      </c>
      <c r="H22" s="29">
        <f>SUMIF(Trips[Deal No.],184834,Trips[Demurrage (USD)])</f>
        <v/>
      </c>
      <c r="I22" s="29">
        <f>IFERROR(SUMIF(Trips[Deal No.],184834,Trips[Demurrage (USD)])/COUNTIF(Trips[Deal No.],184834),0)</f>
        <v/>
      </c>
    </row>
    <row r="23">
      <c r="F23" s="30" t="n">
        <v>190261</v>
      </c>
      <c r="G23" s="31">
        <f>COUNTIF(Trips[Deal No.],190261)</f>
        <v/>
      </c>
      <c r="H23" s="32">
        <f>SUMIF(Trips[Deal No.],190261,Trips[Demurrage (USD)])</f>
        <v/>
      </c>
      <c r="I23" s="32">
        <f>IFERROR(SUMIF(Trips[Deal No.],190261,Trips[Demurrage (USD)])/COUNTIF(Trips[Deal No.],190261),0)</f>
        <v/>
      </c>
    </row>
    <row r="24">
      <c r="F24" s="27" t="n">
        <v>191610</v>
      </c>
      <c r="G24" s="28">
        <f>COUNTIF(Trips[Deal No.],191610)</f>
        <v/>
      </c>
      <c r="H24" s="29">
        <f>SUMIF(Trips[Deal No.],191610,Trips[Demurrage (USD)])</f>
        <v/>
      </c>
      <c r="I24" s="29">
        <f>IFERROR(SUMIF(Trips[Deal No.],191610,Trips[Demurrage (USD)])/COUNTIF(Trips[Deal No.],191610),0)</f>
        <v/>
      </c>
    </row>
    <row r="25" ht="24" customHeight="1">
      <c r="B25" s="24" t="inlineStr">
        <is>
          <t>BY TRANSPORTER</t>
        </is>
      </c>
      <c r="F25" s="33" t="inlineStr">
        <is>
          <t>TOTAL</t>
        </is>
      </c>
      <c r="G25" s="34">
        <f>SUM(G16:G24)</f>
        <v/>
      </c>
      <c r="H25" s="35">
        <f>SUM(H16:H24)</f>
        <v/>
      </c>
      <c r="I25" s="35">
        <f>IFERROR(H25/G25,0)</f>
        <v/>
      </c>
    </row>
    <row r="26" ht="22" customHeight="1">
      <c r="B26" s="25" t="inlineStr">
        <is>
          <t>Transporter</t>
        </is>
      </c>
      <c r="C26" s="26" t="inlineStr">
        <is>
          <t>Trips</t>
        </is>
      </c>
      <c r="D26" s="26" t="inlineStr">
        <is>
          <t>Total Demurrage</t>
        </is>
      </c>
      <c r="E26" s="26" t="inlineStr">
        <is>
          <t>Avg / Trip</t>
        </is>
      </c>
    </row>
    <row r="27">
      <c r="B27" s="27" t="inlineStr">
        <is>
          <t>OASIS</t>
        </is>
      </c>
      <c r="C27" s="28">
        <f>COUNTIF(Trips[Transporter],"OASIS")</f>
        <v/>
      </c>
      <c r="D27" s="29">
        <f>SUMIF(Trips[Transporter],"OASIS",Trips[Demurrage (USD)])</f>
        <v/>
      </c>
      <c r="E27" s="29">
        <f>IFERROR(SUMIF(Trips[Transporter],"OASIS",Trips[Demurrage (USD)])/COUNTIF(Trips[Transporter],"OASIS"),0)</f>
        <v/>
      </c>
    </row>
    <row r="28">
      <c r="B28" s="30" t="inlineStr">
        <is>
          <t>PETRODA</t>
        </is>
      </c>
      <c r="C28" s="31">
        <f>COUNTIF(Trips[Transporter],"PETRODA")</f>
        <v/>
      </c>
      <c r="D28" s="32">
        <f>SUMIF(Trips[Transporter],"PETRODA",Trips[Demurrage (USD)])</f>
        <v/>
      </c>
      <c r="E28" s="32">
        <f>IFERROR(SUMIF(Trips[Transporter],"PETRODA",Trips[Demurrage (USD)])/COUNTIF(Trips[Transporter],"PETRODA"),0)</f>
        <v/>
      </c>
    </row>
    <row r="29">
      <c r="B29" s="27" t="inlineStr">
        <is>
          <t>TRANSIR</t>
        </is>
      </c>
      <c r="C29" s="28">
        <f>COUNTIF(Trips[Transporter],"TRANSIR")</f>
        <v/>
      </c>
      <c r="D29" s="29">
        <f>SUMIF(Trips[Transporter],"TRANSIR",Trips[Demurrage (USD)])</f>
        <v/>
      </c>
      <c r="E29" s="29">
        <f>IFERROR(SUMIF(Trips[Transporter],"TRANSIR",Trips[Demurrage (USD)])/COUNTIF(Trips[Transporter],"TRANSIR"),0)</f>
        <v/>
      </c>
    </row>
    <row r="30">
      <c r="B30" s="30" t="inlineStr">
        <is>
          <t>TRUCKEAZE</t>
        </is>
      </c>
      <c r="C30" s="31">
        <f>COUNTIF(Trips[Transporter],"TRUCKEAZE")</f>
        <v/>
      </c>
      <c r="D30" s="32">
        <f>SUMIF(Trips[Transporter],"TRUCKEAZE",Trips[Demurrage (USD)])</f>
        <v/>
      </c>
      <c r="E30" s="32">
        <f>IFERROR(SUMIF(Trips[Transporter],"TRUCKEAZE",Trips[Demurrage (USD)])/COUNTIF(Trips[Transporter],"TRUCKEAZE"),0)</f>
        <v/>
      </c>
    </row>
    <row r="31">
      <c r="B31" s="27" t="inlineStr">
        <is>
          <t>WHC</t>
        </is>
      </c>
      <c r="C31" s="28">
        <f>COUNTIF(Trips[Transporter],"WHC")</f>
        <v/>
      </c>
      <c r="D31" s="29">
        <f>SUMIF(Trips[Transporter],"WHC",Trips[Demurrage (USD)])</f>
        <v/>
      </c>
      <c r="E31" s="29">
        <f>IFERROR(SUMIF(Trips[Transporter],"WHC",Trips[Demurrage (USD)])/COUNTIF(Trips[Transporter],"WHC"),0)</f>
        <v/>
      </c>
    </row>
    <row r="32">
      <c r="B32" s="33" t="inlineStr">
        <is>
          <t>TOTAL</t>
        </is>
      </c>
      <c r="C32" s="34">
        <f>ROWS(Trips[Deal No.])</f>
        <v/>
      </c>
      <c r="D32" s="35">
        <f>SUM(Trips[Demurrage (USD)])</f>
        <v/>
      </c>
      <c r="E32" s="35">
        <f>IFERROR(SUM(Trips[Demurrage (USD)])/ROWS(Trips[Deal No.]),0)</f>
        <v/>
      </c>
    </row>
    <row r="35" ht="24" customHeight="1">
      <c r="B35" s="24" t="inlineStr">
        <is>
          <t>BY MONTH (LOADING)</t>
        </is>
      </c>
    </row>
    <row r="36" ht="22" customHeight="1">
      <c r="B36" s="25" t="inlineStr">
        <is>
          <t>Month</t>
        </is>
      </c>
      <c r="C36" s="26" t="inlineStr">
        <is>
          <t>Trips</t>
        </is>
      </c>
      <c r="D36" s="26" t="inlineStr">
        <is>
          <t>Total Demurrage</t>
        </is>
      </c>
      <c r="E36" s="26" t="inlineStr">
        <is>
          <t>Avg / Trip</t>
        </is>
      </c>
    </row>
    <row r="37">
      <c r="B37" s="27" t="inlineStr">
        <is>
          <t>2025-12</t>
        </is>
      </c>
      <c r="C37" s="28">
        <f>COUNTIF(Trips[Month],"2025-12")</f>
        <v/>
      </c>
      <c r="D37" s="29">
        <f>SUMIF(Trips[Month],"2025-12",Trips[Demurrage (USD)])</f>
        <v/>
      </c>
      <c r="E37" s="29">
        <f>IFERROR(SUMIF(Trips[Month],"2025-12",Trips[Demurrage (USD)])/COUNTIF(Trips[Month],"2025-12"),0)</f>
        <v/>
      </c>
    </row>
    <row r="38">
      <c r="B38" s="30" t="inlineStr">
        <is>
          <t>2026-02</t>
        </is>
      </c>
      <c r="C38" s="31">
        <f>COUNTIF(Trips[Month],"2026-02")</f>
        <v/>
      </c>
      <c r="D38" s="32">
        <f>SUMIF(Trips[Month],"2026-02",Trips[Demurrage (USD)])</f>
        <v/>
      </c>
      <c r="E38" s="32">
        <f>IFERROR(SUMIF(Trips[Month],"2026-02",Trips[Demurrage (USD)])/COUNTIF(Trips[Month],"2026-02"),0)</f>
        <v/>
      </c>
    </row>
    <row r="39">
      <c r="B39" s="27" t="inlineStr">
        <is>
          <t>2026-03</t>
        </is>
      </c>
      <c r="C39" s="28">
        <f>COUNTIF(Trips[Month],"2026-03")</f>
        <v/>
      </c>
      <c r="D39" s="29">
        <f>SUMIF(Trips[Month],"2026-03",Trips[Demurrage (USD)])</f>
        <v/>
      </c>
      <c r="E39" s="29">
        <f>IFERROR(SUMIF(Trips[Month],"2026-03",Trips[Demurrage (USD)])/COUNTIF(Trips[Month],"2026-03"),0)</f>
        <v/>
      </c>
    </row>
    <row r="40">
      <c r="B40" s="30" t="inlineStr">
        <is>
          <t>2026-04</t>
        </is>
      </c>
      <c r="C40" s="31">
        <f>COUNTIF(Trips[Month],"2026-04")</f>
        <v/>
      </c>
      <c r="D40" s="32">
        <f>SUMIF(Trips[Month],"2026-04",Trips[Demurrage (USD)])</f>
        <v/>
      </c>
      <c r="E40" s="32">
        <f>IFERROR(SUMIF(Trips[Month],"2026-04",Trips[Demurrage (USD)])/COUNTIF(Trips[Month],"2026-04"),0)</f>
        <v/>
      </c>
    </row>
    <row r="41">
      <c r="B41" s="27" t="inlineStr">
        <is>
          <t>2026-05</t>
        </is>
      </c>
      <c r="C41" s="28">
        <f>COUNTIF(Trips[Month],"2026-05")</f>
        <v/>
      </c>
      <c r="D41" s="29">
        <f>SUMIF(Trips[Month],"2026-05",Trips[Demurrage (USD)])</f>
        <v/>
      </c>
      <c r="E41" s="29">
        <f>IFERROR(SUMIF(Trips[Month],"2026-05",Trips[Demurrage (USD)])/COUNTIF(Trips[Month],"2026-05"),0)</f>
        <v/>
      </c>
    </row>
    <row r="42">
      <c r="B42" s="33" t="inlineStr">
        <is>
          <t>TOTAL</t>
        </is>
      </c>
      <c r="C42" s="34">
        <f>ROWS(Trips[Deal No.])</f>
        <v/>
      </c>
      <c r="D42" s="35">
        <f>SUM(Trips[Demurrage (USD)])</f>
        <v/>
      </c>
      <c r="E42" s="35">
        <f>IFERROR(SUM(Trips[Demurrage (USD)])/ROWS(Trips[Deal No.]),0)</f>
        <v/>
      </c>
    </row>
  </sheetData>
  <mergeCells count="22">
    <mergeCell ref="D10:E10"/>
    <mergeCell ref="D7:E8"/>
    <mergeCell ref="F10:G10"/>
    <mergeCell ref="H10:I10"/>
    <mergeCell ref="H7:I8"/>
    <mergeCell ref="B3:I3"/>
    <mergeCell ref="F6:G6"/>
    <mergeCell ref="F14:I14"/>
    <mergeCell ref="D6:E6"/>
    <mergeCell ref="H6:I6"/>
    <mergeCell ref="B35:E35"/>
    <mergeCell ref="B2:I2"/>
    <mergeCell ref="B25:E25"/>
    <mergeCell ref="F11:G12"/>
    <mergeCell ref="B7:C8"/>
    <mergeCell ref="B10:C10"/>
    <mergeCell ref="F7:G8"/>
    <mergeCell ref="B14:E14"/>
    <mergeCell ref="B6:C6"/>
    <mergeCell ref="B11:C12"/>
    <mergeCell ref="D11:E12"/>
    <mergeCell ref="H11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2:M63"/>
  <sheetViews>
    <sheetView showGridLines="0" showRowColHeader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2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  <col width="16" customWidth="1" min="12" max="12"/>
    <col width="2" customWidth="1" min="13" max="13"/>
  </cols>
  <sheetData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1" t="n"/>
      <c r="B3" s="36" t="inlineStr">
        <is>
          <t>DEMURRAGE STATEMENT</t>
        </is>
      </c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37" t="inlineStr">
        <is>
          <t>Pick a deal in the gold box below — the statement, totals and table refresh automatically.</t>
        </is>
      </c>
      <c r="M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</row>
    <row r="7" ht="4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9">
      <c r="B9" s="38" t="inlineStr">
        <is>
          <t>DEAL No.</t>
        </is>
      </c>
      <c r="D9" s="39" t="inlineStr">
        <is>
          <t>CONSIGNEE</t>
        </is>
      </c>
      <c r="G9" s="39" t="inlineStr">
        <is>
          <t>ROUTE</t>
        </is>
      </c>
      <c r="J9" s="39" t="inlineStr">
        <is>
          <t>PRODUCT</t>
        </is>
      </c>
    </row>
    <row r="10">
      <c r="B10" s="40" t="n">
        <v>183574</v>
      </c>
      <c r="D10" s="41">
        <f>IFERROR(VLOOKUP($B$10,Deals[#All],2,FALSE),"")</f>
        <v/>
      </c>
      <c r="G10" s="41">
        <f>IFERROR(VLOOKUP($B$10,Deals[#All],3,FALSE),"")</f>
        <v/>
      </c>
      <c r="J10" s="41">
        <f>IFERROR(VLOOKUP($B$10,Deals[#All],6,FALSE),"")</f>
        <v/>
      </c>
    </row>
    <row r="12">
      <c r="D12" s="39" t="inlineStr">
        <is>
          <t>LAYTIME (days)</t>
        </is>
      </c>
      <c r="G12" s="39" t="inlineStr">
        <is>
          <t>RATE (USD/day)</t>
        </is>
      </c>
      <c r="J12" s="39" t="inlineStr">
        <is>
          <t>PERIOD</t>
        </is>
      </c>
    </row>
    <row r="13">
      <c r="D13" s="42">
        <f>IFERROR(VLOOKUP($B$10,Deals[#All],7,FALSE),DEF_LAYTIME)</f>
        <v/>
      </c>
      <c r="G13" s="43">
        <f>IFERROR(VLOOKUP($B$10,Deals[#All],8,FALSE),DEF_RATE)</f>
        <v/>
      </c>
      <c r="J13" s="41">
        <f>TEXT(PERIOD_START,"dd-mmm-yyyy")&amp;" → "&amp;TEXT(PERIOD_END,"dd-mmm-yyyy")</f>
        <v/>
      </c>
    </row>
    <row r="14">
      <c r="B14" s="44" t="inlineStr">
        <is>
          <t>AMOUNT OWED</t>
        </is>
      </c>
      <c r="C14" s="11" t="n"/>
      <c r="E14" s="39" t="inlineStr">
        <is>
          <t>TRIPS</t>
        </is>
      </c>
      <c r="H14" s="39" t="inlineStr">
        <is>
          <t>IN DEMURRAGE</t>
        </is>
      </c>
      <c r="K14" s="39" t="inlineStr">
        <is>
          <t>AVG / TRIP</t>
        </is>
      </c>
    </row>
    <row r="15">
      <c r="B15" s="11" t="n"/>
      <c r="C15" s="11" t="n"/>
      <c r="E15" s="45">
        <f>COUNTIF(Trips[Deal No.],$B$10)</f>
        <v/>
      </c>
      <c r="H15" s="45">
        <f>COUNTIFS(Trips[Deal No.],$B$10,Trips[Status],"DEMURRAGE")&amp;" / "&amp;COUNTIF(Trips[Deal No.],$B$10)</f>
        <v/>
      </c>
      <c r="K15" s="46">
        <f>IFERROR(SUMIF(Trips[Deal No.],$B$10,Trips[Demurrage (USD)])/COUNTIF(Trips[Deal No.],$B$10),0)</f>
        <v/>
      </c>
    </row>
    <row r="16">
      <c r="B16" s="47">
        <f>SUMIF(Trips[Deal No.],$B$10,Trips[Demurrage (USD)])</f>
        <v/>
      </c>
      <c r="C16" s="11" t="n"/>
    </row>
    <row r="17">
      <c r="B17" s="11" t="n"/>
      <c r="C17" s="11" t="n"/>
    </row>
    <row r="19" ht="32" customHeight="1">
      <c r="B19" s="48" t="inlineStr">
        <is>
          <t>Date Loaded</t>
        </is>
      </c>
      <c r="C19" s="48" t="inlineStr">
        <is>
          <t>Truck No.</t>
        </is>
      </c>
      <c r="D19" s="48" t="inlineStr">
        <is>
          <t>Trailer</t>
        </is>
      </c>
      <c r="E19" s="48" t="inlineStr">
        <is>
          <t>Transporter</t>
        </is>
      </c>
      <c r="F19" s="48" t="inlineStr">
        <is>
          <t>Driver</t>
        </is>
      </c>
      <c r="G19" s="48" t="inlineStr">
        <is>
          <t>Arrival</t>
        </is>
      </c>
      <c r="H19" s="48" t="inlineStr">
        <is>
          <t>Offloaded</t>
        </is>
      </c>
      <c r="I19" s="48" t="inlineStr">
        <is>
          <t>Waiting</t>
        </is>
      </c>
      <c r="J19" s="48" t="inlineStr">
        <is>
          <t>Excess</t>
        </is>
      </c>
      <c r="K19" s="48" t="inlineStr">
        <is>
          <t>Demurrage (USD)</t>
        </is>
      </c>
    </row>
    <row r="20">
      <c r="B20" s="49">
        <f>IFERROR(INDEX(Trips[Date Loaded],SMALL(IF(Trips[Deal No.]=$B$10,ROW(Trips[Deal No.])-MIN(ROW(Trips[Deal No.]))+1),1)),"")</f>
        <v/>
      </c>
      <c r="C20" s="50">
        <f>IFERROR(INDEX(Trips[Truck No.],SMALL(IF(Trips[Deal No.]=$B$10,ROW(Trips[Deal No.])-MIN(ROW(Trips[Deal No.]))+1),1)),"")</f>
        <v/>
      </c>
      <c r="D20" s="50">
        <f>IFERROR(INDEX(Trips[Trailer Reg.],SMALL(IF(Trips[Deal No.]=$B$10,ROW(Trips[Deal No.])-MIN(ROW(Trips[Deal No.]))+1),1)),"")</f>
        <v/>
      </c>
      <c r="E20" s="50">
        <f>IFERROR(INDEX(Trips[Transporter],SMALL(IF(Trips[Deal No.]=$B$10,ROW(Trips[Deal No.])-MIN(ROW(Trips[Deal No.]))+1),1)),"")</f>
        <v/>
      </c>
      <c r="F20" s="50">
        <f>IFERROR(INDEX(Trips[Driver],SMALL(IF(Trips[Deal No.]=$B$10,ROW(Trips[Deal No.])-MIN(ROW(Trips[Deal No.]))+1),1)),"")</f>
        <v/>
      </c>
      <c r="G20" s="49">
        <f>IFERROR(INDEX(Trips[Arrival],SMALL(IF(Trips[Deal No.]=$B$10,ROW(Trips[Deal No.])-MIN(ROW(Trips[Deal No.]))+1),1)),"")</f>
        <v/>
      </c>
      <c r="H20" s="49">
        <f>IFERROR(INDEX(Trips[Offloaded],SMALL(IF(Trips[Deal No.]=$B$10,ROW(Trips[Deal No.])-MIN(ROW(Trips[Deal No.]))+1),1)),"")</f>
        <v/>
      </c>
      <c r="I20" s="51">
        <f>IFERROR(INDEX(Trips[Waiting (d)],SMALL(IF(Trips[Deal No.]=$B$10,ROW(Trips[Deal No.])-MIN(ROW(Trips[Deal No.]))+1),1)),"")</f>
        <v/>
      </c>
      <c r="J20" s="51">
        <f>IFERROR(INDEX(Trips[Excess (d)],SMALL(IF(Trips[Deal No.]=$B$10,ROW(Trips[Deal No.])-MIN(ROW(Trips[Deal No.]))+1),1)),"")</f>
        <v/>
      </c>
      <c r="K20" s="52">
        <f>IFERROR(INDEX(Trips[Demurrage (USD)],SMALL(IF(Trips[Deal No.]=$B$10,ROW(Trips[Deal No.])-MIN(ROW(Trips[Deal No.]))+1),1)),"")</f>
        <v/>
      </c>
    </row>
    <row r="21">
      <c r="B21" s="53">
        <f>IFERROR(INDEX(Trips[Date Loaded],SMALL(IF(Trips[Deal No.]=$B$10,ROW(Trips[Deal No.])-MIN(ROW(Trips[Deal No.]))+1),2)),"")</f>
        <v/>
      </c>
      <c r="C21" s="54">
        <f>IFERROR(INDEX(Trips[Truck No.],SMALL(IF(Trips[Deal No.]=$B$10,ROW(Trips[Deal No.])-MIN(ROW(Trips[Deal No.]))+1),2)),"")</f>
        <v/>
      </c>
      <c r="D21" s="54">
        <f>IFERROR(INDEX(Trips[Trailer Reg.],SMALL(IF(Trips[Deal No.]=$B$10,ROW(Trips[Deal No.])-MIN(ROW(Trips[Deal No.]))+1),2)),"")</f>
        <v/>
      </c>
      <c r="E21" s="54">
        <f>IFERROR(INDEX(Trips[Transporter],SMALL(IF(Trips[Deal No.]=$B$10,ROW(Trips[Deal No.])-MIN(ROW(Trips[Deal No.]))+1),2)),"")</f>
        <v/>
      </c>
      <c r="F21" s="54">
        <f>IFERROR(INDEX(Trips[Driver],SMALL(IF(Trips[Deal No.]=$B$10,ROW(Trips[Deal No.])-MIN(ROW(Trips[Deal No.]))+1),2)),"")</f>
        <v/>
      </c>
      <c r="G21" s="53">
        <f>IFERROR(INDEX(Trips[Arrival],SMALL(IF(Trips[Deal No.]=$B$10,ROW(Trips[Deal No.])-MIN(ROW(Trips[Deal No.]))+1),2)),"")</f>
        <v/>
      </c>
      <c r="H21" s="53">
        <f>IFERROR(INDEX(Trips[Offloaded],SMALL(IF(Trips[Deal No.]=$B$10,ROW(Trips[Deal No.])-MIN(ROW(Trips[Deal No.]))+1),2)),"")</f>
        <v/>
      </c>
      <c r="I21" s="55">
        <f>IFERROR(INDEX(Trips[Waiting (d)],SMALL(IF(Trips[Deal No.]=$B$10,ROW(Trips[Deal No.])-MIN(ROW(Trips[Deal No.]))+1),2)),"")</f>
        <v/>
      </c>
      <c r="J21" s="55">
        <f>IFERROR(INDEX(Trips[Excess (d)],SMALL(IF(Trips[Deal No.]=$B$10,ROW(Trips[Deal No.])-MIN(ROW(Trips[Deal No.]))+1),2)),"")</f>
        <v/>
      </c>
      <c r="K21" s="56">
        <f>IFERROR(INDEX(Trips[Demurrage (USD)],SMALL(IF(Trips[Deal No.]=$B$10,ROW(Trips[Deal No.])-MIN(ROW(Trips[Deal No.]))+1),2)),"")</f>
        <v/>
      </c>
    </row>
    <row r="22">
      <c r="B22" s="49">
        <f>IFERROR(INDEX(Trips[Date Loaded],SMALL(IF(Trips[Deal No.]=$B$10,ROW(Trips[Deal No.])-MIN(ROW(Trips[Deal No.]))+1),3)),"")</f>
        <v/>
      </c>
      <c r="C22" s="50">
        <f>IFERROR(INDEX(Trips[Truck No.],SMALL(IF(Trips[Deal No.]=$B$10,ROW(Trips[Deal No.])-MIN(ROW(Trips[Deal No.]))+1),3)),"")</f>
        <v/>
      </c>
      <c r="D22" s="50">
        <f>IFERROR(INDEX(Trips[Trailer Reg.],SMALL(IF(Trips[Deal No.]=$B$10,ROW(Trips[Deal No.])-MIN(ROW(Trips[Deal No.]))+1),3)),"")</f>
        <v/>
      </c>
      <c r="E22" s="50">
        <f>IFERROR(INDEX(Trips[Transporter],SMALL(IF(Trips[Deal No.]=$B$10,ROW(Trips[Deal No.])-MIN(ROW(Trips[Deal No.]))+1),3)),"")</f>
        <v/>
      </c>
      <c r="F22" s="50">
        <f>IFERROR(INDEX(Trips[Driver],SMALL(IF(Trips[Deal No.]=$B$10,ROW(Trips[Deal No.])-MIN(ROW(Trips[Deal No.]))+1),3)),"")</f>
        <v/>
      </c>
      <c r="G22" s="49">
        <f>IFERROR(INDEX(Trips[Arrival],SMALL(IF(Trips[Deal No.]=$B$10,ROW(Trips[Deal No.])-MIN(ROW(Trips[Deal No.]))+1),3)),"")</f>
        <v/>
      </c>
      <c r="H22" s="49">
        <f>IFERROR(INDEX(Trips[Offloaded],SMALL(IF(Trips[Deal No.]=$B$10,ROW(Trips[Deal No.])-MIN(ROW(Trips[Deal No.]))+1),3)),"")</f>
        <v/>
      </c>
      <c r="I22" s="51">
        <f>IFERROR(INDEX(Trips[Waiting (d)],SMALL(IF(Trips[Deal No.]=$B$10,ROW(Trips[Deal No.])-MIN(ROW(Trips[Deal No.]))+1),3)),"")</f>
        <v/>
      </c>
      <c r="J22" s="51">
        <f>IFERROR(INDEX(Trips[Excess (d)],SMALL(IF(Trips[Deal No.]=$B$10,ROW(Trips[Deal No.])-MIN(ROW(Trips[Deal No.]))+1),3)),"")</f>
        <v/>
      </c>
      <c r="K22" s="52">
        <f>IFERROR(INDEX(Trips[Demurrage (USD)],SMALL(IF(Trips[Deal No.]=$B$10,ROW(Trips[Deal No.])-MIN(ROW(Trips[Deal No.]))+1),3)),"")</f>
        <v/>
      </c>
    </row>
    <row r="23">
      <c r="B23" s="53">
        <f>IFERROR(INDEX(Trips[Date Loaded],SMALL(IF(Trips[Deal No.]=$B$10,ROW(Trips[Deal No.])-MIN(ROW(Trips[Deal No.]))+1),4)),"")</f>
        <v/>
      </c>
      <c r="C23" s="54">
        <f>IFERROR(INDEX(Trips[Truck No.],SMALL(IF(Trips[Deal No.]=$B$10,ROW(Trips[Deal No.])-MIN(ROW(Trips[Deal No.]))+1),4)),"")</f>
        <v/>
      </c>
      <c r="D23" s="54">
        <f>IFERROR(INDEX(Trips[Trailer Reg.],SMALL(IF(Trips[Deal No.]=$B$10,ROW(Trips[Deal No.])-MIN(ROW(Trips[Deal No.]))+1),4)),"")</f>
        <v/>
      </c>
      <c r="E23" s="54">
        <f>IFERROR(INDEX(Trips[Transporter],SMALL(IF(Trips[Deal No.]=$B$10,ROW(Trips[Deal No.])-MIN(ROW(Trips[Deal No.]))+1),4)),"")</f>
        <v/>
      </c>
      <c r="F23" s="54">
        <f>IFERROR(INDEX(Trips[Driver],SMALL(IF(Trips[Deal No.]=$B$10,ROW(Trips[Deal No.])-MIN(ROW(Trips[Deal No.]))+1),4)),"")</f>
        <v/>
      </c>
      <c r="G23" s="53">
        <f>IFERROR(INDEX(Trips[Arrival],SMALL(IF(Trips[Deal No.]=$B$10,ROW(Trips[Deal No.])-MIN(ROW(Trips[Deal No.]))+1),4)),"")</f>
        <v/>
      </c>
      <c r="H23" s="53">
        <f>IFERROR(INDEX(Trips[Offloaded],SMALL(IF(Trips[Deal No.]=$B$10,ROW(Trips[Deal No.])-MIN(ROW(Trips[Deal No.]))+1),4)),"")</f>
        <v/>
      </c>
      <c r="I23" s="55">
        <f>IFERROR(INDEX(Trips[Waiting (d)],SMALL(IF(Trips[Deal No.]=$B$10,ROW(Trips[Deal No.])-MIN(ROW(Trips[Deal No.]))+1),4)),"")</f>
        <v/>
      </c>
      <c r="J23" s="55">
        <f>IFERROR(INDEX(Trips[Excess (d)],SMALL(IF(Trips[Deal No.]=$B$10,ROW(Trips[Deal No.])-MIN(ROW(Trips[Deal No.]))+1),4)),"")</f>
        <v/>
      </c>
      <c r="K23" s="56">
        <f>IFERROR(INDEX(Trips[Demurrage (USD)],SMALL(IF(Trips[Deal No.]=$B$10,ROW(Trips[Deal No.])-MIN(ROW(Trips[Deal No.]))+1),4)),"")</f>
        <v/>
      </c>
    </row>
    <row r="24">
      <c r="B24" s="49">
        <f>IFERROR(INDEX(Trips[Date Loaded],SMALL(IF(Trips[Deal No.]=$B$10,ROW(Trips[Deal No.])-MIN(ROW(Trips[Deal No.]))+1),5)),"")</f>
        <v/>
      </c>
      <c r="C24" s="50">
        <f>IFERROR(INDEX(Trips[Truck No.],SMALL(IF(Trips[Deal No.]=$B$10,ROW(Trips[Deal No.])-MIN(ROW(Trips[Deal No.]))+1),5)),"")</f>
        <v/>
      </c>
      <c r="D24" s="50">
        <f>IFERROR(INDEX(Trips[Trailer Reg.],SMALL(IF(Trips[Deal No.]=$B$10,ROW(Trips[Deal No.])-MIN(ROW(Trips[Deal No.]))+1),5)),"")</f>
        <v/>
      </c>
      <c r="E24" s="50">
        <f>IFERROR(INDEX(Trips[Transporter],SMALL(IF(Trips[Deal No.]=$B$10,ROW(Trips[Deal No.])-MIN(ROW(Trips[Deal No.]))+1),5)),"")</f>
        <v/>
      </c>
      <c r="F24" s="50">
        <f>IFERROR(INDEX(Trips[Driver],SMALL(IF(Trips[Deal No.]=$B$10,ROW(Trips[Deal No.])-MIN(ROW(Trips[Deal No.]))+1),5)),"")</f>
        <v/>
      </c>
      <c r="G24" s="49">
        <f>IFERROR(INDEX(Trips[Arrival],SMALL(IF(Trips[Deal No.]=$B$10,ROW(Trips[Deal No.])-MIN(ROW(Trips[Deal No.]))+1),5)),"")</f>
        <v/>
      </c>
      <c r="H24" s="49">
        <f>IFERROR(INDEX(Trips[Offloaded],SMALL(IF(Trips[Deal No.]=$B$10,ROW(Trips[Deal No.])-MIN(ROW(Trips[Deal No.]))+1),5)),"")</f>
        <v/>
      </c>
      <c r="I24" s="51">
        <f>IFERROR(INDEX(Trips[Waiting (d)],SMALL(IF(Trips[Deal No.]=$B$10,ROW(Trips[Deal No.])-MIN(ROW(Trips[Deal No.]))+1),5)),"")</f>
        <v/>
      </c>
      <c r="J24" s="51">
        <f>IFERROR(INDEX(Trips[Excess (d)],SMALL(IF(Trips[Deal No.]=$B$10,ROW(Trips[Deal No.])-MIN(ROW(Trips[Deal No.]))+1),5)),"")</f>
        <v/>
      </c>
      <c r="K24" s="52">
        <f>IFERROR(INDEX(Trips[Demurrage (USD)],SMALL(IF(Trips[Deal No.]=$B$10,ROW(Trips[Deal No.])-MIN(ROW(Trips[Deal No.]))+1),5)),"")</f>
        <v/>
      </c>
    </row>
    <row r="25">
      <c r="B25" s="53">
        <f>IFERROR(INDEX(Trips[Date Loaded],SMALL(IF(Trips[Deal No.]=$B$10,ROW(Trips[Deal No.])-MIN(ROW(Trips[Deal No.]))+1),6)),"")</f>
        <v/>
      </c>
      <c r="C25" s="54">
        <f>IFERROR(INDEX(Trips[Truck No.],SMALL(IF(Trips[Deal No.]=$B$10,ROW(Trips[Deal No.])-MIN(ROW(Trips[Deal No.]))+1),6)),"")</f>
        <v/>
      </c>
      <c r="D25" s="54">
        <f>IFERROR(INDEX(Trips[Trailer Reg.],SMALL(IF(Trips[Deal No.]=$B$10,ROW(Trips[Deal No.])-MIN(ROW(Trips[Deal No.]))+1),6)),"")</f>
        <v/>
      </c>
      <c r="E25" s="54">
        <f>IFERROR(INDEX(Trips[Transporter],SMALL(IF(Trips[Deal No.]=$B$10,ROW(Trips[Deal No.])-MIN(ROW(Trips[Deal No.]))+1),6)),"")</f>
        <v/>
      </c>
      <c r="F25" s="54">
        <f>IFERROR(INDEX(Trips[Driver],SMALL(IF(Trips[Deal No.]=$B$10,ROW(Trips[Deal No.])-MIN(ROW(Trips[Deal No.]))+1),6)),"")</f>
        <v/>
      </c>
      <c r="G25" s="53">
        <f>IFERROR(INDEX(Trips[Arrival],SMALL(IF(Trips[Deal No.]=$B$10,ROW(Trips[Deal No.])-MIN(ROW(Trips[Deal No.]))+1),6)),"")</f>
        <v/>
      </c>
      <c r="H25" s="53">
        <f>IFERROR(INDEX(Trips[Offloaded],SMALL(IF(Trips[Deal No.]=$B$10,ROW(Trips[Deal No.])-MIN(ROW(Trips[Deal No.]))+1),6)),"")</f>
        <v/>
      </c>
      <c r="I25" s="55">
        <f>IFERROR(INDEX(Trips[Waiting (d)],SMALL(IF(Trips[Deal No.]=$B$10,ROW(Trips[Deal No.])-MIN(ROW(Trips[Deal No.]))+1),6)),"")</f>
        <v/>
      </c>
      <c r="J25" s="55">
        <f>IFERROR(INDEX(Trips[Excess (d)],SMALL(IF(Trips[Deal No.]=$B$10,ROW(Trips[Deal No.])-MIN(ROW(Trips[Deal No.]))+1),6)),"")</f>
        <v/>
      </c>
      <c r="K25" s="56">
        <f>IFERROR(INDEX(Trips[Demurrage (USD)],SMALL(IF(Trips[Deal No.]=$B$10,ROW(Trips[Deal No.])-MIN(ROW(Trips[Deal No.]))+1),6)),"")</f>
        <v/>
      </c>
    </row>
    <row r="26">
      <c r="B26" s="49">
        <f>IFERROR(INDEX(Trips[Date Loaded],SMALL(IF(Trips[Deal No.]=$B$10,ROW(Trips[Deal No.])-MIN(ROW(Trips[Deal No.]))+1),7)),"")</f>
        <v/>
      </c>
      <c r="C26" s="50">
        <f>IFERROR(INDEX(Trips[Truck No.],SMALL(IF(Trips[Deal No.]=$B$10,ROW(Trips[Deal No.])-MIN(ROW(Trips[Deal No.]))+1),7)),"")</f>
        <v/>
      </c>
      <c r="D26" s="50">
        <f>IFERROR(INDEX(Trips[Trailer Reg.],SMALL(IF(Trips[Deal No.]=$B$10,ROW(Trips[Deal No.])-MIN(ROW(Trips[Deal No.]))+1),7)),"")</f>
        <v/>
      </c>
      <c r="E26" s="50">
        <f>IFERROR(INDEX(Trips[Transporter],SMALL(IF(Trips[Deal No.]=$B$10,ROW(Trips[Deal No.])-MIN(ROW(Trips[Deal No.]))+1),7)),"")</f>
        <v/>
      </c>
      <c r="F26" s="50">
        <f>IFERROR(INDEX(Trips[Driver],SMALL(IF(Trips[Deal No.]=$B$10,ROW(Trips[Deal No.])-MIN(ROW(Trips[Deal No.]))+1),7)),"")</f>
        <v/>
      </c>
      <c r="G26" s="49">
        <f>IFERROR(INDEX(Trips[Arrival],SMALL(IF(Trips[Deal No.]=$B$10,ROW(Trips[Deal No.])-MIN(ROW(Trips[Deal No.]))+1),7)),"")</f>
        <v/>
      </c>
      <c r="H26" s="49">
        <f>IFERROR(INDEX(Trips[Offloaded],SMALL(IF(Trips[Deal No.]=$B$10,ROW(Trips[Deal No.])-MIN(ROW(Trips[Deal No.]))+1),7)),"")</f>
        <v/>
      </c>
      <c r="I26" s="51">
        <f>IFERROR(INDEX(Trips[Waiting (d)],SMALL(IF(Trips[Deal No.]=$B$10,ROW(Trips[Deal No.])-MIN(ROW(Trips[Deal No.]))+1),7)),"")</f>
        <v/>
      </c>
      <c r="J26" s="51">
        <f>IFERROR(INDEX(Trips[Excess (d)],SMALL(IF(Trips[Deal No.]=$B$10,ROW(Trips[Deal No.])-MIN(ROW(Trips[Deal No.]))+1),7)),"")</f>
        <v/>
      </c>
      <c r="K26" s="52">
        <f>IFERROR(INDEX(Trips[Demurrage (USD)],SMALL(IF(Trips[Deal No.]=$B$10,ROW(Trips[Deal No.])-MIN(ROW(Trips[Deal No.]))+1),7)),"")</f>
        <v/>
      </c>
    </row>
    <row r="27">
      <c r="B27" s="53">
        <f>IFERROR(INDEX(Trips[Date Loaded],SMALL(IF(Trips[Deal No.]=$B$10,ROW(Trips[Deal No.])-MIN(ROW(Trips[Deal No.]))+1),8)),"")</f>
        <v/>
      </c>
      <c r="C27" s="54">
        <f>IFERROR(INDEX(Trips[Truck No.],SMALL(IF(Trips[Deal No.]=$B$10,ROW(Trips[Deal No.])-MIN(ROW(Trips[Deal No.]))+1),8)),"")</f>
        <v/>
      </c>
      <c r="D27" s="54">
        <f>IFERROR(INDEX(Trips[Trailer Reg.],SMALL(IF(Trips[Deal No.]=$B$10,ROW(Trips[Deal No.])-MIN(ROW(Trips[Deal No.]))+1),8)),"")</f>
        <v/>
      </c>
      <c r="E27" s="54">
        <f>IFERROR(INDEX(Trips[Transporter],SMALL(IF(Trips[Deal No.]=$B$10,ROW(Trips[Deal No.])-MIN(ROW(Trips[Deal No.]))+1),8)),"")</f>
        <v/>
      </c>
      <c r="F27" s="54">
        <f>IFERROR(INDEX(Trips[Driver],SMALL(IF(Trips[Deal No.]=$B$10,ROW(Trips[Deal No.])-MIN(ROW(Trips[Deal No.]))+1),8)),"")</f>
        <v/>
      </c>
      <c r="G27" s="53">
        <f>IFERROR(INDEX(Trips[Arrival],SMALL(IF(Trips[Deal No.]=$B$10,ROW(Trips[Deal No.])-MIN(ROW(Trips[Deal No.]))+1),8)),"")</f>
        <v/>
      </c>
      <c r="H27" s="53">
        <f>IFERROR(INDEX(Trips[Offloaded],SMALL(IF(Trips[Deal No.]=$B$10,ROW(Trips[Deal No.])-MIN(ROW(Trips[Deal No.]))+1),8)),"")</f>
        <v/>
      </c>
      <c r="I27" s="55">
        <f>IFERROR(INDEX(Trips[Waiting (d)],SMALL(IF(Trips[Deal No.]=$B$10,ROW(Trips[Deal No.])-MIN(ROW(Trips[Deal No.]))+1),8)),"")</f>
        <v/>
      </c>
      <c r="J27" s="55">
        <f>IFERROR(INDEX(Trips[Excess (d)],SMALL(IF(Trips[Deal No.]=$B$10,ROW(Trips[Deal No.])-MIN(ROW(Trips[Deal No.]))+1),8)),"")</f>
        <v/>
      </c>
      <c r="K27" s="56">
        <f>IFERROR(INDEX(Trips[Demurrage (USD)],SMALL(IF(Trips[Deal No.]=$B$10,ROW(Trips[Deal No.])-MIN(ROW(Trips[Deal No.]))+1),8)),"")</f>
        <v/>
      </c>
    </row>
    <row r="28">
      <c r="B28" s="49">
        <f>IFERROR(INDEX(Trips[Date Loaded],SMALL(IF(Trips[Deal No.]=$B$10,ROW(Trips[Deal No.])-MIN(ROW(Trips[Deal No.]))+1),9)),"")</f>
        <v/>
      </c>
      <c r="C28" s="50">
        <f>IFERROR(INDEX(Trips[Truck No.],SMALL(IF(Trips[Deal No.]=$B$10,ROW(Trips[Deal No.])-MIN(ROW(Trips[Deal No.]))+1),9)),"")</f>
        <v/>
      </c>
      <c r="D28" s="50">
        <f>IFERROR(INDEX(Trips[Trailer Reg.],SMALL(IF(Trips[Deal No.]=$B$10,ROW(Trips[Deal No.])-MIN(ROW(Trips[Deal No.]))+1),9)),"")</f>
        <v/>
      </c>
      <c r="E28" s="50">
        <f>IFERROR(INDEX(Trips[Transporter],SMALL(IF(Trips[Deal No.]=$B$10,ROW(Trips[Deal No.])-MIN(ROW(Trips[Deal No.]))+1),9)),"")</f>
        <v/>
      </c>
      <c r="F28" s="50">
        <f>IFERROR(INDEX(Trips[Driver],SMALL(IF(Trips[Deal No.]=$B$10,ROW(Trips[Deal No.])-MIN(ROW(Trips[Deal No.]))+1),9)),"")</f>
        <v/>
      </c>
      <c r="G28" s="49">
        <f>IFERROR(INDEX(Trips[Arrival],SMALL(IF(Trips[Deal No.]=$B$10,ROW(Trips[Deal No.])-MIN(ROW(Trips[Deal No.]))+1),9)),"")</f>
        <v/>
      </c>
      <c r="H28" s="49">
        <f>IFERROR(INDEX(Trips[Offloaded],SMALL(IF(Trips[Deal No.]=$B$10,ROW(Trips[Deal No.])-MIN(ROW(Trips[Deal No.]))+1),9)),"")</f>
        <v/>
      </c>
      <c r="I28" s="51">
        <f>IFERROR(INDEX(Trips[Waiting (d)],SMALL(IF(Trips[Deal No.]=$B$10,ROW(Trips[Deal No.])-MIN(ROW(Trips[Deal No.]))+1),9)),"")</f>
        <v/>
      </c>
      <c r="J28" s="51">
        <f>IFERROR(INDEX(Trips[Excess (d)],SMALL(IF(Trips[Deal No.]=$B$10,ROW(Trips[Deal No.])-MIN(ROW(Trips[Deal No.]))+1),9)),"")</f>
        <v/>
      </c>
      <c r="K28" s="52">
        <f>IFERROR(INDEX(Trips[Demurrage (USD)],SMALL(IF(Trips[Deal No.]=$B$10,ROW(Trips[Deal No.])-MIN(ROW(Trips[Deal No.]))+1),9)),"")</f>
        <v/>
      </c>
    </row>
    <row r="29">
      <c r="B29" s="53">
        <f>IFERROR(INDEX(Trips[Date Loaded],SMALL(IF(Trips[Deal No.]=$B$10,ROW(Trips[Deal No.])-MIN(ROW(Trips[Deal No.]))+1),10)),"")</f>
        <v/>
      </c>
      <c r="C29" s="54">
        <f>IFERROR(INDEX(Trips[Truck No.],SMALL(IF(Trips[Deal No.]=$B$10,ROW(Trips[Deal No.])-MIN(ROW(Trips[Deal No.]))+1),10)),"")</f>
        <v/>
      </c>
      <c r="D29" s="54">
        <f>IFERROR(INDEX(Trips[Trailer Reg.],SMALL(IF(Trips[Deal No.]=$B$10,ROW(Trips[Deal No.])-MIN(ROW(Trips[Deal No.]))+1),10)),"")</f>
        <v/>
      </c>
      <c r="E29" s="54">
        <f>IFERROR(INDEX(Trips[Transporter],SMALL(IF(Trips[Deal No.]=$B$10,ROW(Trips[Deal No.])-MIN(ROW(Trips[Deal No.]))+1),10)),"")</f>
        <v/>
      </c>
      <c r="F29" s="54">
        <f>IFERROR(INDEX(Trips[Driver],SMALL(IF(Trips[Deal No.]=$B$10,ROW(Trips[Deal No.])-MIN(ROW(Trips[Deal No.]))+1),10)),"")</f>
        <v/>
      </c>
      <c r="G29" s="53">
        <f>IFERROR(INDEX(Trips[Arrival],SMALL(IF(Trips[Deal No.]=$B$10,ROW(Trips[Deal No.])-MIN(ROW(Trips[Deal No.]))+1),10)),"")</f>
        <v/>
      </c>
      <c r="H29" s="53">
        <f>IFERROR(INDEX(Trips[Offloaded],SMALL(IF(Trips[Deal No.]=$B$10,ROW(Trips[Deal No.])-MIN(ROW(Trips[Deal No.]))+1),10)),"")</f>
        <v/>
      </c>
      <c r="I29" s="55">
        <f>IFERROR(INDEX(Trips[Waiting (d)],SMALL(IF(Trips[Deal No.]=$B$10,ROW(Trips[Deal No.])-MIN(ROW(Trips[Deal No.]))+1),10)),"")</f>
        <v/>
      </c>
      <c r="J29" s="55">
        <f>IFERROR(INDEX(Trips[Excess (d)],SMALL(IF(Trips[Deal No.]=$B$10,ROW(Trips[Deal No.])-MIN(ROW(Trips[Deal No.]))+1),10)),"")</f>
        <v/>
      </c>
      <c r="K29" s="56">
        <f>IFERROR(INDEX(Trips[Demurrage (USD)],SMALL(IF(Trips[Deal No.]=$B$10,ROW(Trips[Deal No.])-MIN(ROW(Trips[Deal No.]))+1),10)),"")</f>
        <v/>
      </c>
    </row>
    <row r="30">
      <c r="B30" s="49">
        <f>IFERROR(INDEX(Trips[Date Loaded],SMALL(IF(Trips[Deal No.]=$B$10,ROW(Trips[Deal No.])-MIN(ROW(Trips[Deal No.]))+1),11)),"")</f>
        <v/>
      </c>
      <c r="C30" s="50">
        <f>IFERROR(INDEX(Trips[Truck No.],SMALL(IF(Trips[Deal No.]=$B$10,ROW(Trips[Deal No.])-MIN(ROW(Trips[Deal No.]))+1),11)),"")</f>
        <v/>
      </c>
      <c r="D30" s="50">
        <f>IFERROR(INDEX(Trips[Trailer Reg.],SMALL(IF(Trips[Deal No.]=$B$10,ROW(Trips[Deal No.])-MIN(ROW(Trips[Deal No.]))+1),11)),"")</f>
        <v/>
      </c>
      <c r="E30" s="50">
        <f>IFERROR(INDEX(Trips[Transporter],SMALL(IF(Trips[Deal No.]=$B$10,ROW(Trips[Deal No.])-MIN(ROW(Trips[Deal No.]))+1),11)),"")</f>
        <v/>
      </c>
      <c r="F30" s="50">
        <f>IFERROR(INDEX(Trips[Driver],SMALL(IF(Trips[Deal No.]=$B$10,ROW(Trips[Deal No.])-MIN(ROW(Trips[Deal No.]))+1),11)),"")</f>
        <v/>
      </c>
      <c r="G30" s="49">
        <f>IFERROR(INDEX(Trips[Arrival],SMALL(IF(Trips[Deal No.]=$B$10,ROW(Trips[Deal No.])-MIN(ROW(Trips[Deal No.]))+1),11)),"")</f>
        <v/>
      </c>
      <c r="H30" s="49">
        <f>IFERROR(INDEX(Trips[Offloaded],SMALL(IF(Trips[Deal No.]=$B$10,ROW(Trips[Deal No.])-MIN(ROW(Trips[Deal No.]))+1),11)),"")</f>
        <v/>
      </c>
      <c r="I30" s="51">
        <f>IFERROR(INDEX(Trips[Waiting (d)],SMALL(IF(Trips[Deal No.]=$B$10,ROW(Trips[Deal No.])-MIN(ROW(Trips[Deal No.]))+1),11)),"")</f>
        <v/>
      </c>
      <c r="J30" s="51">
        <f>IFERROR(INDEX(Trips[Excess (d)],SMALL(IF(Trips[Deal No.]=$B$10,ROW(Trips[Deal No.])-MIN(ROW(Trips[Deal No.]))+1),11)),"")</f>
        <v/>
      </c>
      <c r="K30" s="52">
        <f>IFERROR(INDEX(Trips[Demurrage (USD)],SMALL(IF(Trips[Deal No.]=$B$10,ROW(Trips[Deal No.])-MIN(ROW(Trips[Deal No.]))+1),11)),"")</f>
        <v/>
      </c>
    </row>
    <row r="31">
      <c r="B31" s="53">
        <f>IFERROR(INDEX(Trips[Date Loaded],SMALL(IF(Trips[Deal No.]=$B$10,ROW(Trips[Deal No.])-MIN(ROW(Trips[Deal No.]))+1),12)),"")</f>
        <v/>
      </c>
      <c r="C31" s="54">
        <f>IFERROR(INDEX(Trips[Truck No.],SMALL(IF(Trips[Deal No.]=$B$10,ROW(Trips[Deal No.])-MIN(ROW(Trips[Deal No.]))+1),12)),"")</f>
        <v/>
      </c>
      <c r="D31" s="54">
        <f>IFERROR(INDEX(Trips[Trailer Reg.],SMALL(IF(Trips[Deal No.]=$B$10,ROW(Trips[Deal No.])-MIN(ROW(Trips[Deal No.]))+1),12)),"")</f>
        <v/>
      </c>
      <c r="E31" s="54">
        <f>IFERROR(INDEX(Trips[Transporter],SMALL(IF(Trips[Deal No.]=$B$10,ROW(Trips[Deal No.])-MIN(ROW(Trips[Deal No.]))+1),12)),"")</f>
        <v/>
      </c>
      <c r="F31" s="54">
        <f>IFERROR(INDEX(Trips[Driver],SMALL(IF(Trips[Deal No.]=$B$10,ROW(Trips[Deal No.])-MIN(ROW(Trips[Deal No.]))+1),12)),"")</f>
        <v/>
      </c>
      <c r="G31" s="53">
        <f>IFERROR(INDEX(Trips[Arrival],SMALL(IF(Trips[Deal No.]=$B$10,ROW(Trips[Deal No.])-MIN(ROW(Trips[Deal No.]))+1),12)),"")</f>
        <v/>
      </c>
      <c r="H31" s="53">
        <f>IFERROR(INDEX(Trips[Offloaded],SMALL(IF(Trips[Deal No.]=$B$10,ROW(Trips[Deal No.])-MIN(ROW(Trips[Deal No.]))+1),12)),"")</f>
        <v/>
      </c>
      <c r="I31" s="55">
        <f>IFERROR(INDEX(Trips[Waiting (d)],SMALL(IF(Trips[Deal No.]=$B$10,ROW(Trips[Deal No.])-MIN(ROW(Trips[Deal No.]))+1),12)),"")</f>
        <v/>
      </c>
      <c r="J31" s="55">
        <f>IFERROR(INDEX(Trips[Excess (d)],SMALL(IF(Trips[Deal No.]=$B$10,ROW(Trips[Deal No.])-MIN(ROW(Trips[Deal No.]))+1),12)),"")</f>
        <v/>
      </c>
      <c r="K31" s="56">
        <f>IFERROR(INDEX(Trips[Demurrage (USD)],SMALL(IF(Trips[Deal No.]=$B$10,ROW(Trips[Deal No.])-MIN(ROW(Trips[Deal No.]))+1),12)),"")</f>
        <v/>
      </c>
    </row>
    <row r="32">
      <c r="B32" s="49">
        <f>IFERROR(INDEX(Trips[Date Loaded],SMALL(IF(Trips[Deal No.]=$B$10,ROW(Trips[Deal No.])-MIN(ROW(Trips[Deal No.]))+1),13)),"")</f>
        <v/>
      </c>
      <c r="C32" s="50">
        <f>IFERROR(INDEX(Trips[Truck No.],SMALL(IF(Trips[Deal No.]=$B$10,ROW(Trips[Deal No.])-MIN(ROW(Trips[Deal No.]))+1),13)),"")</f>
        <v/>
      </c>
      <c r="D32" s="50">
        <f>IFERROR(INDEX(Trips[Trailer Reg.],SMALL(IF(Trips[Deal No.]=$B$10,ROW(Trips[Deal No.])-MIN(ROW(Trips[Deal No.]))+1),13)),"")</f>
        <v/>
      </c>
      <c r="E32" s="50">
        <f>IFERROR(INDEX(Trips[Transporter],SMALL(IF(Trips[Deal No.]=$B$10,ROW(Trips[Deal No.])-MIN(ROW(Trips[Deal No.]))+1),13)),"")</f>
        <v/>
      </c>
      <c r="F32" s="50">
        <f>IFERROR(INDEX(Trips[Driver],SMALL(IF(Trips[Deal No.]=$B$10,ROW(Trips[Deal No.])-MIN(ROW(Trips[Deal No.]))+1),13)),"")</f>
        <v/>
      </c>
      <c r="G32" s="49">
        <f>IFERROR(INDEX(Trips[Arrival],SMALL(IF(Trips[Deal No.]=$B$10,ROW(Trips[Deal No.])-MIN(ROW(Trips[Deal No.]))+1),13)),"")</f>
        <v/>
      </c>
      <c r="H32" s="49">
        <f>IFERROR(INDEX(Trips[Offloaded],SMALL(IF(Trips[Deal No.]=$B$10,ROW(Trips[Deal No.])-MIN(ROW(Trips[Deal No.]))+1),13)),"")</f>
        <v/>
      </c>
      <c r="I32" s="51">
        <f>IFERROR(INDEX(Trips[Waiting (d)],SMALL(IF(Trips[Deal No.]=$B$10,ROW(Trips[Deal No.])-MIN(ROW(Trips[Deal No.]))+1),13)),"")</f>
        <v/>
      </c>
      <c r="J32" s="51">
        <f>IFERROR(INDEX(Trips[Excess (d)],SMALL(IF(Trips[Deal No.]=$B$10,ROW(Trips[Deal No.])-MIN(ROW(Trips[Deal No.]))+1),13)),"")</f>
        <v/>
      </c>
      <c r="K32" s="52">
        <f>IFERROR(INDEX(Trips[Demurrage (USD)],SMALL(IF(Trips[Deal No.]=$B$10,ROW(Trips[Deal No.])-MIN(ROW(Trips[Deal No.]))+1),13)),"")</f>
        <v/>
      </c>
    </row>
    <row r="33">
      <c r="B33" s="53">
        <f>IFERROR(INDEX(Trips[Date Loaded],SMALL(IF(Trips[Deal No.]=$B$10,ROW(Trips[Deal No.])-MIN(ROW(Trips[Deal No.]))+1),14)),"")</f>
        <v/>
      </c>
      <c r="C33" s="54">
        <f>IFERROR(INDEX(Trips[Truck No.],SMALL(IF(Trips[Deal No.]=$B$10,ROW(Trips[Deal No.])-MIN(ROW(Trips[Deal No.]))+1),14)),"")</f>
        <v/>
      </c>
      <c r="D33" s="54">
        <f>IFERROR(INDEX(Trips[Trailer Reg.],SMALL(IF(Trips[Deal No.]=$B$10,ROW(Trips[Deal No.])-MIN(ROW(Trips[Deal No.]))+1),14)),"")</f>
        <v/>
      </c>
      <c r="E33" s="54">
        <f>IFERROR(INDEX(Trips[Transporter],SMALL(IF(Trips[Deal No.]=$B$10,ROW(Trips[Deal No.])-MIN(ROW(Trips[Deal No.]))+1),14)),"")</f>
        <v/>
      </c>
      <c r="F33" s="54">
        <f>IFERROR(INDEX(Trips[Driver],SMALL(IF(Trips[Deal No.]=$B$10,ROW(Trips[Deal No.])-MIN(ROW(Trips[Deal No.]))+1),14)),"")</f>
        <v/>
      </c>
      <c r="G33" s="53">
        <f>IFERROR(INDEX(Trips[Arrival],SMALL(IF(Trips[Deal No.]=$B$10,ROW(Trips[Deal No.])-MIN(ROW(Trips[Deal No.]))+1),14)),"")</f>
        <v/>
      </c>
      <c r="H33" s="53">
        <f>IFERROR(INDEX(Trips[Offloaded],SMALL(IF(Trips[Deal No.]=$B$10,ROW(Trips[Deal No.])-MIN(ROW(Trips[Deal No.]))+1),14)),"")</f>
        <v/>
      </c>
      <c r="I33" s="55">
        <f>IFERROR(INDEX(Trips[Waiting (d)],SMALL(IF(Trips[Deal No.]=$B$10,ROW(Trips[Deal No.])-MIN(ROW(Trips[Deal No.]))+1),14)),"")</f>
        <v/>
      </c>
      <c r="J33" s="55">
        <f>IFERROR(INDEX(Trips[Excess (d)],SMALL(IF(Trips[Deal No.]=$B$10,ROW(Trips[Deal No.])-MIN(ROW(Trips[Deal No.]))+1),14)),"")</f>
        <v/>
      </c>
      <c r="K33" s="56">
        <f>IFERROR(INDEX(Trips[Demurrage (USD)],SMALL(IF(Trips[Deal No.]=$B$10,ROW(Trips[Deal No.])-MIN(ROW(Trips[Deal No.]))+1),14)),"")</f>
        <v/>
      </c>
    </row>
    <row r="34">
      <c r="B34" s="49">
        <f>IFERROR(INDEX(Trips[Date Loaded],SMALL(IF(Trips[Deal No.]=$B$10,ROW(Trips[Deal No.])-MIN(ROW(Trips[Deal No.]))+1),15)),"")</f>
        <v/>
      </c>
      <c r="C34" s="50">
        <f>IFERROR(INDEX(Trips[Truck No.],SMALL(IF(Trips[Deal No.]=$B$10,ROW(Trips[Deal No.])-MIN(ROW(Trips[Deal No.]))+1),15)),"")</f>
        <v/>
      </c>
      <c r="D34" s="50">
        <f>IFERROR(INDEX(Trips[Trailer Reg.],SMALL(IF(Trips[Deal No.]=$B$10,ROW(Trips[Deal No.])-MIN(ROW(Trips[Deal No.]))+1),15)),"")</f>
        <v/>
      </c>
      <c r="E34" s="50">
        <f>IFERROR(INDEX(Trips[Transporter],SMALL(IF(Trips[Deal No.]=$B$10,ROW(Trips[Deal No.])-MIN(ROW(Trips[Deal No.]))+1),15)),"")</f>
        <v/>
      </c>
      <c r="F34" s="50">
        <f>IFERROR(INDEX(Trips[Driver],SMALL(IF(Trips[Deal No.]=$B$10,ROW(Trips[Deal No.])-MIN(ROW(Trips[Deal No.]))+1),15)),"")</f>
        <v/>
      </c>
      <c r="G34" s="49">
        <f>IFERROR(INDEX(Trips[Arrival],SMALL(IF(Trips[Deal No.]=$B$10,ROW(Trips[Deal No.])-MIN(ROW(Trips[Deal No.]))+1),15)),"")</f>
        <v/>
      </c>
      <c r="H34" s="49">
        <f>IFERROR(INDEX(Trips[Offloaded],SMALL(IF(Trips[Deal No.]=$B$10,ROW(Trips[Deal No.])-MIN(ROW(Trips[Deal No.]))+1),15)),"")</f>
        <v/>
      </c>
      <c r="I34" s="51">
        <f>IFERROR(INDEX(Trips[Waiting (d)],SMALL(IF(Trips[Deal No.]=$B$10,ROW(Trips[Deal No.])-MIN(ROW(Trips[Deal No.]))+1),15)),"")</f>
        <v/>
      </c>
      <c r="J34" s="51">
        <f>IFERROR(INDEX(Trips[Excess (d)],SMALL(IF(Trips[Deal No.]=$B$10,ROW(Trips[Deal No.])-MIN(ROW(Trips[Deal No.]))+1),15)),"")</f>
        <v/>
      </c>
      <c r="K34" s="52">
        <f>IFERROR(INDEX(Trips[Demurrage (USD)],SMALL(IF(Trips[Deal No.]=$B$10,ROW(Trips[Deal No.])-MIN(ROW(Trips[Deal No.]))+1),15)),"")</f>
        <v/>
      </c>
    </row>
    <row r="35">
      <c r="B35" s="53">
        <f>IFERROR(INDEX(Trips[Date Loaded],SMALL(IF(Trips[Deal No.]=$B$10,ROW(Trips[Deal No.])-MIN(ROW(Trips[Deal No.]))+1),16)),"")</f>
        <v/>
      </c>
      <c r="C35" s="54">
        <f>IFERROR(INDEX(Trips[Truck No.],SMALL(IF(Trips[Deal No.]=$B$10,ROW(Trips[Deal No.])-MIN(ROW(Trips[Deal No.]))+1),16)),"")</f>
        <v/>
      </c>
      <c r="D35" s="54">
        <f>IFERROR(INDEX(Trips[Trailer Reg.],SMALL(IF(Trips[Deal No.]=$B$10,ROW(Trips[Deal No.])-MIN(ROW(Trips[Deal No.]))+1),16)),"")</f>
        <v/>
      </c>
      <c r="E35" s="54">
        <f>IFERROR(INDEX(Trips[Transporter],SMALL(IF(Trips[Deal No.]=$B$10,ROW(Trips[Deal No.])-MIN(ROW(Trips[Deal No.]))+1),16)),"")</f>
        <v/>
      </c>
      <c r="F35" s="54">
        <f>IFERROR(INDEX(Trips[Driver],SMALL(IF(Trips[Deal No.]=$B$10,ROW(Trips[Deal No.])-MIN(ROW(Trips[Deal No.]))+1),16)),"")</f>
        <v/>
      </c>
      <c r="G35" s="53">
        <f>IFERROR(INDEX(Trips[Arrival],SMALL(IF(Trips[Deal No.]=$B$10,ROW(Trips[Deal No.])-MIN(ROW(Trips[Deal No.]))+1),16)),"")</f>
        <v/>
      </c>
      <c r="H35" s="53">
        <f>IFERROR(INDEX(Trips[Offloaded],SMALL(IF(Trips[Deal No.]=$B$10,ROW(Trips[Deal No.])-MIN(ROW(Trips[Deal No.]))+1),16)),"")</f>
        <v/>
      </c>
      <c r="I35" s="55">
        <f>IFERROR(INDEX(Trips[Waiting (d)],SMALL(IF(Trips[Deal No.]=$B$10,ROW(Trips[Deal No.])-MIN(ROW(Trips[Deal No.]))+1),16)),"")</f>
        <v/>
      </c>
      <c r="J35" s="55">
        <f>IFERROR(INDEX(Trips[Excess (d)],SMALL(IF(Trips[Deal No.]=$B$10,ROW(Trips[Deal No.])-MIN(ROW(Trips[Deal No.]))+1),16)),"")</f>
        <v/>
      </c>
      <c r="K35" s="56">
        <f>IFERROR(INDEX(Trips[Demurrage (USD)],SMALL(IF(Trips[Deal No.]=$B$10,ROW(Trips[Deal No.])-MIN(ROW(Trips[Deal No.]))+1),16)),"")</f>
        <v/>
      </c>
    </row>
    <row r="36">
      <c r="B36" s="49">
        <f>IFERROR(INDEX(Trips[Date Loaded],SMALL(IF(Trips[Deal No.]=$B$10,ROW(Trips[Deal No.])-MIN(ROW(Trips[Deal No.]))+1),17)),"")</f>
        <v/>
      </c>
      <c r="C36" s="50">
        <f>IFERROR(INDEX(Trips[Truck No.],SMALL(IF(Trips[Deal No.]=$B$10,ROW(Trips[Deal No.])-MIN(ROW(Trips[Deal No.]))+1),17)),"")</f>
        <v/>
      </c>
      <c r="D36" s="50">
        <f>IFERROR(INDEX(Trips[Trailer Reg.],SMALL(IF(Trips[Deal No.]=$B$10,ROW(Trips[Deal No.])-MIN(ROW(Trips[Deal No.]))+1),17)),"")</f>
        <v/>
      </c>
      <c r="E36" s="50">
        <f>IFERROR(INDEX(Trips[Transporter],SMALL(IF(Trips[Deal No.]=$B$10,ROW(Trips[Deal No.])-MIN(ROW(Trips[Deal No.]))+1),17)),"")</f>
        <v/>
      </c>
      <c r="F36" s="50">
        <f>IFERROR(INDEX(Trips[Driver],SMALL(IF(Trips[Deal No.]=$B$10,ROW(Trips[Deal No.])-MIN(ROW(Trips[Deal No.]))+1),17)),"")</f>
        <v/>
      </c>
      <c r="G36" s="49">
        <f>IFERROR(INDEX(Trips[Arrival],SMALL(IF(Trips[Deal No.]=$B$10,ROW(Trips[Deal No.])-MIN(ROW(Trips[Deal No.]))+1),17)),"")</f>
        <v/>
      </c>
      <c r="H36" s="49">
        <f>IFERROR(INDEX(Trips[Offloaded],SMALL(IF(Trips[Deal No.]=$B$10,ROW(Trips[Deal No.])-MIN(ROW(Trips[Deal No.]))+1),17)),"")</f>
        <v/>
      </c>
      <c r="I36" s="51">
        <f>IFERROR(INDEX(Trips[Waiting (d)],SMALL(IF(Trips[Deal No.]=$B$10,ROW(Trips[Deal No.])-MIN(ROW(Trips[Deal No.]))+1),17)),"")</f>
        <v/>
      </c>
      <c r="J36" s="51">
        <f>IFERROR(INDEX(Trips[Excess (d)],SMALL(IF(Trips[Deal No.]=$B$10,ROW(Trips[Deal No.])-MIN(ROW(Trips[Deal No.]))+1),17)),"")</f>
        <v/>
      </c>
      <c r="K36" s="52">
        <f>IFERROR(INDEX(Trips[Demurrage (USD)],SMALL(IF(Trips[Deal No.]=$B$10,ROW(Trips[Deal No.])-MIN(ROW(Trips[Deal No.]))+1),17)),"")</f>
        <v/>
      </c>
    </row>
    <row r="37">
      <c r="B37" s="53">
        <f>IFERROR(INDEX(Trips[Date Loaded],SMALL(IF(Trips[Deal No.]=$B$10,ROW(Trips[Deal No.])-MIN(ROW(Trips[Deal No.]))+1),18)),"")</f>
        <v/>
      </c>
      <c r="C37" s="54">
        <f>IFERROR(INDEX(Trips[Truck No.],SMALL(IF(Trips[Deal No.]=$B$10,ROW(Trips[Deal No.])-MIN(ROW(Trips[Deal No.]))+1),18)),"")</f>
        <v/>
      </c>
      <c r="D37" s="54">
        <f>IFERROR(INDEX(Trips[Trailer Reg.],SMALL(IF(Trips[Deal No.]=$B$10,ROW(Trips[Deal No.])-MIN(ROW(Trips[Deal No.]))+1),18)),"")</f>
        <v/>
      </c>
      <c r="E37" s="54">
        <f>IFERROR(INDEX(Trips[Transporter],SMALL(IF(Trips[Deal No.]=$B$10,ROW(Trips[Deal No.])-MIN(ROW(Trips[Deal No.]))+1),18)),"")</f>
        <v/>
      </c>
      <c r="F37" s="54">
        <f>IFERROR(INDEX(Trips[Driver],SMALL(IF(Trips[Deal No.]=$B$10,ROW(Trips[Deal No.])-MIN(ROW(Trips[Deal No.]))+1),18)),"")</f>
        <v/>
      </c>
      <c r="G37" s="53">
        <f>IFERROR(INDEX(Trips[Arrival],SMALL(IF(Trips[Deal No.]=$B$10,ROW(Trips[Deal No.])-MIN(ROW(Trips[Deal No.]))+1),18)),"")</f>
        <v/>
      </c>
      <c r="H37" s="53">
        <f>IFERROR(INDEX(Trips[Offloaded],SMALL(IF(Trips[Deal No.]=$B$10,ROW(Trips[Deal No.])-MIN(ROW(Trips[Deal No.]))+1),18)),"")</f>
        <v/>
      </c>
      <c r="I37" s="55">
        <f>IFERROR(INDEX(Trips[Waiting (d)],SMALL(IF(Trips[Deal No.]=$B$10,ROW(Trips[Deal No.])-MIN(ROW(Trips[Deal No.]))+1),18)),"")</f>
        <v/>
      </c>
      <c r="J37" s="55">
        <f>IFERROR(INDEX(Trips[Excess (d)],SMALL(IF(Trips[Deal No.]=$B$10,ROW(Trips[Deal No.])-MIN(ROW(Trips[Deal No.]))+1),18)),"")</f>
        <v/>
      </c>
      <c r="K37" s="56">
        <f>IFERROR(INDEX(Trips[Demurrage (USD)],SMALL(IF(Trips[Deal No.]=$B$10,ROW(Trips[Deal No.])-MIN(ROW(Trips[Deal No.]))+1),18)),"")</f>
        <v/>
      </c>
    </row>
    <row r="38">
      <c r="B38" s="49">
        <f>IFERROR(INDEX(Trips[Date Loaded],SMALL(IF(Trips[Deal No.]=$B$10,ROW(Trips[Deal No.])-MIN(ROW(Trips[Deal No.]))+1),19)),"")</f>
        <v/>
      </c>
      <c r="C38" s="50">
        <f>IFERROR(INDEX(Trips[Truck No.],SMALL(IF(Trips[Deal No.]=$B$10,ROW(Trips[Deal No.])-MIN(ROW(Trips[Deal No.]))+1),19)),"")</f>
        <v/>
      </c>
      <c r="D38" s="50">
        <f>IFERROR(INDEX(Trips[Trailer Reg.],SMALL(IF(Trips[Deal No.]=$B$10,ROW(Trips[Deal No.])-MIN(ROW(Trips[Deal No.]))+1),19)),"")</f>
        <v/>
      </c>
      <c r="E38" s="50">
        <f>IFERROR(INDEX(Trips[Transporter],SMALL(IF(Trips[Deal No.]=$B$10,ROW(Trips[Deal No.])-MIN(ROW(Trips[Deal No.]))+1),19)),"")</f>
        <v/>
      </c>
      <c r="F38" s="50">
        <f>IFERROR(INDEX(Trips[Driver],SMALL(IF(Trips[Deal No.]=$B$10,ROW(Trips[Deal No.])-MIN(ROW(Trips[Deal No.]))+1),19)),"")</f>
        <v/>
      </c>
      <c r="G38" s="49">
        <f>IFERROR(INDEX(Trips[Arrival],SMALL(IF(Trips[Deal No.]=$B$10,ROW(Trips[Deal No.])-MIN(ROW(Trips[Deal No.]))+1),19)),"")</f>
        <v/>
      </c>
      <c r="H38" s="49">
        <f>IFERROR(INDEX(Trips[Offloaded],SMALL(IF(Trips[Deal No.]=$B$10,ROW(Trips[Deal No.])-MIN(ROW(Trips[Deal No.]))+1),19)),"")</f>
        <v/>
      </c>
      <c r="I38" s="51">
        <f>IFERROR(INDEX(Trips[Waiting (d)],SMALL(IF(Trips[Deal No.]=$B$10,ROW(Trips[Deal No.])-MIN(ROW(Trips[Deal No.]))+1),19)),"")</f>
        <v/>
      </c>
      <c r="J38" s="51">
        <f>IFERROR(INDEX(Trips[Excess (d)],SMALL(IF(Trips[Deal No.]=$B$10,ROW(Trips[Deal No.])-MIN(ROW(Trips[Deal No.]))+1),19)),"")</f>
        <v/>
      </c>
      <c r="K38" s="52">
        <f>IFERROR(INDEX(Trips[Demurrage (USD)],SMALL(IF(Trips[Deal No.]=$B$10,ROW(Trips[Deal No.])-MIN(ROW(Trips[Deal No.]))+1),19)),"")</f>
        <v/>
      </c>
    </row>
    <row r="39">
      <c r="B39" s="53">
        <f>IFERROR(INDEX(Trips[Date Loaded],SMALL(IF(Trips[Deal No.]=$B$10,ROW(Trips[Deal No.])-MIN(ROW(Trips[Deal No.]))+1),20)),"")</f>
        <v/>
      </c>
      <c r="C39" s="54">
        <f>IFERROR(INDEX(Trips[Truck No.],SMALL(IF(Trips[Deal No.]=$B$10,ROW(Trips[Deal No.])-MIN(ROW(Trips[Deal No.]))+1),20)),"")</f>
        <v/>
      </c>
      <c r="D39" s="54">
        <f>IFERROR(INDEX(Trips[Trailer Reg.],SMALL(IF(Trips[Deal No.]=$B$10,ROW(Trips[Deal No.])-MIN(ROW(Trips[Deal No.]))+1),20)),"")</f>
        <v/>
      </c>
      <c r="E39" s="54">
        <f>IFERROR(INDEX(Trips[Transporter],SMALL(IF(Trips[Deal No.]=$B$10,ROW(Trips[Deal No.])-MIN(ROW(Trips[Deal No.]))+1),20)),"")</f>
        <v/>
      </c>
      <c r="F39" s="54">
        <f>IFERROR(INDEX(Trips[Driver],SMALL(IF(Trips[Deal No.]=$B$10,ROW(Trips[Deal No.])-MIN(ROW(Trips[Deal No.]))+1),20)),"")</f>
        <v/>
      </c>
      <c r="G39" s="53">
        <f>IFERROR(INDEX(Trips[Arrival],SMALL(IF(Trips[Deal No.]=$B$10,ROW(Trips[Deal No.])-MIN(ROW(Trips[Deal No.]))+1),20)),"")</f>
        <v/>
      </c>
      <c r="H39" s="53">
        <f>IFERROR(INDEX(Trips[Offloaded],SMALL(IF(Trips[Deal No.]=$B$10,ROW(Trips[Deal No.])-MIN(ROW(Trips[Deal No.]))+1),20)),"")</f>
        <v/>
      </c>
      <c r="I39" s="55">
        <f>IFERROR(INDEX(Trips[Waiting (d)],SMALL(IF(Trips[Deal No.]=$B$10,ROW(Trips[Deal No.])-MIN(ROW(Trips[Deal No.]))+1),20)),"")</f>
        <v/>
      </c>
      <c r="J39" s="55">
        <f>IFERROR(INDEX(Trips[Excess (d)],SMALL(IF(Trips[Deal No.]=$B$10,ROW(Trips[Deal No.])-MIN(ROW(Trips[Deal No.]))+1),20)),"")</f>
        <v/>
      </c>
      <c r="K39" s="56">
        <f>IFERROR(INDEX(Trips[Demurrage (USD)],SMALL(IF(Trips[Deal No.]=$B$10,ROW(Trips[Deal No.])-MIN(ROW(Trips[Deal No.]))+1),20)),"")</f>
        <v/>
      </c>
    </row>
    <row r="40">
      <c r="B40" s="49">
        <f>IFERROR(INDEX(Trips[Date Loaded],SMALL(IF(Trips[Deal No.]=$B$10,ROW(Trips[Deal No.])-MIN(ROW(Trips[Deal No.]))+1),21)),"")</f>
        <v/>
      </c>
      <c r="C40" s="50">
        <f>IFERROR(INDEX(Trips[Truck No.],SMALL(IF(Trips[Deal No.]=$B$10,ROW(Trips[Deal No.])-MIN(ROW(Trips[Deal No.]))+1),21)),"")</f>
        <v/>
      </c>
      <c r="D40" s="50">
        <f>IFERROR(INDEX(Trips[Trailer Reg.],SMALL(IF(Trips[Deal No.]=$B$10,ROW(Trips[Deal No.])-MIN(ROW(Trips[Deal No.]))+1),21)),"")</f>
        <v/>
      </c>
      <c r="E40" s="50">
        <f>IFERROR(INDEX(Trips[Transporter],SMALL(IF(Trips[Deal No.]=$B$10,ROW(Trips[Deal No.])-MIN(ROW(Trips[Deal No.]))+1),21)),"")</f>
        <v/>
      </c>
      <c r="F40" s="50">
        <f>IFERROR(INDEX(Trips[Driver],SMALL(IF(Trips[Deal No.]=$B$10,ROW(Trips[Deal No.])-MIN(ROW(Trips[Deal No.]))+1),21)),"")</f>
        <v/>
      </c>
      <c r="G40" s="49">
        <f>IFERROR(INDEX(Trips[Arrival],SMALL(IF(Trips[Deal No.]=$B$10,ROW(Trips[Deal No.])-MIN(ROW(Trips[Deal No.]))+1),21)),"")</f>
        <v/>
      </c>
      <c r="H40" s="49">
        <f>IFERROR(INDEX(Trips[Offloaded],SMALL(IF(Trips[Deal No.]=$B$10,ROW(Trips[Deal No.])-MIN(ROW(Trips[Deal No.]))+1),21)),"")</f>
        <v/>
      </c>
      <c r="I40" s="51">
        <f>IFERROR(INDEX(Trips[Waiting (d)],SMALL(IF(Trips[Deal No.]=$B$10,ROW(Trips[Deal No.])-MIN(ROW(Trips[Deal No.]))+1),21)),"")</f>
        <v/>
      </c>
      <c r="J40" s="51">
        <f>IFERROR(INDEX(Trips[Excess (d)],SMALL(IF(Trips[Deal No.]=$B$10,ROW(Trips[Deal No.])-MIN(ROW(Trips[Deal No.]))+1),21)),"")</f>
        <v/>
      </c>
      <c r="K40" s="52">
        <f>IFERROR(INDEX(Trips[Demurrage (USD)],SMALL(IF(Trips[Deal No.]=$B$10,ROW(Trips[Deal No.])-MIN(ROW(Trips[Deal No.]))+1),21)),"")</f>
        <v/>
      </c>
    </row>
    <row r="41">
      <c r="B41" s="53">
        <f>IFERROR(INDEX(Trips[Date Loaded],SMALL(IF(Trips[Deal No.]=$B$10,ROW(Trips[Deal No.])-MIN(ROW(Trips[Deal No.]))+1),22)),"")</f>
        <v/>
      </c>
      <c r="C41" s="54">
        <f>IFERROR(INDEX(Trips[Truck No.],SMALL(IF(Trips[Deal No.]=$B$10,ROW(Trips[Deal No.])-MIN(ROW(Trips[Deal No.]))+1),22)),"")</f>
        <v/>
      </c>
      <c r="D41" s="54">
        <f>IFERROR(INDEX(Trips[Trailer Reg.],SMALL(IF(Trips[Deal No.]=$B$10,ROW(Trips[Deal No.])-MIN(ROW(Trips[Deal No.]))+1),22)),"")</f>
        <v/>
      </c>
      <c r="E41" s="54">
        <f>IFERROR(INDEX(Trips[Transporter],SMALL(IF(Trips[Deal No.]=$B$10,ROW(Trips[Deal No.])-MIN(ROW(Trips[Deal No.]))+1),22)),"")</f>
        <v/>
      </c>
      <c r="F41" s="54">
        <f>IFERROR(INDEX(Trips[Driver],SMALL(IF(Trips[Deal No.]=$B$10,ROW(Trips[Deal No.])-MIN(ROW(Trips[Deal No.]))+1),22)),"")</f>
        <v/>
      </c>
      <c r="G41" s="53">
        <f>IFERROR(INDEX(Trips[Arrival],SMALL(IF(Trips[Deal No.]=$B$10,ROW(Trips[Deal No.])-MIN(ROW(Trips[Deal No.]))+1),22)),"")</f>
        <v/>
      </c>
      <c r="H41" s="53">
        <f>IFERROR(INDEX(Trips[Offloaded],SMALL(IF(Trips[Deal No.]=$B$10,ROW(Trips[Deal No.])-MIN(ROW(Trips[Deal No.]))+1),22)),"")</f>
        <v/>
      </c>
      <c r="I41" s="55">
        <f>IFERROR(INDEX(Trips[Waiting (d)],SMALL(IF(Trips[Deal No.]=$B$10,ROW(Trips[Deal No.])-MIN(ROW(Trips[Deal No.]))+1),22)),"")</f>
        <v/>
      </c>
      <c r="J41" s="55">
        <f>IFERROR(INDEX(Trips[Excess (d)],SMALL(IF(Trips[Deal No.]=$B$10,ROW(Trips[Deal No.])-MIN(ROW(Trips[Deal No.]))+1),22)),"")</f>
        <v/>
      </c>
      <c r="K41" s="56">
        <f>IFERROR(INDEX(Trips[Demurrage (USD)],SMALL(IF(Trips[Deal No.]=$B$10,ROW(Trips[Deal No.])-MIN(ROW(Trips[Deal No.]))+1),22)),"")</f>
        <v/>
      </c>
    </row>
    <row r="42">
      <c r="B42" s="49">
        <f>IFERROR(INDEX(Trips[Date Loaded],SMALL(IF(Trips[Deal No.]=$B$10,ROW(Trips[Deal No.])-MIN(ROW(Trips[Deal No.]))+1),23)),"")</f>
        <v/>
      </c>
      <c r="C42" s="50">
        <f>IFERROR(INDEX(Trips[Truck No.],SMALL(IF(Trips[Deal No.]=$B$10,ROW(Trips[Deal No.])-MIN(ROW(Trips[Deal No.]))+1),23)),"")</f>
        <v/>
      </c>
      <c r="D42" s="50">
        <f>IFERROR(INDEX(Trips[Trailer Reg.],SMALL(IF(Trips[Deal No.]=$B$10,ROW(Trips[Deal No.])-MIN(ROW(Trips[Deal No.]))+1),23)),"")</f>
        <v/>
      </c>
      <c r="E42" s="50">
        <f>IFERROR(INDEX(Trips[Transporter],SMALL(IF(Trips[Deal No.]=$B$10,ROW(Trips[Deal No.])-MIN(ROW(Trips[Deal No.]))+1),23)),"")</f>
        <v/>
      </c>
      <c r="F42" s="50">
        <f>IFERROR(INDEX(Trips[Driver],SMALL(IF(Trips[Deal No.]=$B$10,ROW(Trips[Deal No.])-MIN(ROW(Trips[Deal No.]))+1),23)),"")</f>
        <v/>
      </c>
      <c r="G42" s="49">
        <f>IFERROR(INDEX(Trips[Arrival],SMALL(IF(Trips[Deal No.]=$B$10,ROW(Trips[Deal No.])-MIN(ROW(Trips[Deal No.]))+1),23)),"")</f>
        <v/>
      </c>
      <c r="H42" s="49">
        <f>IFERROR(INDEX(Trips[Offloaded],SMALL(IF(Trips[Deal No.]=$B$10,ROW(Trips[Deal No.])-MIN(ROW(Trips[Deal No.]))+1),23)),"")</f>
        <v/>
      </c>
      <c r="I42" s="51">
        <f>IFERROR(INDEX(Trips[Waiting (d)],SMALL(IF(Trips[Deal No.]=$B$10,ROW(Trips[Deal No.])-MIN(ROW(Trips[Deal No.]))+1),23)),"")</f>
        <v/>
      </c>
      <c r="J42" s="51">
        <f>IFERROR(INDEX(Trips[Excess (d)],SMALL(IF(Trips[Deal No.]=$B$10,ROW(Trips[Deal No.])-MIN(ROW(Trips[Deal No.]))+1),23)),"")</f>
        <v/>
      </c>
      <c r="K42" s="52">
        <f>IFERROR(INDEX(Trips[Demurrage (USD)],SMALL(IF(Trips[Deal No.]=$B$10,ROW(Trips[Deal No.])-MIN(ROW(Trips[Deal No.]))+1),23)),"")</f>
        <v/>
      </c>
    </row>
    <row r="43">
      <c r="B43" s="53">
        <f>IFERROR(INDEX(Trips[Date Loaded],SMALL(IF(Trips[Deal No.]=$B$10,ROW(Trips[Deal No.])-MIN(ROW(Trips[Deal No.]))+1),24)),"")</f>
        <v/>
      </c>
      <c r="C43" s="54">
        <f>IFERROR(INDEX(Trips[Truck No.],SMALL(IF(Trips[Deal No.]=$B$10,ROW(Trips[Deal No.])-MIN(ROW(Trips[Deal No.]))+1),24)),"")</f>
        <v/>
      </c>
      <c r="D43" s="54">
        <f>IFERROR(INDEX(Trips[Trailer Reg.],SMALL(IF(Trips[Deal No.]=$B$10,ROW(Trips[Deal No.])-MIN(ROW(Trips[Deal No.]))+1),24)),"")</f>
        <v/>
      </c>
      <c r="E43" s="54">
        <f>IFERROR(INDEX(Trips[Transporter],SMALL(IF(Trips[Deal No.]=$B$10,ROW(Trips[Deal No.])-MIN(ROW(Trips[Deal No.]))+1),24)),"")</f>
        <v/>
      </c>
      <c r="F43" s="54">
        <f>IFERROR(INDEX(Trips[Driver],SMALL(IF(Trips[Deal No.]=$B$10,ROW(Trips[Deal No.])-MIN(ROW(Trips[Deal No.]))+1),24)),"")</f>
        <v/>
      </c>
      <c r="G43" s="53">
        <f>IFERROR(INDEX(Trips[Arrival],SMALL(IF(Trips[Deal No.]=$B$10,ROW(Trips[Deal No.])-MIN(ROW(Trips[Deal No.]))+1),24)),"")</f>
        <v/>
      </c>
      <c r="H43" s="53">
        <f>IFERROR(INDEX(Trips[Offloaded],SMALL(IF(Trips[Deal No.]=$B$10,ROW(Trips[Deal No.])-MIN(ROW(Trips[Deal No.]))+1),24)),"")</f>
        <v/>
      </c>
      <c r="I43" s="55">
        <f>IFERROR(INDEX(Trips[Waiting (d)],SMALL(IF(Trips[Deal No.]=$B$10,ROW(Trips[Deal No.])-MIN(ROW(Trips[Deal No.]))+1),24)),"")</f>
        <v/>
      </c>
      <c r="J43" s="55">
        <f>IFERROR(INDEX(Trips[Excess (d)],SMALL(IF(Trips[Deal No.]=$B$10,ROW(Trips[Deal No.])-MIN(ROW(Trips[Deal No.]))+1),24)),"")</f>
        <v/>
      </c>
      <c r="K43" s="56">
        <f>IFERROR(INDEX(Trips[Demurrage (USD)],SMALL(IF(Trips[Deal No.]=$B$10,ROW(Trips[Deal No.])-MIN(ROW(Trips[Deal No.]))+1),24)),"")</f>
        <v/>
      </c>
    </row>
    <row r="44">
      <c r="B44" s="49">
        <f>IFERROR(INDEX(Trips[Date Loaded],SMALL(IF(Trips[Deal No.]=$B$10,ROW(Trips[Deal No.])-MIN(ROW(Trips[Deal No.]))+1),25)),"")</f>
        <v/>
      </c>
      <c r="C44" s="50">
        <f>IFERROR(INDEX(Trips[Truck No.],SMALL(IF(Trips[Deal No.]=$B$10,ROW(Trips[Deal No.])-MIN(ROW(Trips[Deal No.]))+1),25)),"")</f>
        <v/>
      </c>
      <c r="D44" s="50">
        <f>IFERROR(INDEX(Trips[Trailer Reg.],SMALL(IF(Trips[Deal No.]=$B$10,ROW(Trips[Deal No.])-MIN(ROW(Trips[Deal No.]))+1),25)),"")</f>
        <v/>
      </c>
      <c r="E44" s="50">
        <f>IFERROR(INDEX(Trips[Transporter],SMALL(IF(Trips[Deal No.]=$B$10,ROW(Trips[Deal No.])-MIN(ROW(Trips[Deal No.]))+1),25)),"")</f>
        <v/>
      </c>
      <c r="F44" s="50">
        <f>IFERROR(INDEX(Trips[Driver],SMALL(IF(Trips[Deal No.]=$B$10,ROW(Trips[Deal No.])-MIN(ROW(Trips[Deal No.]))+1),25)),"")</f>
        <v/>
      </c>
      <c r="G44" s="49">
        <f>IFERROR(INDEX(Trips[Arrival],SMALL(IF(Trips[Deal No.]=$B$10,ROW(Trips[Deal No.])-MIN(ROW(Trips[Deal No.]))+1),25)),"")</f>
        <v/>
      </c>
      <c r="H44" s="49">
        <f>IFERROR(INDEX(Trips[Offloaded],SMALL(IF(Trips[Deal No.]=$B$10,ROW(Trips[Deal No.])-MIN(ROW(Trips[Deal No.]))+1),25)),"")</f>
        <v/>
      </c>
      <c r="I44" s="51">
        <f>IFERROR(INDEX(Trips[Waiting (d)],SMALL(IF(Trips[Deal No.]=$B$10,ROW(Trips[Deal No.])-MIN(ROW(Trips[Deal No.]))+1),25)),"")</f>
        <v/>
      </c>
      <c r="J44" s="51">
        <f>IFERROR(INDEX(Trips[Excess (d)],SMALL(IF(Trips[Deal No.]=$B$10,ROW(Trips[Deal No.])-MIN(ROW(Trips[Deal No.]))+1),25)),"")</f>
        <v/>
      </c>
      <c r="K44" s="52">
        <f>IFERROR(INDEX(Trips[Demurrage (USD)],SMALL(IF(Trips[Deal No.]=$B$10,ROW(Trips[Deal No.])-MIN(ROW(Trips[Deal No.]))+1),25)),"")</f>
        <v/>
      </c>
    </row>
    <row r="45">
      <c r="B45" s="53">
        <f>IFERROR(INDEX(Trips[Date Loaded],SMALL(IF(Trips[Deal No.]=$B$10,ROW(Trips[Deal No.])-MIN(ROW(Trips[Deal No.]))+1),26)),"")</f>
        <v/>
      </c>
      <c r="C45" s="54">
        <f>IFERROR(INDEX(Trips[Truck No.],SMALL(IF(Trips[Deal No.]=$B$10,ROW(Trips[Deal No.])-MIN(ROW(Trips[Deal No.]))+1),26)),"")</f>
        <v/>
      </c>
      <c r="D45" s="54">
        <f>IFERROR(INDEX(Trips[Trailer Reg.],SMALL(IF(Trips[Deal No.]=$B$10,ROW(Trips[Deal No.])-MIN(ROW(Trips[Deal No.]))+1),26)),"")</f>
        <v/>
      </c>
      <c r="E45" s="54">
        <f>IFERROR(INDEX(Trips[Transporter],SMALL(IF(Trips[Deal No.]=$B$10,ROW(Trips[Deal No.])-MIN(ROW(Trips[Deal No.]))+1),26)),"")</f>
        <v/>
      </c>
      <c r="F45" s="54">
        <f>IFERROR(INDEX(Trips[Driver],SMALL(IF(Trips[Deal No.]=$B$10,ROW(Trips[Deal No.])-MIN(ROW(Trips[Deal No.]))+1),26)),"")</f>
        <v/>
      </c>
      <c r="G45" s="53">
        <f>IFERROR(INDEX(Trips[Arrival],SMALL(IF(Trips[Deal No.]=$B$10,ROW(Trips[Deal No.])-MIN(ROW(Trips[Deal No.]))+1),26)),"")</f>
        <v/>
      </c>
      <c r="H45" s="53">
        <f>IFERROR(INDEX(Trips[Offloaded],SMALL(IF(Trips[Deal No.]=$B$10,ROW(Trips[Deal No.])-MIN(ROW(Trips[Deal No.]))+1),26)),"")</f>
        <v/>
      </c>
      <c r="I45" s="55">
        <f>IFERROR(INDEX(Trips[Waiting (d)],SMALL(IF(Trips[Deal No.]=$B$10,ROW(Trips[Deal No.])-MIN(ROW(Trips[Deal No.]))+1),26)),"")</f>
        <v/>
      </c>
      <c r="J45" s="55">
        <f>IFERROR(INDEX(Trips[Excess (d)],SMALL(IF(Trips[Deal No.]=$B$10,ROW(Trips[Deal No.])-MIN(ROW(Trips[Deal No.]))+1),26)),"")</f>
        <v/>
      </c>
      <c r="K45" s="56">
        <f>IFERROR(INDEX(Trips[Demurrage (USD)],SMALL(IF(Trips[Deal No.]=$B$10,ROW(Trips[Deal No.])-MIN(ROW(Trips[Deal No.]))+1),26)),"")</f>
        <v/>
      </c>
    </row>
    <row r="46">
      <c r="B46" s="49">
        <f>IFERROR(INDEX(Trips[Date Loaded],SMALL(IF(Trips[Deal No.]=$B$10,ROW(Trips[Deal No.])-MIN(ROW(Trips[Deal No.]))+1),27)),"")</f>
        <v/>
      </c>
      <c r="C46" s="50">
        <f>IFERROR(INDEX(Trips[Truck No.],SMALL(IF(Trips[Deal No.]=$B$10,ROW(Trips[Deal No.])-MIN(ROW(Trips[Deal No.]))+1),27)),"")</f>
        <v/>
      </c>
      <c r="D46" s="50">
        <f>IFERROR(INDEX(Trips[Trailer Reg.],SMALL(IF(Trips[Deal No.]=$B$10,ROW(Trips[Deal No.])-MIN(ROW(Trips[Deal No.]))+1),27)),"")</f>
        <v/>
      </c>
      <c r="E46" s="50">
        <f>IFERROR(INDEX(Trips[Transporter],SMALL(IF(Trips[Deal No.]=$B$10,ROW(Trips[Deal No.])-MIN(ROW(Trips[Deal No.]))+1),27)),"")</f>
        <v/>
      </c>
      <c r="F46" s="50">
        <f>IFERROR(INDEX(Trips[Driver],SMALL(IF(Trips[Deal No.]=$B$10,ROW(Trips[Deal No.])-MIN(ROW(Trips[Deal No.]))+1),27)),"")</f>
        <v/>
      </c>
      <c r="G46" s="49">
        <f>IFERROR(INDEX(Trips[Arrival],SMALL(IF(Trips[Deal No.]=$B$10,ROW(Trips[Deal No.])-MIN(ROW(Trips[Deal No.]))+1),27)),"")</f>
        <v/>
      </c>
      <c r="H46" s="49">
        <f>IFERROR(INDEX(Trips[Offloaded],SMALL(IF(Trips[Deal No.]=$B$10,ROW(Trips[Deal No.])-MIN(ROW(Trips[Deal No.]))+1),27)),"")</f>
        <v/>
      </c>
      <c r="I46" s="51">
        <f>IFERROR(INDEX(Trips[Waiting (d)],SMALL(IF(Trips[Deal No.]=$B$10,ROW(Trips[Deal No.])-MIN(ROW(Trips[Deal No.]))+1),27)),"")</f>
        <v/>
      </c>
      <c r="J46" s="51">
        <f>IFERROR(INDEX(Trips[Excess (d)],SMALL(IF(Trips[Deal No.]=$B$10,ROW(Trips[Deal No.])-MIN(ROW(Trips[Deal No.]))+1),27)),"")</f>
        <v/>
      </c>
      <c r="K46" s="52">
        <f>IFERROR(INDEX(Trips[Demurrage (USD)],SMALL(IF(Trips[Deal No.]=$B$10,ROW(Trips[Deal No.])-MIN(ROW(Trips[Deal No.]))+1),27)),"")</f>
        <v/>
      </c>
    </row>
    <row r="47">
      <c r="B47" s="53">
        <f>IFERROR(INDEX(Trips[Date Loaded],SMALL(IF(Trips[Deal No.]=$B$10,ROW(Trips[Deal No.])-MIN(ROW(Trips[Deal No.]))+1),28)),"")</f>
        <v/>
      </c>
      <c r="C47" s="54">
        <f>IFERROR(INDEX(Trips[Truck No.],SMALL(IF(Trips[Deal No.]=$B$10,ROW(Trips[Deal No.])-MIN(ROW(Trips[Deal No.]))+1),28)),"")</f>
        <v/>
      </c>
      <c r="D47" s="54">
        <f>IFERROR(INDEX(Trips[Trailer Reg.],SMALL(IF(Trips[Deal No.]=$B$10,ROW(Trips[Deal No.])-MIN(ROW(Trips[Deal No.]))+1),28)),"")</f>
        <v/>
      </c>
      <c r="E47" s="54">
        <f>IFERROR(INDEX(Trips[Transporter],SMALL(IF(Trips[Deal No.]=$B$10,ROW(Trips[Deal No.])-MIN(ROW(Trips[Deal No.]))+1),28)),"")</f>
        <v/>
      </c>
      <c r="F47" s="54">
        <f>IFERROR(INDEX(Trips[Driver],SMALL(IF(Trips[Deal No.]=$B$10,ROW(Trips[Deal No.])-MIN(ROW(Trips[Deal No.]))+1),28)),"")</f>
        <v/>
      </c>
      <c r="G47" s="53">
        <f>IFERROR(INDEX(Trips[Arrival],SMALL(IF(Trips[Deal No.]=$B$10,ROW(Trips[Deal No.])-MIN(ROW(Trips[Deal No.]))+1),28)),"")</f>
        <v/>
      </c>
      <c r="H47" s="53">
        <f>IFERROR(INDEX(Trips[Offloaded],SMALL(IF(Trips[Deal No.]=$B$10,ROW(Trips[Deal No.])-MIN(ROW(Trips[Deal No.]))+1),28)),"")</f>
        <v/>
      </c>
      <c r="I47" s="55">
        <f>IFERROR(INDEX(Trips[Waiting (d)],SMALL(IF(Trips[Deal No.]=$B$10,ROW(Trips[Deal No.])-MIN(ROW(Trips[Deal No.]))+1),28)),"")</f>
        <v/>
      </c>
      <c r="J47" s="55">
        <f>IFERROR(INDEX(Trips[Excess (d)],SMALL(IF(Trips[Deal No.]=$B$10,ROW(Trips[Deal No.])-MIN(ROW(Trips[Deal No.]))+1),28)),"")</f>
        <v/>
      </c>
      <c r="K47" s="56">
        <f>IFERROR(INDEX(Trips[Demurrage (USD)],SMALL(IF(Trips[Deal No.]=$B$10,ROW(Trips[Deal No.])-MIN(ROW(Trips[Deal No.]))+1),28)),"")</f>
        <v/>
      </c>
    </row>
    <row r="48">
      <c r="B48" s="49">
        <f>IFERROR(INDEX(Trips[Date Loaded],SMALL(IF(Trips[Deal No.]=$B$10,ROW(Trips[Deal No.])-MIN(ROW(Trips[Deal No.]))+1),29)),"")</f>
        <v/>
      </c>
      <c r="C48" s="50">
        <f>IFERROR(INDEX(Trips[Truck No.],SMALL(IF(Trips[Deal No.]=$B$10,ROW(Trips[Deal No.])-MIN(ROW(Trips[Deal No.]))+1),29)),"")</f>
        <v/>
      </c>
      <c r="D48" s="50">
        <f>IFERROR(INDEX(Trips[Trailer Reg.],SMALL(IF(Trips[Deal No.]=$B$10,ROW(Trips[Deal No.])-MIN(ROW(Trips[Deal No.]))+1),29)),"")</f>
        <v/>
      </c>
      <c r="E48" s="50">
        <f>IFERROR(INDEX(Trips[Transporter],SMALL(IF(Trips[Deal No.]=$B$10,ROW(Trips[Deal No.])-MIN(ROW(Trips[Deal No.]))+1),29)),"")</f>
        <v/>
      </c>
      <c r="F48" s="50">
        <f>IFERROR(INDEX(Trips[Driver],SMALL(IF(Trips[Deal No.]=$B$10,ROW(Trips[Deal No.])-MIN(ROW(Trips[Deal No.]))+1),29)),"")</f>
        <v/>
      </c>
      <c r="G48" s="49">
        <f>IFERROR(INDEX(Trips[Arrival],SMALL(IF(Trips[Deal No.]=$B$10,ROW(Trips[Deal No.])-MIN(ROW(Trips[Deal No.]))+1),29)),"")</f>
        <v/>
      </c>
      <c r="H48" s="49">
        <f>IFERROR(INDEX(Trips[Offloaded],SMALL(IF(Trips[Deal No.]=$B$10,ROW(Trips[Deal No.])-MIN(ROW(Trips[Deal No.]))+1),29)),"")</f>
        <v/>
      </c>
      <c r="I48" s="51">
        <f>IFERROR(INDEX(Trips[Waiting (d)],SMALL(IF(Trips[Deal No.]=$B$10,ROW(Trips[Deal No.])-MIN(ROW(Trips[Deal No.]))+1),29)),"")</f>
        <v/>
      </c>
      <c r="J48" s="51">
        <f>IFERROR(INDEX(Trips[Excess (d)],SMALL(IF(Trips[Deal No.]=$B$10,ROW(Trips[Deal No.])-MIN(ROW(Trips[Deal No.]))+1),29)),"")</f>
        <v/>
      </c>
      <c r="K48" s="52">
        <f>IFERROR(INDEX(Trips[Demurrage (USD)],SMALL(IF(Trips[Deal No.]=$B$10,ROW(Trips[Deal No.])-MIN(ROW(Trips[Deal No.]))+1),29)),"")</f>
        <v/>
      </c>
    </row>
    <row r="49">
      <c r="B49" s="53">
        <f>IFERROR(INDEX(Trips[Date Loaded],SMALL(IF(Trips[Deal No.]=$B$10,ROW(Trips[Deal No.])-MIN(ROW(Trips[Deal No.]))+1),30)),"")</f>
        <v/>
      </c>
      <c r="C49" s="54">
        <f>IFERROR(INDEX(Trips[Truck No.],SMALL(IF(Trips[Deal No.]=$B$10,ROW(Trips[Deal No.])-MIN(ROW(Trips[Deal No.]))+1),30)),"")</f>
        <v/>
      </c>
      <c r="D49" s="54">
        <f>IFERROR(INDEX(Trips[Trailer Reg.],SMALL(IF(Trips[Deal No.]=$B$10,ROW(Trips[Deal No.])-MIN(ROW(Trips[Deal No.]))+1),30)),"")</f>
        <v/>
      </c>
      <c r="E49" s="54">
        <f>IFERROR(INDEX(Trips[Transporter],SMALL(IF(Trips[Deal No.]=$B$10,ROW(Trips[Deal No.])-MIN(ROW(Trips[Deal No.]))+1),30)),"")</f>
        <v/>
      </c>
      <c r="F49" s="54">
        <f>IFERROR(INDEX(Trips[Driver],SMALL(IF(Trips[Deal No.]=$B$10,ROW(Trips[Deal No.])-MIN(ROW(Trips[Deal No.]))+1),30)),"")</f>
        <v/>
      </c>
      <c r="G49" s="53">
        <f>IFERROR(INDEX(Trips[Arrival],SMALL(IF(Trips[Deal No.]=$B$10,ROW(Trips[Deal No.])-MIN(ROW(Trips[Deal No.]))+1),30)),"")</f>
        <v/>
      </c>
      <c r="H49" s="53">
        <f>IFERROR(INDEX(Trips[Offloaded],SMALL(IF(Trips[Deal No.]=$B$10,ROW(Trips[Deal No.])-MIN(ROW(Trips[Deal No.]))+1),30)),"")</f>
        <v/>
      </c>
      <c r="I49" s="55">
        <f>IFERROR(INDEX(Trips[Waiting (d)],SMALL(IF(Trips[Deal No.]=$B$10,ROW(Trips[Deal No.])-MIN(ROW(Trips[Deal No.]))+1),30)),"")</f>
        <v/>
      </c>
      <c r="J49" s="55">
        <f>IFERROR(INDEX(Trips[Excess (d)],SMALL(IF(Trips[Deal No.]=$B$10,ROW(Trips[Deal No.])-MIN(ROW(Trips[Deal No.]))+1),30)),"")</f>
        <v/>
      </c>
      <c r="K49" s="56">
        <f>IFERROR(INDEX(Trips[Demurrage (USD)],SMALL(IF(Trips[Deal No.]=$B$10,ROW(Trips[Deal No.])-MIN(ROW(Trips[Deal No.]))+1),30)),"")</f>
        <v/>
      </c>
    </row>
    <row r="50">
      <c r="B50" s="49">
        <f>IFERROR(INDEX(Trips[Date Loaded],SMALL(IF(Trips[Deal No.]=$B$10,ROW(Trips[Deal No.])-MIN(ROW(Trips[Deal No.]))+1),31)),"")</f>
        <v/>
      </c>
      <c r="C50" s="50">
        <f>IFERROR(INDEX(Trips[Truck No.],SMALL(IF(Trips[Deal No.]=$B$10,ROW(Trips[Deal No.])-MIN(ROW(Trips[Deal No.]))+1),31)),"")</f>
        <v/>
      </c>
      <c r="D50" s="50">
        <f>IFERROR(INDEX(Trips[Trailer Reg.],SMALL(IF(Trips[Deal No.]=$B$10,ROW(Trips[Deal No.])-MIN(ROW(Trips[Deal No.]))+1),31)),"")</f>
        <v/>
      </c>
      <c r="E50" s="50">
        <f>IFERROR(INDEX(Trips[Transporter],SMALL(IF(Trips[Deal No.]=$B$10,ROW(Trips[Deal No.])-MIN(ROW(Trips[Deal No.]))+1),31)),"")</f>
        <v/>
      </c>
      <c r="F50" s="50">
        <f>IFERROR(INDEX(Trips[Driver],SMALL(IF(Trips[Deal No.]=$B$10,ROW(Trips[Deal No.])-MIN(ROW(Trips[Deal No.]))+1),31)),"")</f>
        <v/>
      </c>
      <c r="G50" s="49">
        <f>IFERROR(INDEX(Trips[Arrival],SMALL(IF(Trips[Deal No.]=$B$10,ROW(Trips[Deal No.])-MIN(ROW(Trips[Deal No.]))+1),31)),"")</f>
        <v/>
      </c>
      <c r="H50" s="49">
        <f>IFERROR(INDEX(Trips[Offloaded],SMALL(IF(Trips[Deal No.]=$B$10,ROW(Trips[Deal No.])-MIN(ROW(Trips[Deal No.]))+1),31)),"")</f>
        <v/>
      </c>
      <c r="I50" s="51">
        <f>IFERROR(INDEX(Trips[Waiting (d)],SMALL(IF(Trips[Deal No.]=$B$10,ROW(Trips[Deal No.])-MIN(ROW(Trips[Deal No.]))+1),31)),"")</f>
        <v/>
      </c>
      <c r="J50" s="51">
        <f>IFERROR(INDEX(Trips[Excess (d)],SMALL(IF(Trips[Deal No.]=$B$10,ROW(Trips[Deal No.])-MIN(ROW(Trips[Deal No.]))+1),31)),"")</f>
        <v/>
      </c>
      <c r="K50" s="52">
        <f>IFERROR(INDEX(Trips[Demurrage (USD)],SMALL(IF(Trips[Deal No.]=$B$10,ROW(Trips[Deal No.])-MIN(ROW(Trips[Deal No.]))+1),31)),"")</f>
        <v/>
      </c>
    </row>
    <row r="51">
      <c r="B51" s="53">
        <f>IFERROR(INDEX(Trips[Date Loaded],SMALL(IF(Trips[Deal No.]=$B$10,ROW(Trips[Deal No.])-MIN(ROW(Trips[Deal No.]))+1),32)),"")</f>
        <v/>
      </c>
      <c r="C51" s="54">
        <f>IFERROR(INDEX(Trips[Truck No.],SMALL(IF(Trips[Deal No.]=$B$10,ROW(Trips[Deal No.])-MIN(ROW(Trips[Deal No.]))+1),32)),"")</f>
        <v/>
      </c>
      <c r="D51" s="54">
        <f>IFERROR(INDEX(Trips[Trailer Reg.],SMALL(IF(Trips[Deal No.]=$B$10,ROW(Trips[Deal No.])-MIN(ROW(Trips[Deal No.]))+1),32)),"")</f>
        <v/>
      </c>
      <c r="E51" s="54">
        <f>IFERROR(INDEX(Trips[Transporter],SMALL(IF(Trips[Deal No.]=$B$10,ROW(Trips[Deal No.])-MIN(ROW(Trips[Deal No.]))+1),32)),"")</f>
        <v/>
      </c>
      <c r="F51" s="54">
        <f>IFERROR(INDEX(Trips[Driver],SMALL(IF(Trips[Deal No.]=$B$10,ROW(Trips[Deal No.])-MIN(ROW(Trips[Deal No.]))+1),32)),"")</f>
        <v/>
      </c>
      <c r="G51" s="53">
        <f>IFERROR(INDEX(Trips[Arrival],SMALL(IF(Trips[Deal No.]=$B$10,ROW(Trips[Deal No.])-MIN(ROW(Trips[Deal No.]))+1),32)),"")</f>
        <v/>
      </c>
      <c r="H51" s="53">
        <f>IFERROR(INDEX(Trips[Offloaded],SMALL(IF(Trips[Deal No.]=$B$10,ROW(Trips[Deal No.])-MIN(ROW(Trips[Deal No.]))+1),32)),"")</f>
        <v/>
      </c>
      <c r="I51" s="55">
        <f>IFERROR(INDEX(Trips[Waiting (d)],SMALL(IF(Trips[Deal No.]=$B$10,ROW(Trips[Deal No.])-MIN(ROW(Trips[Deal No.]))+1),32)),"")</f>
        <v/>
      </c>
      <c r="J51" s="55">
        <f>IFERROR(INDEX(Trips[Excess (d)],SMALL(IF(Trips[Deal No.]=$B$10,ROW(Trips[Deal No.])-MIN(ROW(Trips[Deal No.]))+1),32)),"")</f>
        <v/>
      </c>
      <c r="K51" s="56">
        <f>IFERROR(INDEX(Trips[Demurrage (USD)],SMALL(IF(Trips[Deal No.]=$B$10,ROW(Trips[Deal No.])-MIN(ROW(Trips[Deal No.]))+1),32)),"")</f>
        <v/>
      </c>
    </row>
    <row r="52">
      <c r="B52" s="49">
        <f>IFERROR(INDEX(Trips[Date Loaded],SMALL(IF(Trips[Deal No.]=$B$10,ROW(Trips[Deal No.])-MIN(ROW(Trips[Deal No.]))+1),33)),"")</f>
        <v/>
      </c>
      <c r="C52" s="50">
        <f>IFERROR(INDEX(Trips[Truck No.],SMALL(IF(Trips[Deal No.]=$B$10,ROW(Trips[Deal No.])-MIN(ROW(Trips[Deal No.]))+1),33)),"")</f>
        <v/>
      </c>
      <c r="D52" s="50">
        <f>IFERROR(INDEX(Trips[Trailer Reg.],SMALL(IF(Trips[Deal No.]=$B$10,ROW(Trips[Deal No.])-MIN(ROW(Trips[Deal No.]))+1),33)),"")</f>
        <v/>
      </c>
      <c r="E52" s="50">
        <f>IFERROR(INDEX(Trips[Transporter],SMALL(IF(Trips[Deal No.]=$B$10,ROW(Trips[Deal No.])-MIN(ROW(Trips[Deal No.]))+1),33)),"")</f>
        <v/>
      </c>
      <c r="F52" s="50">
        <f>IFERROR(INDEX(Trips[Driver],SMALL(IF(Trips[Deal No.]=$B$10,ROW(Trips[Deal No.])-MIN(ROW(Trips[Deal No.]))+1),33)),"")</f>
        <v/>
      </c>
      <c r="G52" s="49">
        <f>IFERROR(INDEX(Trips[Arrival],SMALL(IF(Trips[Deal No.]=$B$10,ROW(Trips[Deal No.])-MIN(ROW(Trips[Deal No.]))+1),33)),"")</f>
        <v/>
      </c>
      <c r="H52" s="49">
        <f>IFERROR(INDEX(Trips[Offloaded],SMALL(IF(Trips[Deal No.]=$B$10,ROW(Trips[Deal No.])-MIN(ROW(Trips[Deal No.]))+1),33)),"")</f>
        <v/>
      </c>
      <c r="I52" s="51">
        <f>IFERROR(INDEX(Trips[Waiting (d)],SMALL(IF(Trips[Deal No.]=$B$10,ROW(Trips[Deal No.])-MIN(ROW(Trips[Deal No.]))+1),33)),"")</f>
        <v/>
      </c>
      <c r="J52" s="51">
        <f>IFERROR(INDEX(Trips[Excess (d)],SMALL(IF(Trips[Deal No.]=$B$10,ROW(Trips[Deal No.])-MIN(ROW(Trips[Deal No.]))+1),33)),"")</f>
        <v/>
      </c>
      <c r="K52" s="52">
        <f>IFERROR(INDEX(Trips[Demurrage (USD)],SMALL(IF(Trips[Deal No.]=$B$10,ROW(Trips[Deal No.])-MIN(ROW(Trips[Deal No.]))+1),33)),"")</f>
        <v/>
      </c>
    </row>
    <row r="53">
      <c r="B53" s="53">
        <f>IFERROR(INDEX(Trips[Date Loaded],SMALL(IF(Trips[Deal No.]=$B$10,ROW(Trips[Deal No.])-MIN(ROW(Trips[Deal No.]))+1),34)),"")</f>
        <v/>
      </c>
      <c r="C53" s="54">
        <f>IFERROR(INDEX(Trips[Truck No.],SMALL(IF(Trips[Deal No.]=$B$10,ROW(Trips[Deal No.])-MIN(ROW(Trips[Deal No.]))+1),34)),"")</f>
        <v/>
      </c>
      <c r="D53" s="54">
        <f>IFERROR(INDEX(Trips[Trailer Reg.],SMALL(IF(Trips[Deal No.]=$B$10,ROW(Trips[Deal No.])-MIN(ROW(Trips[Deal No.]))+1),34)),"")</f>
        <v/>
      </c>
      <c r="E53" s="54">
        <f>IFERROR(INDEX(Trips[Transporter],SMALL(IF(Trips[Deal No.]=$B$10,ROW(Trips[Deal No.])-MIN(ROW(Trips[Deal No.]))+1),34)),"")</f>
        <v/>
      </c>
      <c r="F53" s="54">
        <f>IFERROR(INDEX(Trips[Driver],SMALL(IF(Trips[Deal No.]=$B$10,ROW(Trips[Deal No.])-MIN(ROW(Trips[Deal No.]))+1),34)),"")</f>
        <v/>
      </c>
      <c r="G53" s="53">
        <f>IFERROR(INDEX(Trips[Arrival],SMALL(IF(Trips[Deal No.]=$B$10,ROW(Trips[Deal No.])-MIN(ROW(Trips[Deal No.]))+1),34)),"")</f>
        <v/>
      </c>
      <c r="H53" s="53">
        <f>IFERROR(INDEX(Trips[Offloaded],SMALL(IF(Trips[Deal No.]=$B$10,ROW(Trips[Deal No.])-MIN(ROW(Trips[Deal No.]))+1),34)),"")</f>
        <v/>
      </c>
      <c r="I53" s="55">
        <f>IFERROR(INDEX(Trips[Waiting (d)],SMALL(IF(Trips[Deal No.]=$B$10,ROW(Trips[Deal No.])-MIN(ROW(Trips[Deal No.]))+1),34)),"")</f>
        <v/>
      </c>
      <c r="J53" s="55">
        <f>IFERROR(INDEX(Trips[Excess (d)],SMALL(IF(Trips[Deal No.]=$B$10,ROW(Trips[Deal No.])-MIN(ROW(Trips[Deal No.]))+1),34)),"")</f>
        <v/>
      </c>
      <c r="K53" s="56">
        <f>IFERROR(INDEX(Trips[Demurrage (USD)],SMALL(IF(Trips[Deal No.]=$B$10,ROW(Trips[Deal No.])-MIN(ROW(Trips[Deal No.]))+1),34)),"")</f>
        <v/>
      </c>
    </row>
    <row r="54">
      <c r="B54" s="49">
        <f>IFERROR(INDEX(Trips[Date Loaded],SMALL(IF(Trips[Deal No.]=$B$10,ROW(Trips[Deal No.])-MIN(ROW(Trips[Deal No.]))+1),35)),"")</f>
        <v/>
      </c>
      <c r="C54" s="50">
        <f>IFERROR(INDEX(Trips[Truck No.],SMALL(IF(Trips[Deal No.]=$B$10,ROW(Trips[Deal No.])-MIN(ROW(Trips[Deal No.]))+1),35)),"")</f>
        <v/>
      </c>
      <c r="D54" s="50">
        <f>IFERROR(INDEX(Trips[Trailer Reg.],SMALL(IF(Trips[Deal No.]=$B$10,ROW(Trips[Deal No.])-MIN(ROW(Trips[Deal No.]))+1),35)),"")</f>
        <v/>
      </c>
      <c r="E54" s="50">
        <f>IFERROR(INDEX(Trips[Transporter],SMALL(IF(Trips[Deal No.]=$B$10,ROW(Trips[Deal No.])-MIN(ROW(Trips[Deal No.]))+1),35)),"")</f>
        <v/>
      </c>
      <c r="F54" s="50">
        <f>IFERROR(INDEX(Trips[Driver],SMALL(IF(Trips[Deal No.]=$B$10,ROW(Trips[Deal No.])-MIN(ROW(Trips[Deal No.]))+1),35)),"")</f>
        <v/>
      </c>
      <c r="G54" s="49">
        <f>IFERROR(INDEX(Trips[Arrival],SMALL(IF(Trips[Deal No.]=$B$10,ROW(Trips[Deal No.])-MIN(ROW(Trips[Deal No.]))+1),35)),"")</f>
        <v/>
      </c>
      <c r="H54" s="49">
        <f>IFERROR(INDEX(Trips[Offloaded],SMALL(IF(Trips[Deal No.]=$B$10,ROW(Trips[Deal No.])-MIN(ROW(Trips[Deal No.]))+1),35)),"")</f>
        <v/>
      </c>
      <c r="I54" s="51">
        <f>IFERROR(INDEX(Trips[Waiting (d)],SMALL(IF(Trips[Deal No.]=$B$10,ROW(Trips[Deal No.])-MIN(ROW(Trips[Deal No.]))+1),35)),"")</f>
        <v/>
      </c>
      <c r="J54" s="51">
        <f>IFERROR(INDEX(Trips[Excess (d)],SMALL(IF(Trips[Deal No.]=$B$10,ROW(Trips[Deal No.])-MIN(ROW(Trips[Deal No.]))+1),35)),"")</f>
        <v/>
      </c>
      <c r="K54" s="52">
        <f>IFERROR(INDEX(Trips[Demurrage (USD)],SMALL(IF(Trips[Deal No.]=$B$10,ROW(Trips[Deal No.])-MIN(ROW(Trips[Deal No.]))+1),35)),"")</f>
        <v/>
      </c>
    </row>
    <row r="55">
      <c r="B55" s="53">
        <f>IFERROR(INDEX(Trips[Date Loaded],SMALL(IF(Trips[Deal No.]=$B$10,ROW(Trips[Deal No.])-MIN(ROW(Trips[Deal No.]))+1),36)),"")</f>
        <v/>
      </c>
      <c r="C55" s="54">
        <f>IFERROR(INDEX(Trips[Truck No.],SMALL(IF(Trips[Deal No.]=$B$10,ROW(Trips[Deal No.])-MIN(ROW(Trips[Deal No.]))+1),36)),"")</f>
        <v/>
      </c>
      <c r="D55" s="54">
        <f>IFERROR(INDEX(Trips[Trailer Reg.],SMALL(IF(Trips[Deal No.]=$B$10,ROW(Trips[Deal No.])-MIN(ROW(Trips[Deal No.]))+1),36)),"")</f>
        <v/>
      </c>
      <c r="E55" s="54">
        <f>IFERROR(INDEX(Trips[Transporter],SMALL(IF(Trips[Deal No.]=$B$10,ROW(Trips[Deal No.])-MIN(ROW(Trips[Deal No.]))+1),36)),"")</f>
        <v/>
      </c>
      <c r="F55" s="54">
        <f>IFERROR(INDEX(Trips[Driver],SMALL(IF(Trips[Deal No.]=$B$10,ROW(Trips[Deal No.])-MIN(ROW(Trips[Deal No.]))+1),36)),"")</f>
        <v/>
      </c>
      <c r="G55" s="53">
        <f>IFERROR(INDEX(Trips[Arrival],SMALL(IF(Trips[Deal No.]=$B$10,ROW(Trips[Deal No.])-MIN(ROW(Trips[Deal No.]))+1),36)),"")</f>
        <v/>
      </c>
      <c r="H55" s="53">
        <f>IFERROR(INDEX(Trips[Offloaded],SMALL(IF(Trips[Deal No.]=$B$10,ROW(Trips[Deal No.])-MIN(ROW(Trips[Deal No.]))+1),36)),"")</f>
        <v/>
      </c>
      <c r="I55" s="55">
        <f>IFERROR(INDEX(Trips[Waiting (d)],SMALL(IF(Trips[Deal No.]=$B$10,ROW(Trips[Deal No.])-MIN(ROW(Trips[Deal No.]))+1),36)),"")</f>
        <v/>
      </c>
      <c r="J55" s="55">
        <f>IFERROR(INDEX(Trips[Excess (d)],SMALL(IF(Trips[Deal No.]=$B$10,ROW(Trips[Deal No.])-MIN(ROW(Trips[Deal No.]))+1),36)),"")</f>
        <v/>
      </c>
      <c r="K55" s="56">
        <f>IFERROR(INDEX(Trips[Demurrage (USD)],SMALL(IF(Trips[Deal No.]=$B$10,ROW(Trips[Deal No.])-MIN(ROW(Trips[Deal No.]))+1),36)),"")</f>
        <v/>
      </c>
    </row>
    <row r="56">
      <c r="B56" s="49">
        <f>IFERROR(INDEX(Trips[Date Loaded],SMALL(IF(Trips[Deal No.]=$B$10,ROW(Trips[Deal No.])-MIN(ROW(Trips[Deal No.]))+1),37)),"")</f>
        <v/>
      </c>
      <c r="C56" s="50">
        <f>IFERROR(INDEX(Trips[Truck No.],SMALL(IF(Trips[Deal No.]=$B$10,ROW(Trips[Deal No.])-MIN(ROW(Trips[Deal No.]))+1),37)),"")</f>
        <v/>
      </c>
      <c r="D56" s="50">
        <f>IFERROR(INDEX(Trips[Trailer Reg.],SMALL(IF(Trips[Deal No.]=$B$10,ROW(Trips[Deal No.])-MIN(ROW(Trips[Deal No.]))+1),37)),"")</f>
        <v/>
      </c>
      <c r="E56" s="50">
        <f>IFERROR(INDEX(Trips[Transporter],SMALL(IF(Trips[Deal No.]=$B$10,ROW(Trips[Deal No.])-MIN(ROW(Trips[Deal No.]))+1),37)),"")</f>
        <v/>
      </c>
      <c r="F56" s="50">
        <f>IFERROR(INDEX(Trips[Driver],SMALL(IF(Trips[Deal No.]=$B$10,ROW(Trips[Deal No.])-MIN(ROW(Trips[Deal No.]))+1),37)),"")</f>
        <v/>
      </c>
      <c r="G56" s="49">
        <f>IFERROR(INDEX(Trips[Arrival],SMALL(IF(Trips[Deal No.]=$B$10,ROW(Trips[Deal No.])-MIN(ROW(Trips[Deal No.]))+1),37)),"")</f>
        <v/>
      </c>
      <c r="H56" s="49">
        <f>IFERROR(INDEX(Trips[Offloaded],SMALL(IF(Trips[Deal No.]=$B$10,ROW(Trips[Deal No.])-MIN(ROW(Trips[Deal No.]))+1),37)),"")</f>
        <v/>
      </c>
      <c r="I56" s="51">
        <f>IFERROR(INDEX(Trips[Waiting (d)],SMALL(IF(Trips[Deal No.]=$B$10,ROW(Trips[Deal No.])-MIN(ROW(Trips[Deal No.]))+1),37)),"")</f>
        <v/>
      </c>
      <c r="J56" s="51">
        <f>IFERROR(INDEX(Trips[Excess (d)],SMALL(IF(Trips[Deal No.]=$B$10,ROW(Trips[Deal No.])-MIN(ROW(Trips[Deal No.]))+1),37)),"")</f>
        <v/>
      </c>
      <c r="K56" s="52">
        <f>IFERROR(INDEX(Trips[Demurrage (USD)],SMALL(IF(Trips[Deal No.]=$B$10,ROW(Trips[Deal No.])-MIN(ROW(Trips[Deal No.]))+1),37)),"")</f>
        <v/>
      </c>
    </row>
    <row r="57">
      <c r="B57" s="53">
        <f>IFERROR(INDEX(Trips[Date Loaded],SMALL(IF(Trips[Deal No.]=$B$10,ROW(Trips[Deal No.])-MIN(ROW(Trips[Deal No.]))+1),38)),"")</f>
        <v/>
      </c>
      <c r="C57" s="54">
        <f>IFERROR(INDEX(Trips[Truck No.],SMALL(IF(Trips[Deal No.]=$B$10,ROW(Trips[Deal No.])-MIN(ROW(Trips[Deal No.]))+1),38)),"")</f>
        <v/>
      </c>
      <c r="D57" s="54">
        <f>IFERROR(INDEX(Trips[Trailer Reg.],SMALL(IF(Trips[Deal No.]=$B$10,ROW(Trips[Deal No.])-MIN(ROW(Trips[Deal No.]))+1),38)),"")</f>
        <v/>
      </c>
      <c r="E57" s="54">
        <f>IFERROR(INDEX(Trips[Transporter],SMALL(IF(Trips[Deal No.]=$B$10,ROW(Trips[Deal No.])-MIN(ROW(Trips[Deal No.]))+1),38)),"")</f>
        <v/>
      </c>
      <c r="F57" s="54">
        <f>IFERROR(INDEX(Trips[Driver],SMALL(IF(Trips[Deal No.]=$B$10,ROW(Trips[Deal No.])-MIN(ROW(Trips[Deal No.]))+1),38)),"")</f>
        <v/>
      </c>
      <c r="G57" s="53">
        <f>IFERROR(INDEX(Trips[Arrival],SMALL(IF(Trips[Deal No.]=$B$10,ROW(Trips[Deal No.])-MIN(ROW(Trips[Deal No.]))+1),38)),"")</f>
        <v/>
      </c>
      <c r="H57" s="53">
        <f>IFERROR(INDEX(Trips[Offloaded],SMALL(IF(Trips[Deal No.]=$B$10,ROW(Trips[Deal No.])-MIN(ROW(Trips[Deal No.]))+1),38)),"")</f>
        <v/>
      </c>
      <c r="I57" s="55">
        <f>IFERROR(INDEX(Trips[Waiting (d)],SMALL(IF(Trips[Deal No.]=$B$10,ROW(Trips[Deal No.])-MIN(ROW(Trips[Deal No.]))+1),38)),"")</f>
        <v/>
      </c>
      <c r="J57" s="55">
        <f>IFERROR(INDEX(Trips[Excess (d)],SMALL(IF(Trips[Deal No.]=$B$10,ROW(Trips[Deal No.])-MIN(ROW(Trips[Deal No.]))+1),38)),"")</f>
        <v/>
      </c>
      <c r="K57" s="56">
        <f>IFERROR(INDEX(Trips[Demurrage (USD)],SMALL(IF(Trips[Deal No.]=$B$10,ROW(Trips[Deal No.])-MIN(ROW(Trips[Deal No.]))+1),38)),"")</f>
        <v/>
      </c>
    </row>
    <row r="58">
      <c r="B58" s="49">
        <f>IFERROR(INDEX(Trips[Date Loaded],SMALL(IF(Trips[Deal No.]=$B$10,ROW(Trips[Deal No.])-MIN(ROW(Trips[Deal No.]))+1),39)),"")</f>
        <v/>
      </c>
      <c r="C58" s="50">
        <f>IFERROR(INDEX(Trips[Truck No.],SMALL(IF(Trips[Deal No.]=$B$10,ROW(Trips[Deal No.])-MIN(ROW(Trips[Deal No.]))+1),39)),"")</f>
        <v/>
      </c>
      <c r="D58" s="50">
        <f>IFERROR(INDEX(Trips[Trailer Reg.],SMALL(IF(Trips[Deal No.]=$B$10,ROW(Trips[Deal No.])-MIN(ROW(Trips[Deal No.]))+1),39)),"")</f>
        <v/>
      </c>
      <c r="E58" s="50">
        <f>IFERROR(INDEX(Trips[Transporter],SMALL(IF(Trips[Deal No.]=$B$10,ROW(Trips[Deal No.])-MIN(ROW(Trips[Deal No.]))+1),39)),"")</f>
        <v/>
      </c>
      <c r="F58" s="50">
        <f>IFERROR(INDEX(Trips[Driver],SMALL(IF(Trips[Deal No.]=$B$10,ROW(Trips[Deal No.])-MIN(ROW(Trips[Deal No.]))+1),39)),"")</f>
        <v/>
      </c>
      <c r="G58" s="49">
        <f>IFERROR(INDEX(Trips[Arrival],SMALL(IF(Trips[Deal No.]=$B$10,ROW(Trips[Deal No.])-MIN(ROW(Trips[Deal No.]))+1),39)),"")</f>
        <v/>
      </c>
      <c r="H58" s="49">
        <f>IFERROR(INDEX(Trips[Offloaded],SMALL(IF(Trips[Deal No.]=$B$10,ROW(Trips[Deal No.])-MIN(ROW(Trips[Deal No.]))+1),39)),"")</f>
        <v/>
      </c>
      <c r="I58" s="51">
        <f>IFERROR(INDEX(Trips[Waiting (d)],SMALL(IF(Trips[Deal No.]=$B$10,ROW(Trips[Deal No.])-MIN(ROW(Trips[Deal No.]))+1),39)),"")</f>
        <v/>
      </c>
      <c r="J58" s="51">
        <f>IFERROR(INDEX(Trips[Excess (d)],SMALL(IF(Trips[Deal No.]=$B$10,ROW(Trips[Deal No.])-MIN(ROW(Trips[Deal No.]))+1),39)),"")</f>
        <v/>
      </c>
      <c r="K58" s="52">
        <f>IFERROR(INDEX(Trips[Demurrage (USD)],SMALL(IF(Trips[Deal No.]=$B$10,ROW(Trips[Deal No.])-MIN(ROW(Trips[Deal No.]))+1),39)),"")</f>
        <v/>
      </c>
    </row>
    <row r="59">
      <c r="B59" s="53">
        <f>IFERROR(INDEX(Trips[Date Loaded],SMALL(IF(Trips[Deal No.]=$B$10,ROW(Trips[Deal No.])-MIN(ROW(Trips[Deal No.]))+1),40)),"")</f>
        <v/>
      </c>
      <c r="C59" s="54">
        <f>IFERROR(INDEX(Trips[Truck No.],SMALL(IF(Trips[Deal No.]=$B$10,ROW(Trips[Deal No.])-MIN(ROW(Trips[Deal No.]))+1),40)),"")</f>
        <v/>
      </c>
      <c r="D59" s="54">
        <f>IFERROR(INDEX(Trips[Trailer Reg.],SMALL(IF(Trips[Deal No.]=$B$10,ROW(Trips[Deal No.])-MIN(ROW(Trips[Deal No.]))+1),40)),"")</f>
        <v/>
      </c>
      <c r="E59" s="54">
        <f>IFERROR(INDEX(Trips[Transporter],SMALL(IF(Trips[Deal No.]=$B$10,ROW(Trips[Deal No.])-MIN(ROW(Trips[Deal No.]))+1),40)),"")</f>
        <v/>
      </c>
      <c r="F59" s="54">
        <f>IFERROR(INDEX(Trips[Driver],SMALL(IF(Trips[Deal No.]=$B$10,ROW(Trips[Deal No.])-MIN(ROW(Trips[Deal No.]))+1),40)),"")</f>
        <v/>
      </c>
      <c r="G59" s="53">
        <f>IFERROR(INDEX(Trips[Arrival],SMALL(IF(Trips[Deal No.]=$B$10,ROW(Trips[Deal No.])-MIN(ROW(Trips[Deal No.]))+1),40)),"")</f>
        <v/>
      </c>
      <c r="H59" s="53">
        <f>IFERROR(INDEX(Trips[Offloaded],SMALL(IF(Trips[Deal No.]=$B$10,ROW(Trips[Deal No.])-MIN(ROW(Trips[Deal No.]))+1),40)),"")</f>
        <v/>
      </c>
      <c r="I59" s="55">
        <f>IFERROR(INDEX(Trips[Waiting (d)],SMALL(IF(Trips[Deal No.]=$B$10,ROW(Trips[Deal No.])-MIN(ROW(Trips[Deal No.]))+1),40)),"")</f>
        <v/>
      </c>
      <c r="J59" s="55">
        <f>IFERROR(INDEX(Trips[Excess (d)],SMALL(IF(Trips[Deal No.]=$B$10,ROW(Trips[Deal No.])-MIN(ROW(Trips[Deal No.]))+1),40)),"")</f>
        <v/>
      </c>
      <c r="K59" s="56">
        <f>IFERROR(INDEX(Trips[Demurrage (USD)],SMALL(IF(Trips[Deal No.]=$B$10,ROW(Trips[Deal No.])-MIN(ROW(Trips[Deal No.]))+1),40)),"")</f>
        <v/>
      </c>
    </row>
    <row r="60">
      <c r="B60" s="57" t="inlineStr">
        <is>
          <t>TOTAL DUE</t>
        </is>
      </c>
      <c r="C60" s="58" t="n"/>
      <c r="D60" s="58" t="n"/>
      <c r="E60" s="58" t="n"/>
      <c r="F60" s="58" t="n"/>
      <c r="G60" s="58" t="n"/>
      <c r="H60" s="58" t="n"/>
      <c r="I60" s="58" t="n"/>
      <c r="J60" s="58" t="n"/>
      <c r="K60" s="59">
        <f>SUMIF(Trips[Deal No.],$B$10,Trips[Demurrage (USD)])</f>
        <v/>
      </c>
    </row>
    <row r="63" ht="28" customHeight="1">
      <c r="B63" s="60" t="inlineStr">
        <is>
          <t>NOTES — Demurrage = MAX(0, Waiting − Laytime) × Rate. Waiting is measured from Arrival at Offloading to Offloaded date, inclusive of both endpoints.</t>
        </is>
      </c>
    </row>
  </sheetData>
  <mergeCells count="6">
    <mergeCell ref="B63:K63"/>
    <mergeCell ref="B16:C17"/>
    <mergeCell ref="B60:J60"/>
    <mergeCell ref="B3:L3"/>
    <mergeCell ref="B5:L5"/>
    <mergeCell ref="B14:C15"/>
  </mergeCells>
  <conditionalFormatting sqref="J20:J59">
    <cfRule type="expression" priority="1" dxfId="0">
      <formula>AND(ISNUMBER(J20),J20&gt;=OUTLIER_DAYS)</formula>
    </cfRule>
  </conditionalFormatting>
  <dataValidations count="1">
    <dataValidation sqref="B10" showDropDown="0" showInputMessage="0" showErrorMessage="0" allowBlank="0" type="list">
      <formula1>=Deals[Deal No.]</formula1>
    </dataValidation>
  </dataValidations>
  <printOptions horizontalCentered="1"/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19376D"/>
    <outlinePr summaryBelow="1" summaryRight="1"/>
    <pageSetUpPr fitToPage="1"/>
  </sheetPr>
  <dimension ref="B2:U139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24" customWidth="1" min="3" max="3"/>
    <col width="13" customWidth="1" min="4" max="4"/>
    <col width="12" customWidth="1" min="5" max="5"/>
    <col width="12" customWidth="1" min="6" max="6"/>
    <col width="9" customWidth="1" min="7" max="7"/>
    <col width="13" customWidth="1" min="8" max="8"/>
    <col width="13" customWidth="1" min="9" max="9"/>
    <col width="14" customWidth="1" min="10" max="10"/>
    <col width="22" customWidth="1" min="11" max="11"/>
    <col width="13" customWidth="1" min="12" max="12"/>
    <col width="13" customWidth="1" min="13" max="13"/>
    <col width="10" customWidth="1" min="14" max="14"/>
    <col width="10" customWidth="1" min="15" max="15"/>
    <col width="10" customWidth="1" min="16" max="16"/>
    <col width="11" customWidth="1" min="17" max="17"/>
    <col width="14" customWidth="1" min="18" max="18"/>
    <col width="13" customWidth="1" min="19" max="19"/>
    <col width="16" customWidth="1" min="20" max="20"/>
    <col width="10" customWidth="1" min="21" max="21"/>
  </cols>
  <sheetData>
    <row r="2" ht="32" customHeight="1">
      <c r="B2" s="61" t="inlineStr">
        <is>
          <t>TRIPS LEDGER</t>
        </is>
      </c>
    </row>
    <row r="3">
      <c r="B3" s="17" t="inlineStr">
        <is>
          <t>Single source of truth for every truck movement. Add new rows at the bottom — formulas extend automatically inside the table.</t>
        </is>
      </c>
    </row>
    <row r="4"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n"/>
      <c r="T4" s="18" t="n"/>
      <c r="U4" s="18" t="n"/>
    </row>
    <row r="6" ht="36" customHeight="1">
      <c r="B6" s="48" t="inlineStr">
        <is>
          <t>Deal No.</t>
        </is>
      </c>
      <c r="C6" s="48" t="inlineStr">
        <is>
          <t>Consignee</t>
        </is>
      </c>
      <c r="D6" s="48" t="inlineStr">
        <is>
          <t>Date Loaded</t>
        </is>
      </c>
      <c r="E6" s="48" t="inlineStr">
        <is>
          <t>Loading Port</t>
        </is>
      </c>
      <c r="F6" s="48" t="inlineStr">
        <is>
          <t>Destination</t>
        </is>
      </c>
      <c r="G6" s="48" t="inlineStr">
        <is>
          <t>Product</t>
        </is>
      </c>
      <c r="H6" s="48" t="inlineStr">
        <is>
          <t>Truck No.</t>
        </is>
      </c>
      <c r="I6" s="48" t="inlineStr">
        <is>
          <t>Trailer Reg.</t>
        </is>
      </c>
      <c r="J6" s="48" t="inlineStr">
        <is>
          <t>Transporter</t>
        </is>
      </c>
      <c r="K6" s="48" t="inlineStr">
        <is>
          <t>Driver</t>
        </is>
      </c>
      <c r="L6" s="48" t="inlineStr">
        <is>
          <t>Arrival</t>
        </is>
      </c>
      <c r="M6" s="48" t="inlineStr">
        <is>
          <t>Offloaded</t>
        </is>
      </c>
      <c r="N6" s="48" t="inlineStr">
        <is>
          <t>Waiting (d)</t>
        </is>
      </c>
      <c r="O6" s="48" t="inlineStr">
        <is>
          <t>Laytime (d)</t>
        </is>
      </c>
      <c r="P6" s="48" t="inlineStr">
        <is>
          <t>Excess (d)</t>
        </is>
      </c>
      <c r="Q6" s="48" t="inlineStr">
        <is>
          <t>Rate (USD)</t>
        </is>
      </c>
      <c r="R6" s="48" t="inlineStr">
        <is>
          <t>Demurrage (USD)</t>
        </is>
      </c>
      <c r="S6" s="48" t="inlineStr">
        <is>
          <t>Status</t>
        </is>
      </c>
      <c r="T6" s="48" t="inlineStr">
        <is>
          <t>Sanity</t>
        </is>
      </c>
      <c r="U6" s="48" t="inlineStr">
        <is>
          <t>Month</t>
        </is>
      </c>
    </row>
    <row r="7">
      <c r="B7" s="62" t="n">
        <v>184752</v>
      </c>
      <c r="C7" s="50" t="inlineStr">
        <is>
          <t>Rubis Energy Zambia</t>
        </is>
      </c>
      <c r="D7" s="49" t="n">
        <v>46006</v>
      </c>
      <c r="E7" s="50" t="inlineStr">
        <is>
          <t>Beira</t>
        </is>
      </c>
      <c r="F7" s="50" t="inlineStr">
        <is>
          <t>Lusaka</t>
        </is>
      </c>
      <c r="G7" s="50" t="inlineStr">
        <is>
          <t>PMS</t>
        </is>
      </c>
      <c r="H7" s="50" t="inlineStr">
        <is>
          <t>AHN 716 MP</t>
        </is>
      </c>
      <c r="I7" s="50" t="inlineStr">
        <is>
          <t>AJ 041 MC</t>
        </is>
      </c>
      <c r="J7" s="50" t="inlineStr">
        <is>
          <t>WHC</t>
        </is>
      </c>
      <c r="K7" s="50" t="inlineStr">
        <is>
          <t>Average Chitengwa</t>
        </is>
      </c>
      <c r="L7" s="49" t="n">
        <v>46011</v>
      </c>
      <c r="M7" s="49" t="n">
        <v>46015</v>
      </c>
      <c r="N7" s="51">
        <f>IF(OR(K7="",L7="" ),"",L7-K7)</f>
        <v/>
      </c>
      <c r="O7" s="51">
        <f>IFERROR(VLOOKUP(B7,Deals[#All],7,FALSE),DEF_LAYTIME)</f>
        <v/>
      </c>
      <c r="P7" s="51">
        <f>IF(N7="","",MAX(0,N7-O7))</f>
        <v/>
      </c>
      <c r="Q7" s="52">
        <f>IFERROR(VLOOKUP(B7,Deals[#All],8,FALSE),DEF_RATE)</f>
        <v/>
      </c>
      <c r="R7" s="52">
        <f>IF(P7="","",P7*Q7)</f>
        <v/>
      </c>
      <c r="S7" s="62">
        <f>IF(N7="","PENDING",IF(P7&gt;0,"DEMURRAGE","ON-TIME"))</f>
        <v/>
      </c>
      <c r="T7" s="62">
        <f>IF(AND(D7&lt;&gt;"",K7&lt;&gt;"",K7&lt;D7),"⚠ Arr&lt;Loaded",IF(AND(K7&lt;&gt;"",L7&lt;&gt;"",L7&lt;K7),"⚠ Off&lt;Arr","OK"))</f>
        <v/>
      </c>
      <c r="U7" s="62">
        <f>IF(D7="","",TEXT(D7,"yyyy-mm"))</f>
        <v/>
      </c>
    </row>
    <row r="8">
      <c r="B8" s="62" t="n">
        <v>184752</v>
      </c>
      <c r="C8" s="50" t="inlineStr">
        <is>
          <t>Rubis Energy Zambia</t>
        </is>
      </c>
      <c r="D8" s="49" t="n">
        <v>46006</v>
      </c>
      <c r="E8" s="50" t="inlineStr">
        <is>
          <t>Beira</t>
        </is>
      </c>
      <c r="F8" s="50" t="inlineStr">
        <is>
          <t>Lusaka</t>
        </is>
      </c>
      <c r="G8" s="50" t="inlineStr">
        <is>
          <t>PMS</t>
        </is>
      </c>
      <c r="H8" s="50" t="inlineStr">
        <is>
          <t>AFW 378 MP</t>
        </is>
      </c>
      <c r="I8" s="50" t="inlineStr">
        <is>
          <t>AE 731 MC</t>
        </is>
      </c>
      <c r="J8" s="50" t="inlineStr">
        <is>
          <t>WHC</t>
        </is>
      </c>
      <c r="K8" s="50" t="inlineStr">
        <is>
          <t>Kangai Tafirenyika</t>
        </is>
      </c>
      <c r="L8" s="49" t="n">
        <v>46011</v>
      </c>
      <c r="M8" s="49" t="n">
        <v>46015</v>
      </c>
      <c r="N8" s="51">
        <f>IF(OR(K8="",L8="" ),"",L8-K8)</f>
        <v/>
      </c>
      <c r="O8" s="51">
        <f>IFERROR(VLOOKUP(B8,Deals[#All],7,FALSE),DEF_LAYTIME)</f>
        <v/>
      </c>
      <c r="P8" s="51">
        <f>IF(N8="","",MAX(0,N8-O8))</f>
        <v/>
      </c>
      <c r="Q8" s="52">
        <f>IFERROR(VLOOKUP(B8,Deals[#All],8,FALSE),DEF_RATE)</f>
        <v/>
      </c>
      <c r="R8" s="52">
        <f>IF(P8="","",P8*Q8)</f>
        <v/>
      </c>
      <c r="S8" s="62">
        <f>IF(N8="","PENDING",IF(P8&gt;0,"DEMURRAGE","ON-TIME"))</f>
        <v/>
      </c>
      <c r="T8" s="62">
        <f>IF(AND(D8&lt;&gt;"",K8&lt;&gt;"",K8&lt;D8),"⚠ Arr&lt;Loaded",IF(AND(K8&lt;&gt;"",L8&lt;&gt;"",L8&lt;K8),"⚠ Off&lt;Arr","OK"))</f>
        <v/>
      </c>
      <c r="U8" s="62">
        <f>IF(D8="","",TEXT(D8,"yyyy-mm"))</f>
        <v/>
      </c>
    </row>
    <row r="9">
      <c r="B9" s="62" t="n">
        <v>184752</v>
      </c>
      <c r="C9" s="50" t="inlineStr">
        <is>
          <t>Rubis Energy Zambia</t>
        </is>
      </c>
      <c r="D9" s="49" t="n">
        <v>46006</v>
      </c>
      <c r="E9" s="50" t="inlineStr">
        <is>
          <t>Beira</t>
        </is>
      </c>
      <c r="F9" s="50" t="inlineStr">
        <is>
          <t>Lusaka</t>
        </is>
      </c>
      <c r="G9" s="50" t="inlineStr">
        <is>
          <t>PMS</t>
        </is>
      </c>
      <c r="H9" s="50" t="inlineStr">
        <is>
          <t>AIB 049 MC</t>
        </is>
      </c>
      <c r="I9" s="50" t="inlineStr">
        <is>
          <t>AF 715 MC</t>
        </is>
      </c>
      <c r="J9" s="50" t="inlineStr">
        <is>
          <t>WHC</t>
        </is>
      </c>
      <c r="K9" s="50" t="inlineStr">
        <is>
          <t>Kumirai Krispen</t>
        </is>
      </c>
      <c r="L9" s="49" t="n">
        <v>46011</v>
      </c>
      <c r="M9" s="49" t="n">
        <v>46015</v>
      </c>
      <c r="N9" s="51">
        <f>IF(OR(K9="",L9="" ),"",L9-K9)</f>
        <v/>
      </c>
      <c r="O9" s="51">
        <f>IFERROR(VLOOKUP(B9,Deals[#All],7,FALSE),DEF_LAYTIME)</f>
        <v/>
      </c>
      <c r="P9" s="51">
        <f>IF(N9="","",MAX(0,N9-O9))</f>
        <v/>
      </c>
      <c r="Q9" s="52">
        <f>IFERROR(VLOOKUP(B9,Deals[#All],8,FALSE),DEF_RATE)</f>
        <v/>
      </c>
      <c r="R9" s="52">
        <f>IF(P9="","",P9*Q9)</f>
        <v/>
      </c>
      <c r="S9" s="62">
        <f>IF(N9="","PENDING",IF(P9&gt;0,"DEMURRAGE","ON-TIME"))</f>
        <v/>
      </c>
      <c r="T9" s="62">
        <f>IF(AND(D9&lt;&gt;"",K9&lt;&gt;"",K9&lt;D9),"⚠ Arr&lt;Loaded",IF(AND(K9&lt;&gt;"",L9&lt;&gt;"",L9&lt;K9),"⚠ Off&lt;Arr","OK"))</f>
        <v/>
      </c>
      <c r="U9" s="62">
        <f>IF(D9="","",TEXT(D9,"yyyy-mm"))</f>
        <v/>
      </c>
    </row>
    <row r="10">
      <c r="B10" s="62" t="n">
        <v>184752</v>
      </c>
      <c r="C10" s="50" t="inlineStr">
        <is>
          <t>Rubis Energy Zambia</t>
        </is>
      </c>
      <c r="D10" s="49" t="n">
        <v>46006</v>
      </c>
      <c r="E10" s="50" t="inlineStr">
        <is>
          <t>Beira</t>
        </is>
      </c>
      <c r="F10" s="50" t="inlineStr">
        <is>
          <t>Lusaka</t>
        </is>
      </c>
      <c r="G10" s="50" t="inlineStr">
        <is>
          <t>PMS</t>
        </is>
      </c>
      <c r="H10" s="50" t="inlineStr">
        <is>
          <t>AGU 496 MP</t>
        </is>
      </c>
      <c r="I10" s="50" t="inlineStr">
        <is>
          <t>AF 738 MC</t>
        </is>
      </c>
      <c r="J10" s="50" t="inlineStr">
        <is>
          <t>WHC</t>
        </is>
      </c>
      <c r="K10" s="50" t="inlineStr">
        <is>
          <t>Nhamo Mukwekwerere</t>
        </is>
      </c>
      <c r="L10" s="49" t="n">
        <v>46011</v>
      </c>
      <c r="M10" s="49" t="n">
        <v>46015</v>
      </c>
      <c r="N10" s="51">
        <f>IF(OR(K10="",L10="" ),"",L10-K10)</f>
        <v/>
      </c>
      <c r="O10" s="51">
        <f>IFERROR(VLOOKUP(B10,Deals[#All],7,FALSE),DEF_LAYTIME)</f>
        <v/>
      </c>
      <c r="P10" s="51">
        <f>IF(N10="","",MAX(0,N10-O10))</f>
        <v/>
      </c>
      <c r="Q10" s="52">
        <f>IFERROR(VLOOKUP(B10,Deals[#All],8,FALSE),DEF_RATE)</f>
        <v/>
      </c>
      <c r="R10" s="52">
        <f>IF(P10="","",P10*Q10)</f>
        <v/>
      </c>
      <c r="S10" s="62">
        <f>IF(N10="","PENDING",IF(P10&gt;0,"DEMURRAGE","ON-TIME"))</f>
        <v/>
      </c>
      <c r="T10" s="62">
        <f>IF(AND(D10&lt;&gt;"",K10&lt;&gt;"",K10&lt;D10),"⚠ Arr&lt;Loaded",IF(AND(K10&lt;&gt;"",L10&lt;&gt;"",L10&lt;K10),"⚠ Off&lt;Arr","OK"))</f>
        <v/>
      </c>
      <c r="U10" s="62">
        <f>IF(D10="","",TEXT(D10,"yyyy-mm"))</f>
        <v/>
      </c>
    </row>
    <row r="11">
      <c r="B11" s="62" t="n">
        <v>184752</v>
      </c>
      <c r="C11" s="50" t="inlineStr">
        <is>
          <t>Rubis Energy Zambia</t>
        </is>
      </c>
      <c r="D11" s="49" t="n">
        <v>46006</v>
      </c>
      <c r="E11" s="50" t="inlineStr">
        <is>
          <t>Beira</t>
        </is>
      </c>
      <c r="F11" s="50" t="inlineStr">
        <is>
          <t>Lusaka</t>
        </is>
      </c>
      <c r="G11" s="50" t="inlineStr">
        <is>
          <t>PMS</t>
        </is>
      </c>
      <c r="H11" s="50" t="inlineStr">
        <is>
          <t>AJJ 602 MP</t>
        </is>
      </c>
      <c r="I11" s="50" t="inlineStr">
        <is>
          <t>AF 699 MC</t>
        </is>
      </c>
      <c r="J11" s="50" t="inlineStr">
        <is>
          <t>WHC</t>
        </is>
      </c>
      <c r="K11" s="50" t="inlineStr">
        <is>
          <t>Hestings Banda</t>
        </is>
      </c>
      <c r="L11" s="49" t="n">
        <v>46011</v>
      </c>
      <c r="M11" s="49" t="n">
        <v>46015</v>
      </c>
      <c r="N11" s="51">
        <f>IF(OR(K11="",L11="" ),"",L11-K11)</f>
        <v/>
      </c>
      <c r="O11" s="51">
        <f>IFERROR(VLOOKUP(B11,Deals[#All],7,FALSE),DEF_LAYTIME)</f>
        <v/>
      </c>
      <c r="P11" s="51">
        <f>IF(N11="","",MAX(0,N11-O11))</f>
        <v/>
      </c>
      <c r="Q11" s="52">
        <f>IFERROR(VLOOKUP(B11,Deals[#All],8,FALSE),DEF_RATE)</f>
        <v/>
      </c>
      <c r="R11" s="52">
        <f>IF(P11="","",P11*Q11)</f>
        <v/>
      </c>
      <c r="S11" s="62">
        <f>IF(N11="","PENDING",IF(P11&gt;0,"DEMURRAGE","ON-TIME"))</f>
        <v/>
      </c>
      <c r="T11" s="62">
        <f>IF(AND(D11&lt;&gt;"",K11&lt;&gt;"",K11&lt;D11),"⚠ Arr&lt;Loaded",IF(AND(K11&lt;&gt;"",L11&lt;&gt;"",L11&lt;K11),"⚠ Off&lt;Arr","OK"))</f>
        <v/>
      </c>
      <c r="U11" s="62">
        <f>IF(D11="","",TEXT(D11,"yyyy-mm"))</f>
        <v/>
      </c>
    </row>
    <row r="12">
      <c r="B12" s="62" t="n">
        <v>184752</v>
      </c>
      <c r="C12" s="50" t="inlineStr">
        <is>
          <t>Rubis Energy Zambia</t>
        </is>
      </c>
      <c r="D12" s="49" t="n">
        <v>46006</v>
      </c>
      <c r="E12" s="50" t="inlineStr">
        <is>
          <t>Beira</t>
        </is>
      </c>
      <c r="F12" s="50" t="inlineStr">
        <is>
          <t>Lusaka</t>
        </is>
      </c>
      <c r="G12" s="50" t="inlineStr">
        <is>
          <t>PMS</t>
        </is>
      </c>
      <c r="H12" s="50" t="inlineStr">
        <is>
          <t>AFV 439 MP</t>
        </is>
      </c>
      <c r="I12" s="50" t="inlineStr">
        <is>
          <t>AE 760 MC</t>
        </is>
      </c>
      <c r="J12" s="50" t="inlineStr">
        <is>
          <t>WHC</t>
        </is>
      </c>
      <c r="K12" s="50" t="inlineStr">
        <is>
          <t>Adelino Silira</t>
        </is>
      </c>
      <c r="L12" s="49" t="n">
        <v>46011</v>
      </c>
      <c r="M12" s="49" t="n">
        <v>46015</v>
      </c>
      <c r="N12" s="51">
        <f>IF(OR(K12="",L12="" ),"",L12-K12)</f>
        <v/>
      </c>
      <c r="O12" s="51">
        <f>IFERROR(VLOOKUP(B12,Deals[#All],7,FALSE),DEF_LAYTIME)</f>
        <v/>
      </c>
      <c r="P12" s="51">
        <f>IF(N12="","",MAX(0,N12-O12))</f>
        <v/>
      </c>
      <c r="Q12" s="52">
        <f>IFERROR(VLOOKUP(B12,Deals[#All],8,FALSE),DEF_RATE)</f>
        <v/>
      </c>
      <c r="R12" s="52">
        <f>IF(P12="","",P12*Q12)</f>
        <v/>
      </c>
      <c r="S12" s="62">
        <f>IF(N12="","PENDING",IF(P12&gt;0,"DEMURRAGE","ON-TIME"))</f>
        <v/>
      </c>
      <c r="T12" s="62">
        <f>IF(AND(D12&lt;&gt;"",K12&lt;&gt;"",K12&lt;D12),"⚠ Arr&lt;Loaded",IF(AND(K12&lt;&gt;"",L12&lt;&gt;"",L12&lt;K12),"⚠ Off&lt;Arr","OK"))</f>
        <v/>
      </c>
      <c r="U12" s="62">
        <f>IF(D12="","",TEXT(D12,"yyyy-mm"))</f>
        <v/>
      </c>
    </row>
    <row r="13">
      <c r="B13" s="62" t="n">
        <v>184752</v>
      </c>
      <c r="C13" s="50" t="inlineStr">
        <is>
          <t>Rubis Energy Zambia</t>
        </is>
      </c>
      <c r="D13" s="49" t="n">
        <v>46021</v>
      </c>
      <c r="E13" s="50" t="inlineStr">
        <is>
          <t>Beira</t>
        </is>
      </c>
      <c r="F13" s="50" t="inlineStr">
        <is>
          <t>Lusaka</t>
        </is>
      </c>
      <c r="G13" s="50" t="inlineStr">
        <is>
          <t>PMS</t>
        </is>
      </c>
      <c r="H13" s="50" t="inlineStr">
        <is>
          <t>AIB 049 MC</t>
        </is>
      </c>
      <c r="I13" s="50" t="inlineStr">
        <is>
          <t>AF 715 MC</t>
        </is>
      </c>
      <c r="J13" s="50" t="inlineStr">
        <is>
          <t>WHC</t>
        </is>
      </c>
      <c r="K13" s="50" t="inlineStr">
        <is>
          <t>Kumirai Krispen</t>
        </is>
      </c>
      <c r="L13" s="49" t="n">
        <v>46030</v>
      </c>
      <c r="M13" s="49" t="n">
        <v>46035</v>
      </c>
      <c r="N13" s="51">
        <f>IF(OR(K13="",L13="" ),"",L13-K13)</f>
        <v/>
      </c>
      <c r="O13" s="51">
        <f>IFERROR(VLOOKUP(B13,Deals[#All],7,FALSE),DEF_LAYTIME)</f>
        <v/>
      </c>
      <c r="P13" s="51">
        <f>IF(N13="","",MAX(0,N13-O13))</f>
        <v/>
      </c>
      <c r="Q13" s="52">
        <f>IFERROR(VLOOKUP(B13,Deals[#All],8,FALSE),DEF_RATE)</f>
        <v/>
      </c>
      <c r="R13" s="52">
        <f>IF(P13="","",P13*Q13)</f>
        <v/>
      </c>
      <c r="S13" s="62">
        <f>IF(N13="","PENDING",IF(P13&gt;0,"DEMURRAGE","ON-TIME"))</f>
        <v/>
      </c>
      <c r="T13" s="62">
        <f>IF(AND(D13&lt;&gt;"",K13&lt;&gt;"",K13&lt;D13),"⚠ Arr&lt;Loaded",IF(AND(K13&lt;&gt;"",L13&lt;&gt;"",L13&lt;K13),"⚠ Off&lt;Arr","OK"))</f>
        <v/>
      </c>
      <c r="U13" s="62">
        <f>IF(D13="","",TEXT(D13,"yyyy-mm"))</f>
        <v/>
      </c>
    </row>
    <row r="14">
      <c r="B14" s="62" t="n">
        <v>184752</v>
      </c>
      <c r="C14" s="50" t="inlineStr">
        <is>
          <t>Rubis Energy Zambia</t>
        </is>
      </c>
      <c r="D14" s="49" t="n">
        <v>46021</v>
      </c>
      <c r="E14" s="50" t="inlineStr">
        <is>
          <t>Beira</t>
        </is>
      </c>
      <c r="F14" s="50" t="inlineStr">
        <is>
          <t>Lusaka</t>
        </is>
      </c>
      <c r="G14" s="50" t="inlineStr">
        <is>
          <t>PMS</t>
        </is>
      </c>
      <c r="H14" s="50" t="inlineStr">
        <is>
          <t>AFV 439 MP</t>
        </is>
      </c>
      <c r="I14" s="50" t="inlineStr">
        <is>
          <t>AE 760 MC</t>
        </is>
      </c>
      <c r="J14" s="50" t="inlineStr">
        <is>
          <t>WHC</t>
        </is>
      </c>
      <c r="K14" s="50" t="inlineStr">
        <is>
          <t>Adelino Silira</t>
        </is>
      </c>
      <c r="L14" s="49" t="n">
        <v>46030</v>
      </c>
      <c r="M14" s="49" t="n">
        <v>46034</v>
      </c>
      <c r="N14" s="51">
        <f>IF(OR(K14="",L14="" ),"",L14-K14)</f>
        <v/>
      </c>
      <c r="O14" s="51">
        <f>IFERROR(VLOOKUP(B14,Deals[#All],7,FALSE),DEF_LAYTIME)</f>
        <v/>
      </c>
      <c r="P14" s="51">
        <f>IF(N14="","",MAX(0,N14-O14))</f>
        <v/>
      </c>
      <c r="Q14" s="52">
        <f>IFERROR(VLOOKUP(B14,Deals[#All],8,FALSE),DEF_RATE)</f>
        <v/>
      </c>
      <c r="R14" s="52">
        <f>IF(P14="","",P14*Q14)</f>
        <v/>
      </c>
      <c r="S14" s="62">
        <f>IF(N14="","PENDING",IF(P14&gt;0,"DEMURRAGE","ON-TIME"))</f>
        <v/>
      </c>
      <c r="T14" s="62">
        <f>IF(AND(D14&lt;&gt;"",K14&lt;&gt;"",K14&lt;D14),"⚠ Arr&lt;Loaded",IF(AND(K14&lt;&gt;"",L14&lt;&gt;"",L14&lt;K14),"⚠ Off&lt;Arr","OK"))</f>
        <v/>
      </c>
      <c r="U14" s="62">
        <f>IF(D14="","",TEXT(D14,"yyyy-mm"))</f>
        <v/>
      </c>
    </row>
    <row r="15">
      <c r="B15" s="62" t="n">
        <v>184752</v>
      </c>
      <c r="C15" s="50" t="inlineStr">
        <is>
          <t>Rubis Energy Zambia</t>
        </is>
      </c>
      <c r="D15" s="49" t="n">
        <v>46021</v>
      </c>
      <c r="E15" s="50" t="inlineStr">
        <is>
          <t>Beira</t>
        </is>
      </c>
      <c r="F15" s="50" t="inlineStr">
        <is>
          <t>Lusaka</t>
        </is>
      </c>
      <c r="G15" s="50" t="inlineStr">
        <is>
          <t>PMS</t>
        </is>
      </c>
      <c r="H15" s="50" t="inlineStr">
        <is>
          <t>AIQ 955 MP</t>
        </is>
      </c>
      <c r="I15" s="50" t="inlineStr">
        <is>
          <t>AJ 042 MC</t>
        </is>
      </c>
      <c r="J15" s="50" t="inlineStr">
        <is>
          <t>WHC</t>
        </is>
      </c>
      <c r="K15" s="50" t="inlineStr">
        <is>
          <t>Maxwell Shamu</t>
        </is>
      </c>
      <c r="L15" s="49" t="n">
        <v>46030</v>
      </c>
      <c r="M15" s="49" t="n">
        <v>46035</v>
      </c>
      <c r="N15" s="51">
        <f>IF(OR(K15="",L15="" ),"",L15-K15)</f>
        <v/>
      </c>
      <c r="O15" s="51">
        <f>IFERROR(VLOOKUP(B15,Deals[#All],7,FALSE),DEF_LAYTIME)</f>
        <v/>
      </c>
      <c r="P15" s="51">
        <f>IF(N15="","",MAX(0,N15-O15))</f>
        <v/>
      </c>
      <c r="Q15" s="52">
        <f>IFERROR(VLOOKUP(B15,Deals[#All],8,FALSE),DEF_RATE)</f>
        <v/>
      </c>
      <c r="R15" s="52">
        <f>IF(P15="","",P15*Q15)</f>
        <v/>
      </c>
      <c r="S15" s="62">
        <f>IF(N15="","PENDING",IF(P15&gt;0,"DEMURRAGE","ON-TIME"))</f>
        <v/>
      </c>
      <c r="T15" s="62">
        <f>IF(AND(D15&lt;&gt;"",K15&lt;&gt;"",K15&lt;D15),"⚠ Arr&lt;Loaded",IF(AND(K15&lt;&gt;"",L15&lt;&gt;"",L15&lt;K15),"⚠ Off&lt;Arr","OK"))</f>
        <v/>
      </c>
      <c r="U15" s="62">
        <f>IF(D15="","",TEXT(D15,"yyyy-mm"))</f>
        <v/>
      </c>
    </row>
    <row r="16">
      <c r="B16" s="62" t="n">
        <v>184752</v>
      </c>
      <c r="C16" s="50" t="inlineStr">
        <is>
          <t>Rubis Energy Zambia</t>
        </is>
      </c>
      <c r="D16" s="49" t="n">
        <v>46021</v>
      </c>
      <c r="E16" s="50" t="inlineStr">
        <is>
          <t>Beira</t>
        </is>
      </c>
      <c r="F16" s="50" t="inlineStr">
        <is>
          <t>Lusaka</t>
        </is>
      </c>
      <c r="G16" s="50" t="inlineStr">
        <is>
          <t>PMS</t>
        </is>
      </c>
      <c r="H16" s="50" t="inlineStr">
        <is>
          <t>AAX 014 SF</t>
        </is>
      </c>
      <c r="I16" s="50" t="inlineStr">
        <is>
          <t>AA 475 MC</t>
        </is>
      </c>
      <c r="J16" s="50" t="inlineStr">
        <is>
          <t>WHC</t>
        </is>
      </c>
      <c r="K16" s="50" t="inlineStr">
        <is>
          <t>Clayton Kamudzeya</t>
        </is>
      </c>
      <c r="L16" s="49" t="n">
        <v>46030</v>
      </c>
      <c r="M16" s="49" t="n">
        <v>46034</v>
      </c>
      <c r="N16" s="51">
        <f>IF(OR(K16="",L16="" ),"",L16-K16)</f>
        <v/>
      </c>
      <c r="O16" s="51">
        <f>IFERROR(VLOOKUP(B16,Deals[#All],7,FALSE),DEF_LAYTIME)</f>
        <v/>
      </c>
      <c r="P16" s="51">
        <f>IF(N16="","",MAX(0,N16-O16))</f>
        <v/>
      </c>
      <c r="Q16" s="52">
        <f>IFERROR(VLOOKUP(B16,Deals[#All],8,FALSE),DEF_RATE)</f>
        <v/>
      </c>
      <c r="R16" s="52">
        <f>IF(P16="","",P16*Q16)</f>
        <v/>
      </c>
      <c r="S16" s="62">
        <f>IF(N16="","PENDING",IF(P16&gt;0,"DEMURRAGE","ON-TIME"))</f>
        <v/>
      </c>
      <c r="T16" s="62">
        <f>IF(AND(D16&lt;&gt;"",K16&lt;&gt;"",K16&lt;D16),"⚠ Arr&lt;Loaded",IF(AND(K16&lt;&gt;"",L16&lt;&gt;"",L16&lt;K16),"⚠ Off&lt;Arr","OK"))</f>
        <v/>
      </c>
      <c r="U16" s="62">
        <f>IF(D16="","",TEXT(D16,"yyyy-mm"))</f>
        <v/>
      </c>
    </row>
    <row r="17">
      <c r="B17" s="62" t="n">
        <v>184834</v>
      </c>
      <c r="C17" s="50" t="inlineStr">
        <is>
          <t>Reliance Energy Zambia</t>
        </is>
      </c>
      <c r="D17" s="49" t="n">
        <v>46011</v>
      </c>
      <c r="E17" s="50" t="inlineStr">
        <is>
          <t>Beira</t>
        </is>
      </c>
      <c r="F17" s="50" t="inlineStr">
        <is>
          <t>Lusaka</t>
        </is>
      </c>
      <c r="G17" s="50" t="inlineStr">
        <is>
          <t>PMS</t>
        </is>
      </c>
      <c r="H17" s="50" t="inlineStr">
        <is>
          <t>AKO080MC</t>
        </is>
      </c>
      <c r="I17" s="50" t="inlineStr">
        <is>
          <t>AH456MC</t>
        </is>
      </c>
      <c r="J17" s="50" t="inlineStr">
        <is>
          <t>PETRODA</t>
        </is>
      </c>
      <c r="K17" s="50" t="inlineStr">
        <is>
          <t>FERNANDO ULISSONE FERNANDO MATANDIRE</t>
        </is>
      </c>
      <c r="L17" s="49" t="n">
        <v>46016</v>
      </c>
      <c r="M17" s="49" t="n">
        <v>46017</v>
      </c>
      <c r="N17" s="51">
        <f>IF(OR(K17="",L17="" ),"",L17-K17)</f>
        <v/>
      </c>
      <c r="O17" s="51">
        <f>IFERROR(VLOOKUP(B17,Deals[#All],7,FALSE),DEF_LAYTIME)</f>
        <v/>
      </c>
      <c r="P17" s="51">
        <f>IF(N17="","",MAX(0,N17-O17))</f>
        <v/>
      </c>
      <c r="Q17" s="52">
        <f>IFERROR(VLOOKUP(B17,Deals[#All],8,FALSE),DEF_RATE)</f>
        <v/>
      </c>
      <c r="R17" s="52">
        <f>IF(P17="","",P17*Q17)</f>
        <v/>
      </c>
      <c r="S17" s="62">
        <f>IF(N17="","PENDING",IF(P17&gt;0,"DEMURRAGE","ON-TIME"))</f>
        <v/>
      </c>
      <c r="T17" s="62">
        <f>IF(AND(D17&lt;&gt;"",K17&lt;&gt;"",K17&lt;D17),"⚠ Arr&lt;Loaded",IF(AND(K17&lt;&gt;"",L17&lt;&gt;"",L17&lt;K17),"⚠ Off&lt;Arr","OK"))</f>
        <v/>
      </c>
      <c r="U17" s="62">
        <f>IF(D17="","",TEXT(D17,"yyyy-mm"))</f>
        <v/>
      </c>
    </row>
    <row r="18">
      <c r="B18" s="62" t="n">
        <v>184834</v>
      </c>
      <c r="C18" s="50" t="inlineStr">
        <is>
          <t>Reliance Energy Zambia</t>
        </is>
      </c>
      <c r="D18" s="49" t="n">
        <v>46011</v>
      </c>
      <c r="E18" s="50" t="inlineStr">
        <is>
          <t>Beira</t>
        </is>
      </c>
      <c r="F18" s="50" t="inlineStr">
        <is>
          <t>Lusaka</t>
        </is>
      </c>
      <c r="G18" s="50" t="inlineStr">
        <is>
          <t>PMS</t>
        </is>
      </c>
      <c r="H18" s="50" t="inlineStr">
        <is>
          <t>AKN021MC</t>
        </is>
      </c>
      <c r="I18" s="50" t="inlineStr">
        <is>
          <t>AH430MC</t>
        </is>
      </c>
      <c r="J18" s="50" t="inlineStr">
        <is>
          <t>PETRODA</t>
        </is>
      </c>
      <c r="K18" s="50" t="inlineStr">
        <is>
          <t>CHICONDI RAIMUNDO TEMBO</t>
        </is>
      </c>
      <c r="L18" s="49" t="n">
        <v>46016</v>
      </c>
      <c r="M18" s="49" t="n">
        <v>46017</v>
      </c>
      <c r="N18" s="51">
        <f>IF(OR(K18="",L18="" ),"",L18-K18)</f>
        <v/>
      </c>
      <c r="O18" s="51">
        <f>IFERROR(VLOOKUP(B18,Deals[#All],7,FALSE),DEF_LAYTIME)</f>
        <v/>
      </c>
      <c r="P18" s="51">
        <f>IF(N18="","",MAX(0,N18-O18))</f>
        <v/>
      </c>
      <c r="Q18" s="52">
        <f>IFERROR(VLOOKUP(B18,Deals[#All],8,FALSE),DEF_RATE)</f>
        <v/>
      </c>
      <c r="R18" s="52">
        <f>IF(P18="","",P18*Q18)</f>
        <v/>
      </c>
      <c r="S18" s="62">
        <f>IF(N18="","PENDING",IF(P18&gt;0,"DEMURRAGE","ON-TIME"))</f>
        <v/>
      </c>
      <c r="T18" s="62">
        <f>IF(AND(D18&lt;&gt;"",K18&lt;&gt;"",K18&lt;D18),"⚠ Arr&lt;Loaded",IF(AND(K18&lt;&gt;"",L18&lt;&gt;"",L18&lt;K18),"⚠ Off&lt;Arr","OK"))</f>
        <v/>
      </c>
      <c r="U18" s="62">
        <f>IF(D18="","",TEXT(D18,"yyyy-mm"))</f>
        <v/>
      </c>
    </row>
    <row r="19">
      <c r="B19" s="62" t="n">
        <v>184834</v>
      </c>
      <c r="C19" s="50" t="inlineStr">
        <is>
          <t>Reliance Energy Zambia</t>
        </is>
      </c>
      <c r="D19" s="49" t="n">
        <v>46011</v>
      </c>
      <c r="E19" s="50" t="inlineStr">
        <is>
          <t>Beira</t>
        </is>
      </c>
      <c r="F19" s="50" t="inlineStr">
        <is>
          <t>Lusaka</t>
        </is>
      </c>
      <c r="G19" s="50" t="inlineStr">
        <is>
          <t>PMS</t>
        </is>
      </c>
      <c r="H19" s="50" t="inlineStr">
        <is>
          <t>AK0101MC</t>
        </is>
      </c>
      <c r="I19" s="50" t="inlineStr">
        <is>
          <t>AH451MC</t>
        </is>
      </c>
      <c r="J19" s="50" t="inlineStr">
        <is>
          <t>PETRODA</t>
        </is>
      </c>
      <c r="K19" s="50" t="inlineStr">
        <is>
          <t>PEREIRA FERNANDO ARGOLA</t>
        </is>
      </c>
      <c r="L19" s="49" t="n">
        <v>46015</v>
      </c>
      <c r="M19" s="49" t="n">
        <v>46015</v>
      </c>
      <c r="N19" s="51">
        <f>IF(OR(K19="",L19="" ),"",L19-K19)</f>
        <v/>
      </c>
      <c r="O19" s="51">
        <f>IFERROR(VLOOKUP(B19,Deals[#All],7,FALSE),DEF_LAYTIME)</f>
        <v/>
      </c>
      <c r="P19" s="51">
        <f>IF(N19="","",MAX(0,N19-O19))</f>
        <v/>
      </c>
      <c r="Q19" s="52">
        <f>IFERROR(VLOOKUP(B19,Deals[#All],8,FALSE),DEF_RATE)</f>
        <v/>
      </c>
      <c r="R19" s="52">
        <f>IF(P19="","",P19*Q19)</f>
        <v/>
      </c>
      <c r="S19" s="62">
        <f>IF(N19="","PENDING",IF(P19&gt;0,"DEMURRAGE","ON-TIME"))</f>
        <v/>
      </c>
      <c r="T19" s="62">
        <f>IF(AND(D19&lt;&gt;"",K19&lt;&gt;"",K19&lt;D19),"⚠ Arr&lt;Loaded",IF(AND(K19&lt;&gt;"",L19&lt;&gt;"",L19&lt;K19),"⚠ Off&lt;Arr","OK"))</f>
        <v/>
      </c>
      <c r="U19" s="62">
        <f>IF(D19="","",TEXT(D19,"yyyy-mm"))</f>
        <v/>
      </c>
    </row>
    <row r="20">
      <c r="B20" s="62" t="n">
        <v>184834</v>
      </c>
      <c r="C20" s="50" t="inlineStr">
        <is>
          <t>Reliance Energy Zambia</t>
        </is>
      </c>
      <c r="D20" s="49" t="n">
        <v>46011</v>
      </c>
      <c r="E20" s="50" t="inlineStr">
        <is>
          <t>Beira</t>
        </is>
      </c>
      <c r="F20" s="50" t="inlineStr">
        <is>
          <t>Lusaka</t>
        </is>
      </c>
      <c r="G20" s="50" t="inlineStr">
        <is>
          <t>PMS</t>
        </is>
      </c>
      <c r="H20" s="50" t="inlineStr">
        <is>
          <t>AKN812MC</t>
        </is>
      </c>
      <c r="I20" s="50" t="inlineStr">
        <is>
          <t>AH439MC</t>
        </is>
      </c>
      <c r="J20" s="50" t="inlineStr">
        <is>
          <t>PETRODA</t>
        </is>
      </c>
      <c r="K20" s="50" t="inlineStr">
        <is>
          <t>MOISES BACALEUANE ARROZ</t>
        </is>
      </c>
      <c r="L20" s="49" t="n">
        <v>46015</v>
      </c>
      <c r="M20" s="49" t="n">
        <v>46015</v>
      </c>
      <c r="N20" s="51">
        <f>IF(OR(K20="",L20="" ),"",L20-K20)</f>
        <v/>
      </c>
      <c r="O20" s="51">
        <f>IFERROR(VLOOKUP(B20,Deals[#All],7,FALSE),DEF_LAYTIME)</f>
        <v/>
      </c>
      <c r="P20" s="51">
        <f>IF(N20="","",MAX(0,N20-O20))</f>
        <v/>
      </c>
      <c r="Q20" s="52">
        <f>IFERROR(VLOOKUP(B20,Deals[#All],8,FALSE),DEF_RATE)</f>
        <v/>
      </c>
      <c r="R20" s="52">
        <f>IF(P20="","",P20*Q20)</f>
        <v/>
      </c>
      <c r="S20" s="62">
        <f>IF(N20="","PENDING",IF(P20&gt;0,"DEMURRAGE","ON-TIME"))</f>
        <v/>
      </c>
      <c r="T20" s="62">
        <f>IF(AND(D20&lt;&gt;"",K20&lt;&gt;"",K20&lt;D20),"⚠ Arr&lt;Loaded",IF(AND(K20&lt;&gt;"",L20&lt;&gt;"",L20&lt;K20),"⚠ Off&lt;Arr","OK"))</f>
        <v/>
      </c>
      <c r="U20" s="62">
        <f>IF(D20="","",TEXT(D20,"yyyy-mm"))</f>
        <v/>
      </c>
    </row>
    <row r="21">
      <c r="B21" s="62" t="n">
        <v>187293</v>
      </c>
      <c r="C21" s="50" t="inlineStr">
        <is>
          <t>Lake Petroleum Zambia</t>
        </is>
      </c>
      <c r="D21" s="49" t="n">
        <v>46095</v>
      </c>
      <c r="E21" s="50" t="inlineStr">
        <is>
          <t>Beira</t>
        </is>
      </c>
      <c r="F21" s="50" t="inlineStr">
        <is>
          <t>Lusaka</t>
        </is>
      </c>
      <c r="G21" s="50" t="inlineStr">
        <is>
          <t>PMS</t>
        </is>
      </c>
      <c r="H21" s="50" t="inlineStr">
        <is>
          <t>AKN 001 MC</t>
        </is>
      </c>
      <c r="I21" s="50" t="inlineStr">
        <is>
          <t>AH 453 MC</t>
        </is>
      </c>
      <c r="J21" s="50" t="inlineStr">
        <is>
          <t>PETRODA</t>
        </is>
      </c>
      <c r="K21" s="50" t="inlineStr">
        <is>
          <t>MOMADE MOEDA MOMADE</t>
        </is>
      </c>
      <c r="L21" s="49" t="n">
        <v>46102</v>
      </c>
      <c r="M21" s="49" t="n">
        <v>46113</v>
      </c>
      <c r="N21" s="51">
        <f>IF(OR(K21="",L21="" ),"",L21-K21)</f>
        <v/>
      </c>
      <c r="O21" s="51">
        <f>IFERROR(VLOOKUP(B21,Deals[#All],7,FALSE),DEF_LAYTIME)</f>
        <v/>
      </c>
      <c r="P21" s="51">
        <f>IF(N21="","",MAX(0,N21-O21))</f>
        <v/>
      </c>
      <c r="Q21" s="52">
        <f>IFERROR(VLOOKUP(B21,Deals[#All],8,FALSE),DEF_RATE)</f>
        <v/>
      </c>
      <c r="R21" s="52">
        <f>IF(P21="","",P21*Q21)</f>
        <v/>
      </c>
      <c r="S21" s="62">
        <f>IF(N21="","PENDING",IF(P21&gt;0,"DEMURRAGE","ON-TIME"))</f>
        <v/>
      </c>
      <c r="T21" s="62">
        <f>IF(AND(D21&lt;&gt;"",K21&lt;&gt;"",K21&lt;D21),"⚠ Arr&lt;Loaded",IF(AND(K21&lt;&gt;"",L21&lt;&gt;"",L21&lt;K21),"⚠ Off&lt;Arr","OK"))</f>
        <v/>
      </c>
      <c r="U21" s="62">
        <f>IF(D21="","",TEXT(D21,"yyyy-mm"))</f>
        <v/>
      </c>
    </row>
    <row r="22">
      <c r="B22" s="62" t="n">
        <v>187293</v>
      </c>
      <c r="C22" s="50" t="inlineStr">
        <is>
          <t>Lake Petroleum Zambia</t>
        </is>
      </c>
      <c r="D22" s="49" t="n">
        <v>46095</v>
      </c>
      <c r="E22" s="50" t="inlineStr">
        <is>
          <t>Beira</t>
        </is>
      </c>
      <c r="F22" s="50" t="inlineStr">
        <is>
          <t>Lusaka</t>
        </is>
      </c>
      <c r="G22" s="50" t="inlineStr">
        <is>
          <t>PMS</t>
        </is>
      </c>
      <c r="H22" s="50" t="inlineStr">
        <is>
          <t>AKN 014 MC</t>
        </is>
      </c>
      <c r="I22" s="50" t="inlineStr">
        <is>
          <t>AH 447 MC</t>
        </is>
      </c>
      <c r="J22" s="50" t="inlineStr">
        <is>
          <t>PETRODA</t>
        </is>
      </c>
      <c r="K22" s="50" t="inlineStr">
        <is>
          <t>KEITH TCHUMA</t>
        </is>
      </c>
      <c r="L22" s="49" t="n">
        <v>46099</v>
      </c>
      <c r="M22" s="49" t="n">
        <v>46111</v>
      </c>
      <c r="N22" s="51">
        <f>IF(OR(K22="",L22="" ),"",L22-K22)</f>
        <v/>
      </c>
      <c r="O22" s="51">
        <f>IFERROR(VLOOKUP(B22,Deals[#All],7,FALSE),DEF_LAYTIME)</f>
        <v/>
      </c>
      <c r="P22" s="51">
        <f>IF(N22="","",MAX(0,N22-O22))</f>
        <v/>
      </c>
      <c r="Q22" s="52">
        <f>IFERROR(VLOOKUP(B22,Deals[#All],8,FALSE),DEF_RATE)</f>
        <v/>
      </c>
      <c r="R22" s="52">
        <f>IF(P22="","",P22*Q22)</f>
        <v/>
      </c>
      <c r="S22" s="62">
        <f>IF(N22="","PENDING",IF(P22&gt;0,"DEMURRAGE","ON-TIME"))</f>
        <v/>
      </c>
      <c r="T22" s="62">
        <f>IF(AND(D22&lt;&gt;"",K22&lt;&gt;"",K22&lt;D22),"⚠ Arr&lt;Loaded",IF(AND(K22&lt;&gt;"",L22&lt;&gt;"",L22&lt;K22),"⚠ Off&lt;Arr","OK"))</f>
        <v/>
      </c>
      <c r="U22" s="62">
        <f>IF(D22="","",TEXT(D22,"yyyy-mm"))</f>
        <v/>
      </c>
    </row>
    <row r="23">
      <c r="B23" s="62" t="n">
        <v>187293</v>
      </c>
      <c r="C23" s="50" t="inlineStr">
        <is>
          <t>Lake Petroleum Zambia</t>
        </is>
      </c>
      <c r="D23" s="49" t="n">
        <v>46095</v>
      </c>
      <c r="E23" s="50" t="inlineStr">
        <is>
          <t>Beira</t>
        </is>
      </c>
      <c r="F23" s="50" t="inlineStr">
        <is>
          <t>Lusaka</t>
        </is>
      </c>
      <c r="G23" s="50" t="inlineStr">
        <is>
          <t>PMS</t>
        </is>
      </c>
      <c r="H23" s="50" t="inlineStr">
        <is>
          <t>AKN 767 MC</t>
        </is>
      </c>
      <c r="I23" s="50" t="inlineStr">
        <is>
          <t>AH 437 MC</t>
        </is>
      </c>
      <c r="J23" s="50" t="inlineStr">
        <is>
          <t>PETRODA</t>
        </is>
      </c>
      <c r="K23" s="50" t="inlineStr">
        <is>
          <t>CARLOS JOSE JOAO</t>
        </is>
      </c>
      <c r="L23" s="49" t="n">
        <v>46102</v>
      </c>
      <c r="M23" s="49" t="n">
        <v>46113</v>
      </c>
      <c r="N23" s="51">
        <f>IF(OR(K23="",L23="" ),"",L23-K23)</f>
        <v/>
      </c>
      <c r="O23" s="51">
        <f>IFERROR(VLOOKUP(B23,Deals[#All],7,FALSE),DEF_LAYTIME)</f>
        <v/>
      </c>
      <c r="P23" s="51">
        <f>IF(N23="","",MAX(0,N23-O23))</f>
        <v/>
      </c>
      <c r="Q23" s="52">
        <f>IFERROR(VLOOKUP(B23,Deals[#All],8,FALSE),DEF_RATE)</f>
        <v/>
      </c>
      <c r="R23" s="52">
        <f>IF(P23="","",P23*Q23)</f>
        <v/>
      </c>
      <c r="S23" s="62">
        <f>IF(N23="","PENDING",IF(P23&gt;0,"DEMURRAGE","ON-TIME"))</f>
        <v/>
      </c>
      <c r="T23" s="62">
        <f>IF(AND(D23&lt;&gt;"",K23&lt;&gt;"",K23&lt;D23),"⚠ Arr&lt;Loaded",IF(AND(K23&lt;&gt;"",L23&lt;&gt;"",L23&lt;K23),"⚠ Off&lt;Arr","OK"))</f>
        <v/>
      </c>
      <c r="U23" s="62">
        <f>IF(D23="","",TEXT(D23,"yyyy-mm"))</f>
        <v/>
      </c>
    </row>
    <row r="24">
      <c r="B24" s="62" t="n">
        <v>187293</v>
      </c>
      <c r="C24" s="50" t="inlineStr">
        <is>
          <t>Lake Petroleum Zambia</t>
        </is>
      </c>
      <c r="D24" s="49" t="n">
        <v>46095</v>
      </c>
      <c r="E24" s="50" t="inlineStr">
        <is>
          <t>Beira</t>
        </is>
      </c>
      <c r="F24" s="50" t="inlineStr">
        <is>
          <t>Lusaka</t>
        </is>
      </c>
      <c r="G24" s="50" t="inlineStr">
        <is>
          <t>PMS</t>
        </is>
      </c>
      <c r="H24" s="50" t="inlineStr">
        <is>
          <t>AKN 010 MC</t>
        </is>
      </c>
      <c r="I24" s="50" t="inlineStr">
        <is>
          <t>AH 438 MC</t>
        </is>
      </c>
      <c r="J24" s="50" t="inlineStr">
        <is>
          <t>PETRODA</t>
        </is>
      </c>
      <c r="K24" s="50" t="inlineStr">
        <is>
          <t>NELSON GOTINE</t>
        </is>
      </c>
      <c r="L24" s="49" t="n">
        <v>46102</v>
      </c>
      <c r="M24" s="49" t="n">
        <v>46113</v>
      </c>
      <c r="N24" s="51">
        <f>IF(OR(K24="",L24="" ),"",L24-K24)</f>
        <v/>
      </c>
      <c r="O24" s="51">
        <f>IFERROR(VLOOKUP(B24,Deals[#All],7,FALSE),DEF_LAYTIME)</f>
        <v/>
      </c>
      <c r="P24" s="51">
        <f>IF(N24="","",MAX(0,N24-O24))</f>
        <v/>
      </c>
      <c r="Q24" s="52">
        <f>IFERROR(VLOOKUP(B24,Deals[#All],8,FALSE),DEF_RATE)</f>
        <v/>
      </c>
      <c r="R24" s="52">
        <f>IF(P24="","",P24*Q24)</f>
        <v/>
      </c>
      <c r="S24" s="62">
        <f>IF(N24="","PENDING",IF(P24&gt;0,"DEMURRAGE","ON-TIME"))</f>
        <v/>
      </c>
      <c r="T24" s="62">
        <f>IF(AND(D24&lt;&gt;"",K24&lt;&gt;"",K24&lt;D24),"⚠ Arr&lt;Loaded",IF(AND(K24&lt;&gt;"",L24&lt;&gt;"",L24&lt;K24),"⚠ Off&lt;Arr","OK"))</f>
        <v/>
      </c>
      <c r="U24" s="62">
        <f>IF(D24="","",TEXT(D24,"yyyy-mm"))</f>
        <v/>
      </c>
    </row>
    <row r="25">
      <c r="B25" s="62" t="n">
        <v>187293</v>
      </c>
      <c r="C25" s="50" t="inlineStr">
        <is>
          <t>Lake Petroleum Zambia</t>
        </is>
      </c>
      <c r="D25" s="49" t="n">
        <v>46095</v>
      </c>
      <c r="E25" s="50" t="inlineStr">
        <is>
          <t>Beira</t>
        </is>
      </c>
      <c r="F25" s="50" t="inlineStr">
        <is>
          <t>Lusaka</t>
        </is>
      </c>
      <c r="G25" s="50" t="inlineStr">
        <is>
          <t>PMS</t>
        </is>
      </c>
      <c r="H25" s="50" t="inlineStr">
        <is>
          <t>AKN 820 MC</t>
        </is>
      </c>
      <c r="I25" s="50" t="inlineStr">
        <is>
          <t>AH 468 MC</t>
        </is>
      </c>
      <c r="J25" s="50" t="inlineStr">
        <is>
          <t>PETRODA</t>
        </is>
      </c>
      <c r="K25" s="50" t="inlineStr">
        <is>
          <t>CHIFUNDO SITOLO</t>
        </is>
      </c>
      <c r="L25" s="49" t="n">
        <v>46099</v>
      </c>
      <c r="M25" s="49" t="n">
        <v>46113</v>
      </c>
      <c r="N25" s="51">
        <f>IF(OR(K25="",L25="" ),"",L25-K25)</f>
        <v/>
      </c>
      <c r="O25" s="51">
        <f>IFERROR(VLOOKUP(B25,Deals[#All],7,FALSE),DEF_LAYTIME)</f>
        <v/>
      </c>
      <c r="P25" s="51">
        <f>IF(N25="","",MAX(0,N25-O25))</f>
        <v/>
      </c>
      <c r="Q25" s="52">
        <f>IFERROR(VLOOKUP(B25,Deals[#All],8,FALSE),DEF_RATE)</f>
        <v/>
      </c>
      <c r="R25" s="52">
        <f>IF(P25="","",P25*Q25)</f>
        <v/>
      </c>
      <c r="S25" s="62">
        <f>IF(N25="","PENDING",IF(P25&gt;0,"DEMURRAGE","ON-TIME"))</f>
        <v/>
      </c>
      <c r="T25" s="62">
        <f>IF(AND(D25&lt;&gt;"",K25&lt;&gt;"",K25&lt;D25),"⚠ Arr&lt;Loaded",IF(AND(K25&lt;&gt;"",L25&lt;&gt;"",L25&lt;K25),"⚠ Off&lt;Arr","OK"))</f>
        <v/>
      </c>
      <c r="U25" s="62">
        <f>IF(D25="","",TEXT(D25,"yyyy-mm"))</f>
        <v/>
      </c>
    </row>
    <row r="26">
      <c r="B26" s="62" t="n">
        <v>187293</v>
      </c>
      <c r="C26" s="50" t="inlineStr">
        <is>
          <t>Lake Petroleum Zambia</t>
        </is>
      </c>
      <c r="D26" s="49" t="n">
        <v>46102</v>
      </c>
      <c r="E26" s="50" t="inlineStr">
        <is>
          <t>Beira</t>
        </is>
      </c>
      <c r="F26" s="50" t="inlineStr">
        <is>
          <t>Lusaka</t>
        </is>
      </c>
      <c r="G26" s="50" t="inlineStr">
        <is>
          <t>PMS</t>
        </is>
      </c>
      <c r="H26" s="50" t="inlineStr">
        <is>
          <t>ABC 253 SF</t>
        </is>
      </c>
      <c r="I26" s="50" t="inlineStr">
        <is>
          <t>AH 386 SF</t>
        </is>
      </c>
      <c r="J26" s="50" t="inlineStr">
        <is>
          <t>PETRODA</t>
        </is>
      </c>
      <c r="K26" s="50" t="inlineStr">
        <is>
          <t>Zacarias Huo</t>
        </is>
      </c>
      <c r="L26" s="49" t="n">
        <v>46106</v>
      </c>
      <c r="M26" s="49" t="n">
        <v>46111</v>
      </c>
      <c r="N26" s="51">
        <f>IF(OR(K26="",L26="" ),"",L26-K26)</f>
        <v/>
      </c>
      <c r="O26" s="51">
        <f>IFERROR(VLOOKUP(B26,Deals[#All],7,FALSE),DEF_LAYTIME)</f>
        <v/>
      </c>
      <c r="P26" s="51">
        <f>IF(N26="","",MAX(0,N26-O26))</f>
        <v/>
      </c>
      <c r="Q26" s="52">
        <f>IFERROR(VLOOKUP(B26,Deals[#All],8,FALSE),DEF_RATE)</f>
        <v/>
      </c>
      <c r="R26" s="52">
        <f>IF(P26="","",P26*Q26)</f>
        <v/>
      </c>
      <c r="S26" s="62">
        <f>IF(N26="","PENDING",IF(P26&gt;0,"DEMURRAGE","ON-TIME"))</f>
        <v/>
      </c>
      <c r="T26" s="62">
        <f>IF(AND(D26&lt;&gt;"",K26&lt;&gt;"",K26&lt;D26),"⚠ Arr&lt;Loaded",IF(AND(K26&lt;&gt;"",L26&lt;&gt;"",L26&lt;K26),"⚠ Off&lt;Arr","OK"))</f>
        <v/>
      </c>
      <c r="U26" s="62">
        <f>IF(D26="","",TEXT(D26,"yyyy-mm"))</f>
        <v/>
      </c>
    </row>
    <row r="27">
      <c r="B27" s="62" t="n">
        <v>187293</v>
      </c>
      <c r="C27" s="50" t="inlineStr">
        <is>
          <t>Lake Petroleum Zambia</t>
        </is>
      </c>
      <c r="D27" s="49" t="n">
        <v>46101</v>
      </c>
      <c r="E27" s="50" t="inlineStr">
        <is>
          <t>Beira</t>
        </is>
      </c>
      <c r="F27" s="50" t="inlineStr">
        <is>
          <t>Lusaka</t>
        </is>
      </c>
      <c r="G27" s="50" t="inlineStr">
        <is>
          <t>PMS</t>
        </is>
      </c>
      <c r="H27" s="50" t="inlineStr">
        <is>
          <t>AKO 101 MC</t>
        </is>
      </c>
      <c r="I27" s="50" t="inlineStr">
        <is>
          <t>AH 451 MC</t>
        </is>
      </c>
      <c r="J27" s="50" t="inlineStr">
        <is>
          <t>PETRODA</t>
        </is>
      </c>
      <c r="K27" s="50" t="inlineStr">
        <is>
          <t>Casse Moguene</t>
        </is>
      </c>
      <c r="L27" s="49" t="n">
        <v>46111</v>
      </c>
      <c r="M27" s="49" t="n">
        <v>46114</v>
      </c>
      <c r="N27" s="51">
        <f>IF(OR(K27="",L27="" ),"",L27-K27)</f>
        <v/>
      </c>
      <c r="O27" s="51">
        <f>IFERROR(VLOOKUP(B27,Deals[#All],7,FALSE),DEF_LAYTIME)</f>
        <v/>
      </c>
      <c r="P27" s="51">
        <f>IF(N27="","",MAX(0,N27-O27))</f>
        <v/>
      </c>
      <c r="Q27" s="52">
        <f>IFERROR(VLOOKUP(B27,Deals[#All],8,FALSE),DEF_RATE)</f>
        <v/>
      </c>
      <c r="R27" s="52">
        <f>IF(P27="","",P27*Q27)</f>
        <v/>
      </c>
      <c r="S27" s="62">
        <f>IF(N27="","PENDING",IF(P27&gt;0,"DEMURRAGE","ON-TIME"))</f>
        <v/>
      </c>
      <c r="T27" s="62">
        <f>IF(AND(D27&lt;&gt;"",K27&lt;&gt;"",K27&lt;D27),"⚠ Arr&lt;Loaded",IF(AND(K27&lt;&gt;"",L27&lt;&gt;"",L27&lt;K27),"⚠ Off&lt;Arr","OK"))</f>
        <v/>
      </c>
      <c r="U27" s="62">
        <f>IF(D27="","",TEXT(D27,"yyyy-mm"))</f>
        <v/>
      </c>
    </row>
    <row r="28">
      <c r="B28" s="62" t="n">
        <v>187293</v>
      </c>
      <c r="C28" s="50" t="inlineStr">
        <is>
          <t>Lake Petroleum Zambia</t>
        </is>
      </c>
      <c r="D28" s="49" t="n">
        <v>46079</v>
      </c>
      <c r="E28" s="50" t="inlineStr">
        <is>
          <t>Beira</t>
        </is>
      </c>
      <c r="F28" s="50" t="inlineStr">
        <is>
          <t>Lusaka</t>
        </is>
      </c>
      <c r="G28" s="50" t="inlineStr">
        <is>
          <t>PMS</t>
        </is>
      </c>
      <c r="H28" s="50" t="inlineStr">
        <is>
          <t>CAA-8073ZM</t>
        </is>
      </c>
      <c r="I28" s="50" t="inlineStr">
        <is>
          <t>CAA-8067ZM</t>
        </is>
      </c>
      <c r="J28" s="50" t="inlineStr">
        <is>
          <t>OASIS</t>
        </is>
      </c>
      <c r="K28" s="50" t="inlineStr">
        <is>
          <t>FRANCIS</t>
        </is>
      </c>
      <c r="L28" s="49" t="n">
        <v>46088</v>
      </c>
      <c r="M28" s="49" t="n">
        <v>46099</v>
      </c>
      <c r="N28" s="51">
        <f>IF(OR(K28="",L28="" ),"",L28-K28)</f>
        <v/>
      </c>
      <c r="O28" s="51">
        <f>IFERROR(VLOOKUP(B28,Deals[#All],7,FALSE),DEF_LAYTIME)</f>
        <v/>
      </c>
      <c r="P28" s="51">
        <f>IF(N28="","",MAX(0,N28-O28))</f>
        <v/>
      </c>
      <c r="Q28" s="52">
        <f>IFERROR(VLOOKUP(B28,Deals[#All],8,FALSE),DEF_RATE)</f>
        <v/>
      </c>
      <c r="R28" s="52">
        <f>IF(P28="","",P28*Q28)</f>
        <v/>
      </c>
      <c r="S28" s="62">
        <f>IF(N28="","PENDING",IF(P28&gt;0,"DEMURRAGE","ON-TIME"))</f>
        <v/>
      </c>
      <c r="T28" s="62">
        <f>IF(AND(D28&lt;&gt;"",K28&lt;&gt;"",K28&lt;D28),"⚠ Arr&lt;Loaded",IF(AND(K28&lt;&gt;"",L28&lt;&gt;"",L28&lt;K28),"⚠ Off&lt;Arr","OK"))</f>
        <v/>
      </c>
      <c r="U28" s="62">
        <f>IF(D28="","",TEXT(D28,"yyyy-mm"))</f>
        <v/>
      </c>
    </row>
    <row r="29">
      <c r="B29" s="62" t="n">
        <v>187293</v>
      </c>
      <c r="C29" s="50" t="inlineStr">
        <is>
          <t>Lake Petroleum Zambia</t>
        </is>
      </c>
      <c r="D29" s="49" t="n">
        <v>46079</v>
      </c>
      <c r="E29" s="50" t="inlineStr">
        <is>
          <t>Beira</t>
        </is>
      </c>
      <c r="F29" s="50" t="inlineStr">
        <is>
          <t>Lusaka</t>
        </is>
      </c>
      <c r="G29" s="50" t="inlineStr">
        <is>
          <t>PMS</t>
        </is>
      </c>
      <c r="H29" s="50" t="inlineStr">
        <is>
          <t>BAZ-3920ZM</t>
        </is>
      </c>
      <c r="I29" s="50" t="inlineStr">
        <is>
          <t>BAZ-4329ZM</t>
        </is>
      </c>
      <c r="J29" s="50" t="inlineStr">
        <is>
          <t>OASIS</t>
        </is>
      </c>
      <c r="K29" s="50" t="inlineStr">
        <is>
          <t xml:space="preserve">AARON </t>
        </is>
      </c>
      <c r="L29" s="49" t="n">
        <v>46082</v>
      </c>
      <c r="M29" s="49" t="n">
        <v>46086</v>
      </c>
      <c r="N29" s="51">
        <f>IF(OR(K29="",L29="" ),"",L29-K29)</f>
        <v/>
      </c>
      <c r="O29" s="51">
        <f>IFERROR(VLOOKUP(B29,Deals[#All],7,FALSE),DEF_LAYTIME)</f>
        <v/>
      </c>
      <c r="P29" s="51">
        <f>IF(N29="","",MAX(0,N29-O29))</f>
        <v/>
      </c>
      <c r="Q29" s="52">
        <f>IFERROR(VLOOKUP(B29,Deals[#All],8,FALSE),DEF_RATE)</f>
        <v/>
      </c>
      <c r="R29" s="52">
        <f>IF(P29="","",P29*Q29)</f>
        <v/>
      </c>
      <c r="S29" s="62">
        <f>IF(N29="","PENDING",IF(P29&gt;0,"DEMURRAGE","ON-TIME"))</f>
        <v/>
      </c>
      <c r="T29" s="62">
        <f>IF(AND(D29&lt;&gt;"",K29&lt;&gt;"",K29&lt;D29),"⚠ Arr&lt;Loaded",IF(AND(K29&lt;&gt;"",L29&lt;&gt;"",L29&lt;K29),"⚠ Off&lt;Arr","OK"))</f>
        <v/>
      </c>
      <c r="U29" s="62">
        <f>IF(D29="","",TEXT(D29,"yyyy-mm"))</f>
        <v/>
      </c>
    </row>
    <row r="30">
      <c r="B30" s="62" t="n">
        <v>187293</v>
      </c>
      <c r="C30" s="50" t="inlineStr">
        <is>
          <t>Lake Petroleum Zambia</t>
        </is>
      </c>
      <c r="D30" s="49" t="n">
        <v>46079</v>
      </c>
      <c r="E30" s="50" t="inlineStr">
        <is>
          <t>Beira</t>
        </is>
      </c>
      <c r="F30" s="50" t="inlineStr">
        <is>
          <t>Lusaka</t>
        </is>
      </c>
      <c r="G30" s="50" t="inlineStr">
        <is>
          <t>PMS</t>
        </is>
      </c>
      <c r="H30" s="50" t="inlineStr">
        <is>
          <t>BAV-7007ZM</t>
        </is>
      </c>
      <c r="I30" s="50" t="inlineStr">
        <is>
          <t>BAV-7070ZM</t>
        </is>
      </c>
      <c r="J30" s="50" t="inlineStr">
        <is>
          <t>OASIS</t>
        </is>
      </c>
      <c r="K30" s="50" t="inlineStr">
        <is>
          <t>ANDRE</t>
        </is>
      </c>
      <c r="L30" s="49" t="n">
        <v>46088</v>
      </c>
      <c r="M30" s="49" t="n">
        <v>46100</v>
      </c>
      <c r="N30" s="51">
        <f>IF(OR(K30="",L30="" ),"",L30-K30)</f>
        <v/>
      </c>
      <c r="O30" s="51">
        <f>IFERROR(VLOOKUP(B30,Deals[#All],7,FALSE),DEF_LAYTIME)</f>
        <v/>
      </c>
      <c r="P30" s="51">
        <f>IF(N30="","",MAX(0,N30-O30))</f>
        <v/>
      </c>
      <c r="Q30" s="52">
        <f>IFERROR(VLOOKUP(B30,Deals[#All],8,FALSE),DEF_RATE)</f>
        <v/>
      </c>
      <c r="R30" s="52">
        <f>IF(P30="","",P30*Q30)</f>
        <v/>
      </c>
      <c r="S30" s="62">
        <f>IF(N30="","PENDING",IF(P30&gt;0,"DEMURRAGE","ON-TIME"))</f>
        <v/>
      </c>
      <c r="T30" s="62">
        <f>IF(AND(D30&lt;&gt;"",K30&lt;&gt;"",K30&lt;D30),"⚠ Arr&lt;Loaded",IF(AND(K30&lt;&gt;"",L30&lt;&gt;"",L30&lt;K30),"⚠ Off&lt;Arr","OK"))</f>
        <v/>
      </c>
      <c r="U30" s="62">
        <f>IF(D30="","",TEXT(D30,"yyyy-mm"))</f>
        <v/>
      </c>
    </row>
    <row r="31">
      <c r="B31" s="62" t="n">
        <v>187293</v>
      </c>
      <c r="C31" s="50" t="inlineStr">
        <is>
          <t>Lake Petroleum Zambia</t>
        </is>
      </c>
      <c r="D31" s="49" t="n">
        <v>46079</v>
      </c>
      <c r="E31" s="50" t="inlineStr">
        <is>
          <t>Beira</t>
        </is>
      </c>
      <c r="F31" s="50" t="inlineStr">
        <is>
          <t>Lusaka</t>
        </is>
      </c>
      <c r="G31" s="50" t="inlineStr">
        <is>
          <t>PMS</t>
        </is>
      </c>
      <c r="H31" s="50" t="inlineStr">
        <is>
          <t>BAV-7006ZM</t>
        </is>
      </c>
      <c r="I31" s="50" t="inlineStr">
        <is>
          <t>BAV-7074ZM</t>
        </is>
      </c>
      <c r="J31" s="50" t="inlineStr">
        <is>
          <t>OASIS</t>
        </is>
      </c>
      <c r="K31" s="50" t="inlineStr">
        <is>
          <t>CECIL</t>
        </is>
      </c>
      <c r="L31" s="49" t="n">
        <v>46084</v>
      </c>
      <c r="M31" s="49" t="n">
        <v>46088</v>
      </c>
      <c r="N31" s="51">
        <f>IF(OR(K31="",L31="" ),"",L31-K31)</f>
        <v/>
      </c>
      <c r="O31" s="51">
        <f>IFERROR(VLOOKUP(B31,Deals[#All],7,FALSE),DEF_LAYTIME)</f>
        <v/>
      </c>
      <c r="P31" s="51">
        <f>IF(N31="","",MAX(0,N31-O31))</f>
        <v/>
      </c>
      <c r="Q31" s="52">
        <f>IFERROR(VLOOKUP(B31,Deals[#All],8,FALSE),DEF_RATE)</f>
        <v/>
      </c>
      <c r="R31" s="52">
        <f>IF(P31="","",P31*Q31)</f>
        <v/>
      </c>
      <c r="S31" s="62">
        <f>IF(N31="","PENDING",IF(P31&gt;0,"DEMURRAGE","ON-TIME"))</f>
        <v/>
      </c>
      <c r="T31" s="62">
        <f>IF(AND(D31&lt;&gt;"",K31&lt;&gt;"",K31&lt;D31),"⚠ Arr&lt;Loaded",IF(AND(K31&lt;&gt;"",L31&lt;&gt;"",L31&lt;K31),"⚠ Off&lt;Arr","OK"))</f>
        <v/>
      </c>
      <c r="U31" s="62">
        <f>IF(D31="","",TEXT(D31,"yyyy-mm"))</f>
        <v/>
      </c>
    </row>
    <row r="32">
      <c r="B32" s="62" t="n">
        <v>187293</v>
      </c>
      <c r="C32" s="50" t="inlineStr">
        <is>
          <t>Lake Petroleum Zambia</t>
        </is>
      </c>
      <c r="D32" s="49" t="n">
        <v>46079</v>
      </c>
      <c r="E32" s="50" t="inlineStr">
        <is>
          <t>Beira</t>
        </is>
      </c>
      <c r="F32" s="50" t="inlineStr">
        <is>
          <t>Lusaka</t>
        </is>
      </c>
      <c r="G32" s="50" t="inlineStr">
        <is>
          <t>PMS</t>
        </is>
      </c>
      <c r="H32" s="50" t="inlineStr">
        <is>
          <t>BAZ-4162ZM</t>
        </is>
      </c>
      <c r="I32" s="50" t="inlineStr">
        <is>
          <t>BAZ-4663ZM</t>
        </is>
      </c>
      <c r="J32" s="50" t="inlineStr">
        <is>
          <t>OASIS</t>
        </is>
      </c>
      <c r="K32" s="50" t="inlineStr">
        <is>
          <t>EMMANUEL</t>
        </is>
      </c>
      <c r="L32" s="49" t="n">
        <v>46082</v>
      </c>
      <c r="M32" s="49" t="n">
        <v>46086</v>
      </c>
      <c r="N32" s="51">
        <f>IF(OR(K32="",L32="" ),"",L32-K32)</f>
        <v/>
      </c>
      <c r="O32" s="51">
        <f>IFERROR(VLOOKUP(B32,Deals[#All],7,FALSE),DEF_LAYTIME)</f>
        <v/>
      </c>
      <c r="P32" s="51">
        <f>IF(N32="","",MAX(0,N32-O32))</f>
        <v/>
      </c>
      <c r="Q32" s="52">
        <f>IFERROR(VLOOKUP(B32,Deals[#All],8,FALSE),DEF_RATE)</f>
        <v/>
      </c>
      <c r="R32" s="52">
        <f>IF(P32="","",P32*Q32)</f>
        <v/>
      </c>
      <c r="S32" s="62">
        <f>IF(N32="","PENDING",IF(P32&gt;0,"DEMURRAGE","ON-TIME"))</f>
        <v/>
      </c>
      <c r="T32" s="62">
        <f>IF(AND(D32&lt;&gt;"",K32&lt;&gt;"",K32&lt;D32),"⚠ Arr&lt;Loaded",IF(AND(K32&lt;&gt;"",L32&lt;&gt;"",L32&lt;K32),"⚠ Off&lt;Arr","OK"))</f>
        <v/>
      </c>
      <c r="U32" s="62">
        <f>IF(D32="","",TEXT(D32,"yyyy-mm"))</f>
        <v/>
      </c>
    </row>
    <row r="33">
      <c r="B33" s="62" t="n">
        <v>187293</v>
      </c>
      <c r="C33" s="50" t="inlineStr">
        <is>
          <t>Lake Petroleum Zambia</t>
        </is>
      </c>
      <c r="D33" s="49" t="n">
        <v>46079</v>
      </c>
      <c r="E33" s="50" t="inlineStr">
        <is>
          <t>Beira</t>
        </is>
      </c>
      <c r="F33" s="50" t="inlineStr">
        <is>
          <t>Lusaka</t>
        </is>
      </c>
      <c r="G33" s="50" t="inlineStr">
        <is>
          <t>PMS</t>
        </is>
      </c>
      <c r="H33" s="50" t="inlineStr">
        <is>
          <t>BAV-7223ZM</t>
        </is>
      </c>
      <c r="I33" s="50" t="inlineStr">
        <is>
          <t>BAV-7081ZM</t>
        </is>
      </c>
      <c r="J33" s="50" t="inlineStr">
        <is>
          <t>OASIS</t>
        </is>
      </c>
      <c r="K33" s="50" t="inlineStr">
        <is>
          <t>JAMES</t>
        </is>
      </c>
      <c r="L33" s="49" t="n">
        <v>46083</v>
      </c>
      <c r="M33" s="49" t="n">
        <v>46088</v>
      </c>
      <c r="N33" s="51">
        <f>IF(OR(K33="",L33="" ),"",L33-K33)</f>
        <v/>
      </c>
      <c r="O33" s="51">
        <f>IFERROR(VLOOKUP(B33,Deals[#All],7,FALSE),DEF_LAYTIME)</f>
        <v/>
      </c>
      <c r="P33" s="51">
        <f>IF(N33="","",MAX(0,N33-O33))</f>
        <v/>
      </c>
      <c r="Q33" s="52">
        <f>IFERROR(VLOOKUP(B33,Deals[#All],8,FALSE),DEF_RATE)</f>
        <v/>
      </c>
      <c r="R33" s="52">
        <f>IF(P33="","",P33*Q33)</f>
        <v/>
      </c>
      <c r="S33" s="62">
        <f>IF(N33="","PENDING",IF(P33&gt;0,"DEMURRAGE","ON-TIME"))</f>
        <v/>
      </c>
      <c r="T33" s="62">
        <f>IF(AND(D33&lt;&gt;"",K33&lt;&gt;"",K33&lt;D33),"⚠ Arr&lt;Loaded",IF(AND(K33&lt;&gt;"",L33&lt;&gt;"",L33&lt;K33),"⚠ Off&lt;Arr","OK"))</f>
        <v/>
      </c>
      <c r="U33" s="62">
        <f>IF(D33="","",TEXT(D33,"yyyy-mm"))</f>
        <v/>
      </c>
    </row>
    <row r="34">
      <c r="B34" s="62" t="n">
        <v>187293</v>
      </c>
      <c r="C34" s="50" t="inlineStr">
        <is>
          <t>Lake Petroleum Zambia</t>
        </is>
      </c>
      <c r="D34" s="49" t="n">
        <v>46079</v>
      </c>
      <c r="E34" s="50" t="inlineStr">
        <is>
          <t>Beira</t>
        </is>
      </c>
      <c r="F34" s="50" t="inlineStr">
        <is>
          <t>Lusaka</t>
        </is>
      </c>
      <c r="G34" s="50" t="inlineStr">
        <is>
          <t>PMS</t>
        </is>
      </c>
      <c r="H34" s="50" t="inlineStr">
        <is>
          <t>CAJ-4203 ZM</t>
        </is>
      </c>
      <c r="I34" s="50" t="inlineStr">
        <is>
          <t>CAJ-4205 ZM</t>
        </is>
      </c>
      <c r="J34" s="50" t="inlineStr">
        <is>
          <t>OASIS</t>
        </is>
      </c>
      <c r="K34" s="50" t="inlineStr">
        <is>
          <t>ATIN</t>
        </is>
      </c>
      <c r="L34" s="49" t="n">
        <v>46082</v>
      </c>
      <c r="M34" s="49" t="n">
        <v>46086</v>
      </c>
      <c r="N34" s="51">
        <f>IF(OR(K34="",L34="" ),"",L34-K34)</f>
        <v/>
      </c>
      <c r="O34" s="51">
        <f>IFERROR(VLOOKUP(B34,Deals[#All],7,FALSE),DEF_LAYTIME)</f>
        <v/>
      </c>
      <c r="P34" s="51">
        <f>IF(N34="","",MAX(0,N34-O34))</f>
        <v/>
      </c>
      <c r="Q34" s="52">
        <f>IFERROR(VLOOKUP(B34,Deals[#All],8,FALSE),DEF_RATE)</f>
        <v/>
      </c>
      <c r="R34" s="52">
        <f>IF(P34="","",P34*Q34)</f>
        <v/>
      </c>
      <c r="S34" s="62">
        <f>IF(N34="","PENDING",IF(P34&gt;0,"DEMURRAGE","ON-TIME"))</f>
        <v/>
      </c>
      <c r="T34" s="62">
        <f>IF(AND(D34&lt;&gt;"",K34&lt;&gt;"",K34&lt;D34),"⚠ Arr&lt;Loaded",IF(AND(K34&lt;&gt;"",L34&lt;&gt;"",L34&lt;K34),"⚠ Off&lt;Arr","OK"))</f>
        <v/>
      </c>
      <c r="U34" s="62">
        <f>IF(D34="","",TEXT(D34,"yyyy-mm"))</f>
        <v/>
      </c>
    </row>
    <row r="35">
      <c r="B35" s="62" t="n">
        <v>187293</v>
      </c>
      <c r="C35" s="50" t="inlineStr">
        <is>
          <t>Lake Petroleum Zambia</t>
        </is>
      </c>
      <c r="D35" s="49" t="n">
        <v>46079</v>
      </c>
      <c r="E35" s="50" t="inlineStr">
        <is>
          <t>Beira</t>
        </is>
      </c>
      <c r="F35" s="50" t="inlineStr">
        <is>
          <t>Lusaka</t>
        </is>
      </c>
      <c r="G35" s="50" t="inlineStr">
        <is>
          <t>PMS</t>
        </is>
      </c>
      <c r="H35" s="50" t="inlineStr">
        <is>
          <t>CAJ-7188 ZM</t>
        </is>
      </c>
      <c r="I35" s="50" t="inlineStr">
        <is>
          <t>CAJ-7178 ZM</t>
        </is>
      </c>
      <c r="J35" s="50" t="inlineStr">
        <is>
          <t>OASIS</t>
        </is>
      </c>
      <c r="K35" s="50" t="inlineStr">
        <is>
          <t>JOSEPH</t>
        </is>
      </c>
      <c r="L35" s="49" t="n">
        <v>46082</v>
      </c>
      <c r="M35" s="49" t="n">
        <v>46086</v>
      </c>
      <c r="N35" s="51">
        <f>IF(OR(K35="",L35="" ),"",L35-K35)</f>
        <v/>
      </c>
      <c r="O35" s="51">
        <f>IFERROR(VLOOKUP(B35,Deals[#All],7,FALSE),DEF_LAYTIME)</f>
        <v/>
      </c>
      <c r="P35" s="51">
        <f>IF(N35="","",MAX(0,N35-O35))</f>
        <v/>
      </c>
      <c r="Q35" s="52">
        <f>IFERROR(VLOOKUP(B35,Deals[#All],8,FALSE),DEF_RATE)</f>
        <v/>
      </c>
      <c r="R35" s="52">
        <f>IF(P35="","",P35*Q35)</f>
        <v/>
      </c>
      <c r="S35" s="62">
        <f>IF(N35="","PENDING",IF(P35&gt;0,"DEMURRAGE","ON-TIME"))</f>
        <v/>
      </c>
      <c r="T35" s="62">
        <f>IF(AND(D35&lt;&gt;"",K35&lt;&gt;"",K35&lt;D35),"⚠ Arr&lt;Loaded",IF(AND(K35&lt;&gt;"",L35&lt;&gt;"",L35&lt;K35),"⚠ Off&lt;Arr","OK"))</f>
        <v/>
      </c>
      <c r="U35" s="62">
        <f>IF(D35="","",TEXT(D35,"yyyy-mm"))</f>
        <v/>
      </c>
    </row>
    <row r="36">
      <c r="B36" s="62" t="n">
        <v>187293</v>
      </c>
      <c r="C36" s="50" t="inlineStr">
        <is>
          <t>Lake Petroleum Zambia</t>
        </is>
      </c>
      <c r="D36" s="49" t="n">
        <v>46079</v>
      </c>
      <c r="E36" s="50" t="inlineStr">
        <is>
          <t>Beira</t>
        </is>
      </c>
      <c r="F36" s="50" t="inlineStr">
        <is>
          <t>Lusaka</t>
        </is>
      </c>
      <c r="G36" s="50" t="inlineStr">
        <is>
          <t>PMS</t>
        </is>
      </c>
      <c r="H36" s="50" t="inlineStr">
        <is>
          <t>CAJ-7193 ZM</t>
        </is>
      </c>
      <c r="I36" s="50" t="inlineStr">
        <is>
          <t xml:space="preserve">CAJ-7197 ZM </t>
        </is>
      </c>
      <c r="J36" s="50" t="inlineStr">
        <is>
          <t>OASIS</t>
        </is>
      </c>
      <c r="K36" s="50" t="inlineStr">
        <is>
          <t>JASON</t>
        </is>
      </c>
      <c r="L36" s="49" t="n">
        <v>46083</v>
      </c>
      <c r="M36" s="49" t="n">
        <v>46087</v>
      </c>
      <c r="N36" s="51">
        <f>IF(OR(K36="",L36="" ),"",L36-K36)</f>
        <v/>
      </c>
      <c r="O36" s="51">
        <f>IFERROR(VLOOKUP(B36,Deals[#All],7,FALSE),DEF_LAYTIME)</f>
        <v/>
      </c>
      <c r="P36" s="51">
        <f>IF(N36="","",MAX(0,N36-O36))</f>
        <v/>
      </c>
      <c r="Q36" s="52">
        <f>IFERROR(VLOOKUP(B36,Deals[#All],8,FALSE),DEF_RATE)</f>
        <v/>
      </c>
      <c r="R36" s="52">
        <f>IF(P36="","",P36*Q36)</f>
        <v/>
      </c>
      <c r="S36" s="62">
        <f>IF(N36="","PENDING",IF(P36&gt;0,"DEMURRAGE","ON-TIME"))</f>
        <v/>
      </c>
      <c r="T36" s="62">
        <f>IF(AND(D36&lt;&gt;"",K36&lt;&gt;"",K36&lt;D36),"⚠ Arr&lt;Loaded",IF(AND(K36&lt;&gt;"",L36&lt;&gt;"",L36&lt;K36),"⚠ Off&lt;Arr","OK"))</f>
        <v/>
      </c>
      <c r="U36" s="62">
        <f>IF(D36="","",TEXT(D36,"yyyy-mm"))</f>
        <v/>
      </c>
    </row>
    <row r="37">
      <c r="B37" s="62" t="n">
        <v>187293</v>
      </c>
      <c r="C37" s="50" t="inlineStr">
        <is>
          <t>Lake Petroleum Zambia</t>
        </is>
      </c>
      <c r="D37" s="49" t="n">
        <v>46079</v>
      </c>
      <c r="E37" s="50" t="inlineStr">
        <is>
          <t>Beira</t>
        </is>
      </c>
      <c r="F37" s="50" t="inlineStr">
        <is>
          <t>Lusaka</t>
        </is>
      </c>
      <c r="G37" s="50" t="inlineStr">
        <is>
          <t>PMS</t>
        </is>
      </c>
      <c r="H37" s="50" t="inlineStr">
        <is>
          <t>CAJ-7192 ZM</t>
        </is>
      </c>
      <c r="I37" s="50" t="inlineStr">
        <is>
          <t>CAJ-7175 ZM</t>
        </is>
      </c>
      <c r="J37" s="50" t="inlineStr">
        <is>
          <t>OASIS</t>
        </is>
      </c>
      <c r="K37" s="50" t="inlineStr">
        <is>
          <t>ALEX</t>
        </is>
      </c>
      <c r="L37" s="49" t="n">
        <v>46088</v>
      </c>
      <c r="M37" s="49" t="n">
        <v>46099</v>
      </c>
      <c r="N37" s="51">
        <f>IF(OR(K37="",L37="" ),"",L37-K37)</f>
        <v/>
      </c>
      <c r="O37" s="51">
        <f>IFERROR(VLOOKUP(B37,Deals[#All],7,FALSE),DEF_LAYTIME)</f>
        <v/>
      </c>
      <c r="P37" s="51">
        <f>IF(N37="","",MAX(0,N37-O37))</f>
        <v/>
      </c>
      <c r="Q37" s="52">
        <f>IFERROR(VLOOKUP(B37,Deals[#All],8,FALSE),DEF_RATE)</f>
        <v/>
      </c>
      <c r="R37" s="52">
        <f>IF(P37="","",P37*Q37)</f>
        <v/>
      </c>
      <c r="S37" s="62">
        <f>IF(N37="","PENDING",IF(P37&gt;0,"DEMURRAGE","ON-TIME"))</f>
        <v/>
      </c>
      <c r="T37" s="62">
        <f>IF(AND(D37&lt;&gt;"",K37&lt;&gt;"",K37&lt;D37),"⚠ Arr&lt;Loaded",IF(AND(K37&lt;&gt;"",L37&lt;&gt;"",L37&lt;K37),"⚠ Off&lt;Arr","OK"))</f>
        <v/>
      </c>
      <c r="U37" s="62">
        <f>IF(D37="","",TEXT(D37,"yyyy-mm"))</f>
        <v/>
      </c>
    </row>
    <row r="38">
      <c r="B38" s="62" t="n">
        <v>187293</v>
      </c>
      <c r="C38" s="50" t="inlineStr">
        <is>
          <t>Lake Petroleum Zambia</t>
        </is>
      </c>
      <c r="D38" s="49" t="n">
        <v>46079</v>
      </c>
      <c r="E38" s="50" t="inlineStr">
        <is>
          <t>Beira</t>
        </is>
      </c>
      <c r="F38" s="50" t="inlineStr">
        <is>
          <t>Lusaka</t>
        </is>
      </c>
      <c r="G38" s="50" t="inlineStr">
        <is>
          <t>PMS</t>
        </is>
      </c>
      <c r="H38" s="50" t="inlineStr">
        <is>
          <t>CAJ-4325 ZM</t>
        </is>
      </c>
      <c r="I38" s="50" t="inlineStr">
        <is>
          <t>CAJ-4321 ZM</t>
        </is>
      </c>
      <c r="J38" s="50" t="inlineStr">
        <is>
          <t>OASIS</t>
        </is>
      </c>
      <c r="K38" s="50" t="inlineStr">
        <is>
          <t>RAJ HILLARY</t>
        </is>
      </c>
      <c r="L38" s="49" t="n">
        <v>46088</v>
      </c>
      <c r="M38" s="49" t="n">
        <v>46097</v>
      </c>
      <c r="N38" s="51">
        <f>IF(OR(K38="",L38="" ),"",L38-K38)</f>
        <v/>
      </c>
      <c r="O38" s="51">
        <f>IFERROR(VLOOKUP(B38,Deals[#All],7,FALSE),DEF_LAYTIME)</f>
        <v/>
      </c>
      <c r="P38" s="51">
        <f>IF(N38="","",MAX(0,N38-O38))</f>
        <v/>
      </c>
      <c r="Q38" s="52">
        <f>IFERROR(VLOOKUP(B38,Deals[#All],8,FALSE),DEF_RATE)</f>
        <v/>
      </c>
      <c r="R38" s="52">
        <f>IF(P38="","",P38*Q38)</f>
        <v/>
      </c>
      <c r="S38" s="62">
        <f>IF(N38="","PENDING",IF(P38&gt;0,"DEMURRAGE","ON-TIME"))</f>
        <v/>
      </c>
      <c r="T38" s="62">
        <f>IF(AND(D38&lt;&gt;"",K38&lt;&gt;"",K38&lt;D38),"⚠ Arr&lt;Loaded",IF(AND(K38&lt;&gt;"",L38&lt;&gt;"",L38&lt;K38),"⚠ Off&lt;Arr","OK"))</f>
        <v/>
      </c>
      <c r="U38" s="62">
        <f>IF(D38="","",TEXT(D38,"yyyy-mm"))</f>
        <v/>
      </c>
    </row>
    <row r="39">
      <c r="B39" s="62" t="n">
        <v>187293</v>
      </c>
      <c r="C39" s="50" t="inlineStr">
        <is>
          <t>Lake Petroleum Zambia</t>
        </is>
      </c>
      <c r="D39" s="49" t="n">
        <v>46079</v>
      </c>
      <c r="E39" s="50" t="inlineStr">
        <is>
          <t>Beira</t>
        </is>
      </c>
      <c r="F39" s="50" t="inlineStr">
        <is>
          <t>Lusaka</t>
        </is>
      </c>
      <c r="G39" s="50" t="inlineStr">
        <is>
          <t>PMS</t>
        </is>
      </c>
      <c r="H39" s="50" t="inlineStr">
        <is>
          <t>CAF-8526ZM</t>
        </is>
      </c>
      <c r="I39" s="50" t="inlineStr">
        <is>
          <t>CAF-8515ZM</t>
        </is>
      </c>
      <c r="J39" s="50" t="inlineStr">
        <is>
          <t>OASIS</t>
        </is>
      </c>
      <c r="K39" s="50" t="inlineStr">
        <is>
          <t>DUNCAN</t>
        </is>
      </c>
      <c r="L39" s="49" t="n">
        <v>46082</v>
      </c>
      <c r="M39" s="49" t="n">
        <v>46086</v>
      </c>
      <c r="N39" s="51">
        <f>IF(OR(K39="",L39="" ),"",L39-K39)</f>
        <v/>
      </c>
      <c r="O39" s="51">
        <f>IFERROR(VLOOKUP(B39,Deals[#All],7,FALSE),DEF_LAYTIME)</f>
        <v/>
      </c>
      <c r="P39" s="51">
        <f>IF(N39="","",MAX(0,N39-O39))</f>
        <v/>
      </c>
      <c r="Q39" s="52">
        <f>IFERROR(VLOOKUP(B39,Deals[#All],8,FALSE),DEF_RATE)</f>
        <v/>
      </c>
      <c r="R39" s="52">
        <f>IF(P39="","",P39*Q39)</f>
        <v/>
      </c>
      <c r="S39" s="62">
        <f>IF(N39="","PENDING",IF(P39&gt;0,"DEMURRAGE","ON-TIME"))</f>
        <v/>
      </c>
      <c r="T39" s="62">
        <f>IF(AND(D39&lt;&gt;"",K39&lt;&gt;"",K39&lt;D39),"⚠ Arr&lt;Loaded",IF(AND(K39&lt;&gt;"",L39&lt;&gt;"",L39&lt;K39),"⚠ Off&lt;Arr","OK"))</f>
        <v/>
      </c>
      <c r="U39" s="62">
        <f>IF(D39="","",TEXT(D39,"yyyy-mm"))</f>
        <v/>
      </c>
    </row>
    <row r="40">
      <c r="B40" s="62" t="n">
        <v>187293</v>
      </c>
      <c r="C40" s="50" t="inlineStr">
        <is>
          <t>Lake Petroleum Zambia</t>
        </is>
      </c>
      <c r="D40" s="49" t="n">
        <v>46087</v>
      </c>
      <c r="E40" s="50" t="inlineStr">
        <is>
          <t>Beira</t>
        </is>
      </c>
      <c r="F40" s="50" t="inlineStr">
        <is>
          <t>Lusaka</t>
        </is>
      </c>
      <c r="G40" s="50" t="inlineStr">
        <is>
          <t>PMS</t>
        </is>
      </c>
      <c r="H40" s="50" t="inlineStr">
        <is>
          <t>AHN 716 MP</t>
        </is>
      </c>
      <c r="I40" s="50" t="inlineStr">
        <is>
          <t>AJ 041 MC</t>
        </is>
      </c>
      <c r="J40" s="50" t="inlineStr">
        <is>
          <t>TRANSIR</t>
        </is>
      </c>
      <c r="K40" s="50" t="inlineStr">
        <is>
          <t>AVERAGE CHITENGWA</t>
        </is>
      </c>
      <c r="L40" s="49" t="n">
        <v>46092</v>
      </c>
      <c r="M40" s="49" t="n">
        <v>46106</v>
      </c>
      <c r="N40" s="51">
        <f>IF(OR(K40="",L40="" ),"",L40-K40)</f>
        <v/>
      </c>
      <c r="O40" s="51">
        <f>IFERROR(VLOOKUP(B40,Deals[#All],7,FALSE),DEF_LAYTIME)</f>
        <v/>
      </c>
      <c r="P40" s="51">
        <f>IF(N40="","",MAX(0,N40-O40))</f>
        <v/>
      </c>
      <c r="Q40" s="52">
        <f>IFERROR(VLOOKUP(B40,Deals[#All],8,FALSE),DEF_RATE)</f>
        <v/>
      </c>
      <c r="R40" s="52">
        <f>IF(P40="","",P40*Q40)</f>
        <v/>
      </c>
      <c r="S40" s="62">
        <f>IF(N40="","PENDING",IF(P40&gt;0,"DEMURRAGE","ON-TIME"))</f>
        <v/>
      </c>
      <c r="T40" s="62">
        <f>IF(AND(D40&lt;&gt;"",K40&lt;&gt;"",K40&lt;D40),"⚠ Arr&lt;Loaded",IF(AND(K40&lt;&gt;"",L40&lt;&gt;"",L40&lt;K40),"⚠ Off&lt;Arr","OK"))</f>
        <v/>
      </c>
      <c r="U40" s="62">
        <f>IF(D40="","",TEXT(D40,"yyyy-mm"))</f>
        <v/>
      </c>
    </row>
    <row r="41">
      <c r="B41" s="62" t="n">
        <v>187293</v>
      </c>
      <c r="C41" s="50" t="inlineStr">
        <is>
          <t>Lake Petroleum Zambia</t>
        </is>
      </c>
      <c r="D41" s="49" t="n">
        <v>46086</v>
      </c>
      <c r="E41" s="50" t="inlineStr">
        <is>
          <t>Beira</t>
        </is>
      </c>
      <c r="F41" s="50" t="inlineStr">
        <is>
          <t>Lusaka</t>
        </is>
      </c>
      <c r="G41" s="50" t="inlineStr">
        <is>
          <t>PMS</t>
        </is>
      </c>
      <c r="H41" s="50" t="inlineStr">
        <is>
          <t>AJJ 602 MP</t>
        </is>
      </c>
      <c r="I41" s="50" t="inlineStr">
        <is>
          <t>AF 699 MC</t>
        </is>
      </c>
      <c r="J41" s="50" t="inlineStr">
        <is>
          <t>TRANSIR</t>
        </is>
      </c>
      <c r="K41" s="50" t="inlineStr">
        <is>
          <t>HESTINGS JAMU BANDA</t>
        </is>
      </c>
      <c r="L41" s="49" t="n">
        <v>46093</v>
      </c>
      <c r="M41" s="49" t="n">
        <v>46107</v>
      </c>
      <c r="N41" s="51">
        <f>IF(OR(K41="",L41="" ),"",L41-K41)</f>
        <v/>
      </c>
      <c r="O41" s="51">
        <f>IFERROR(VLOOKUP(B41,Deals[#All],7,FALSE),DEF_LAYTIME)</f>
        <v/>
      </c>
      <c r="P41" s="51">
        <f>IF(N41="","",MAX(0,N41-O41))</f>
        <v/>
      </c>
      <c r="Q41" s="52">
        <f>IFERROR(VLOOKUP(B41,Deals[#All],8,FALSE),DEF_RATE)</f>
        <v/>
      </c>
      <c r="R41" s="52">
        <f>IF(P41="","",P41*Q41)</f>
        <v/>
      </c>
      <c r="S41" s="62">
        <f>IF(N41="","PENDING",IF(P41&gt;0,"DEMURRAGE","ON-TIME"))</f>
        <v/>
      </c>
      <c r="T41" s="62">
        <f>IF(AND(D41&lt;&gt;"",K41&lt;&gt;"",K41&lt;D41),"⚠ Arr&lt;Loaded",IF(AND(K41&lt;&gt;"",L41&lt;&gt;"",L41&lt;K41),"⚠ Off&lt;Arr","OK"))</f>
        <v/>
      </c>
      <c r="U41" s="62">
        <f>IF(D41="","",TEXT(D41,"yyyy-mm"))</f>
        <v/>
      </c>
    </row>
    <row r="42">
      <c r="B42" s="62" t="n">
        <v>187293</v>
      </c>
      <c r="C42" s="50" t="inlineStr">
        <is>
          <t>Lake Petroleum Zambia</t>
        </is>
      </c>
      <c r="D42" s="49" t="n">
        <v>46086</v>
      </c>
      <c r="E42" s="50" t="inlineStr">
        <is>
          <t>Beira</t>
        </is>
      </c>
      <c r="F42" s="50" t="inlineStr">
        <is>
          <t>Lusaka</t>
        </is>
      </c>
      <c r="G42" s="50" t="inlineStr">
        <is>
          <t>PMS</t>
        </is>
      </c>
      <c r="H42" s="50" t="inlineStr">
        <is>
          <t>AGU 496 MP</t>
        </is>
      </c>
      <c r="I42" s="50" t="inlineStr">
        <is>
          <t>AF 738 MC</t>
        </is>
      </c>
      <c r="J42" s="50" t="inlineStr">
        <is>
          <t>TRANSIR</t>
        </is>
      </c>
      <c r="K42" s="50" t="inlineStr">
        <is>
          <t>NHAMO MUKWEKWERERE</t>
        </is>
      </c>
      <c r="L42" s="49" t="n">
        <v>46092</v>
      </c>
      <c r="M42" s="49" t="n">
        <v>46105</v>
      </c>
      <c r="N42" s="51">
        <f>IF(OR(K42="",L42="" ),"",L42-K42)</f>
        <v/>
      </c>
      <c r="O42" s="51">
        <f>IFERROR(VLOOKUP(B42,Deals[#All],7,FALSE),DEF_LAYTIME)</f>
        <v/>
      </c>
      <c r="P42" s="51">
        <f>IF(N42="","",MAX(0,N42-O42))</f>
        <v/>
      </c>
      <c r="Q42" s="52">
        <f>IFERROR(VLOOKUP(B42,Deals[#All],8,FALSE),DEF_RATE)</f>
        <v/>
      </c>
      <c r="R42" s="52">
        <f>IF(P42="","",P42*Q42)</f>
        <v/>
      </c>
      <c r="S42" s="62">
        <f>IF(N42="","PENDING",IF(P42&gt;0,"DEMURRAGE","ON-TIME"))</f>
        <v/>
      </c>
      <c r="T42" s="62">
        <f>IF(AND(D42&lt;&gt;"",K42&lt;&gt;"",K42&lt;D42),"⚠ Arr&lt;Loaded",IF(AND(K42&lt;&gt;"",L42&lt;&gt;"",L42&lt;K42),"⚠ Off&lt;Arr","OK"))</f>
        <v/>
      </c>
      <c r="U42" s="62">
        <f>IF(D42="","",TEXT(D42,"yyyy-mm"))</f>
        <v/>
      </c>
    </row>
    <row r="43">
      <c r="B43" s="62" t="n">
        <v>187293</v>
      </c>
      <c r="C43" s="50" t="inlineStr">
        <is>
          <t>Lake Petroleum Zambia</t>
        </is>
      </c>
      <c r="D43" s="49" t="n">
        <v>46086</v>
      </c>
      <c r="E43" s="50" t="inlineStr">
        <is>
          <t>Beira</t>
        </is>
      </c>
      <c r="F43" s="50" t="inlineStr">
        <is>
          <t>Lusaka</t>
        </is>
      </c>
      <c r="G43" s="50" t="inlineStr">
        <is>
          <t>PMS</t>
        </is>
      </c>
      <c r="H43" s="50" t="inlineStr">
        <is>
          <t>AFW 378 MP</t>
        </is>
      </c>
      <c r="I43" s="50" t="inlineStr">
        <is>
          <t>AE 731 MC</t>
        </is>
      </c>
      <c r="J43" s="50" t="inlineStr">
        <is>
          <t>TRANSIR</t>
        </is>
      </c>
      <c r="K43" s="50" t="inlineStr">
        <is>
          <t>KANGAI TAFIRENYIKA</t>
        </is>
      </c>
      <c r="L43" s="49" t="n">
        <v>46093</v>
      </c>
      <c r="M43" s="49" t="n">
        <v>46107</v>
      </c>
      <c r="N43" s="51">
        <f>IF(OR(K43="",L43="" ),"",L43-K43)</f>
        <v/>
      </c>
      <c r="O43" s="51">
        <f>IFERROR(VLOOKUP(B43,Deals[#All],7,FALSE),DEF_LAYTIME)</f>
        <v/>
      </c>
      <c r="P43" s="51">
        <f>IF(N43="","",MAX(0,N43-O43))</f>
        <v/>
      </c>
      <c r="Q43" s="52">
        <f>IFERROR(VLOOKUP(B43,Deals[#All],8,FALSE),DEF_RATE)</f>
        <v/>
      </c>
      <c r="R43" s="52">
        <f>IF(P43="","",P43*Q43)</f>
        <v/>
      </c>
      <c r="S43" s="62">
        <f>IF(N43="","PENDING",IF(P43&gt;0,"DEMURRAGE","ON-TIME"))</f>
        <v/>
      </c>
      <c r="T43" s="62">
        <f>IF(AND(D43&lt;&gt;"",K43&lt;&gt;"",K43&lt;D43),"⚠ Arr&lt;Loaded",IF(AND(K43&lt;&gt;"",L43&lt;&gt;"",L43&lt;K43),"⚠ Off&lt;Arr","OK"))</f>
        <v/>
      </c>
      <c r="U43" s="62">
        <f>IF(D43="","",TEXT(D43,"yyyy-mm"))</f>
        <v/>
      </c>
    </row>
    <row r="44">
      <c r="B44" s="62" t="n">
        <v>187293</v>
      </c>
      <c r="C44" s="50" t="inlineStr">
        <is>
          <t>Lake Petroleum Zambia</t>
        </is>
      </c>
      <c r="D44" s="49" t="n">
        <v>46085</v>
      </c>
      <c r="E44" s="50" t="inlineStr">
        <is>
          <t>Beira</t>
        </is>
      </c>
      <c r="F44" s="50" t="inlineStr">
        <is>
          <t>Lusaka</t>
        </is>
      </c>
      <c r="G44" s="50" t="inlineStr">
        <is>
          <t>PMS</t>
        </is>
      </c>
      <c r="H44" s="50" t="inlineStr">
        <is>
          <t>AHG 527 MP</t>
        </is>
      </c>
      <c r="I44" s="50" t="inlineStr">
        <is>
          <t>AE 730 MC</t>
        </is>
      </c>
      <c r="J44" s="50" t="inlineStr">
        <is>
          <t>TRANSIR</t>
        </is>
      </c>
      <c r="K44" s="50" t="inlineStr">
        <is>
          <t>KELVIN JAKARASI</t>
        </is>
      </c>
      <c r="L44" s="49" t="n">
        <v>46092</v>
      </c>
      <c r="M44" s="49" t="n">
        <v>46105</v>
      </c>
      <c r="N44" s="51">
        <f>IF(OR(K44="",L44="" ),"",L44-K44)</f>
        <v/>
      </c>
      <c r="O44" s="51">
        <f>IFERROR(VLOOKUP(B44,Deals[#All],7,FALSE),DEF_LAYTIME)</f>
        <v/>
      </c>
      <c r="P44" s="51">
        <f>IF(N44="","",MAX(0,N44-O44))</f>
        <v/>
      </c>
      <c r="Q44" s="52">
        <f>IFERROR(VLOOKUP(B44,Deals[#All],8,FALSE),DEF_RATE)</f>
        <v/>
      </c>
      <c r="R44" s="52">
        <f>IF(P44="","",P44*Q44)</f>
        <v/>
      </c>
      <c r="S44" s="62">
        <f>IF(N44="","PENDING",IF(P44&gt;0,"DEMURRAGE","ON-TIME"))</f>
        <v/>
      </c>
      <c r="T44" s="62">
        <f>IF(AND(D44&lt;&gt;"",K44&lt;&gt;"",K44&lt;D44),"⚠ Arr&lt;Loaded",IF(AND(K44&lt;&gt;"",L44&lt;&gt;"",L44&lt;K44),"⚠ Off&lt;Arr","OK"))</f>
        <v/>
      </c>
      <c r="U44" s="62">
        <f>IF(D44="","",TEXT(D44,"yyyy-mm"))</f>
        <v/>
      </c>
    </row>
    <row r="45">
      <c r="B45" s="62" t="n">
        <v>187293</v>
      </c>
      <c r="C45" s="50" t="inlineStr">
        <is>
          <t>Lake Petroleum Zambia</t>
        </is>
      </c>
      <c r="D45" s="49" t="n">
        <v>46085</v>
      </c>
      <c r="E45" s="50" t="inlineStr">
        <is>
          <t>Beira</t>
        </is>
      </c>
      <c r="F45" s="50" t="inlineStr">
        <is>
          <t>Lusaka</t>
        </is>
      </c>
      <c r="G45" s="50" t="inlineStr">
        <is>
          <t>PMS</t>
        </is>
      </c>
      <c r="H45" s="50" t="inlineStr">
        <is>
          <t>AIB 236 MC</t>
        </is>
      </c>
      <c r="I45" s="50" t="inlineStr">
        <is>
          <t>AA 486 MC</t>
        </is>
      </c>
      <c r="J45" s="50" t="inlineStr">
        <is>
          <t>TRANSIR</t>
        </is>
      </c>
      <c r="K45" s="50" t="inlineStr">
        <is>
          <t>INNOCENT MPOSHI</t>
        </is>
      </c>
      <c r="L45" s="49" t="n">
        <v>46092</v>
      </c>
      <c r="M45" s="49" t="n">
        <v>46105</v>
      </c>
      <c r="N45" s="51">
        <f>IF(OR(K45="",L45="" ),"",L45-K45)</f>
        <v/>
      </c>
      <c r="O45" s="51">
        <f>IFERROR(VLOOKUP(B45,Deals[#All],7,FALSE),DEF_LAYTIME)</f>
        <v/>
      </c>
      <c r="P45" s="51">
        <f>IF(N45="","",MAX(0,N45-O45))</f>
        <v/>
      </c>
      <c r="Q45" s="52">
        <f>IFERROR(VLOOKUP(B45,Deals[#All],8,FALSE),DEF_RATE)</f>
        <v/>
      </c>
      <c r="R45" s="52">
        <f>IF(P45="","",P45*Q45)</f>
        <v/>
      </c>
      <c r="S45" s="62">
        <f>IF(N45="","PENDING",IF(P45&gt;0,"DEMURRAGE","ON-TIME"))</f>
        <v/>
      </c>
      <c r="T45" s="62">
        <f>IF(AND(D45&lt;&gt;"",K45&lt;&gt;"",K45&lt;D45),"⚠ Arr&lt;Loaded",IF(AND(K45&lt;&gt;"",L45&lt;&gt;"",L45&lt;K45),"⚠ Off&lt;Arr","OK"))</f>
        <v/>
      </c>
      <c r="U45" s="62">
        <f>IF(D45="","",TEXT(D45,"yyyy-mm"))</f>
        <v/>
      </c>
    </row>
    <row r="46">
      <c r="B46" s="62" t="n">
        <v>187293</v>
      </c>
      <c r="C46" s="50" t="inlineStr">
        <is>
          <t>Lake Petroleum Zambia</t>
        </is>
      </c>
      <c r="D46" s="49" t="n">
        <v>46085</v>
      </c>
      <c r="E46" s="50" t="inlineStr">
        <is>
          <t>Beira</t>
        </is>
      </c>
      <c r="F46" s="50" t="inlineStr">
        <is>
          <t>Lusaka</t>
        </is>
      </c>
      <c r="G46" s="50" t="inlineStr">
        <is>
          <t>PMS</t>
        </is>
      </c>
      <c r="H46" s="50" t="inlineStr">
        <is>
          <t>AAX 014 SF</t>
        </is>
      </c>
      <c r="I46" s="50" t="inlineStr">
        <is>
          <t>AA 475 MC</t>
        </is>
      </c>
      <c r="J46" s="50" t="inlineStr">
        <is>
          <t>TRANSIR</t>
        </is>
      </c>
      <c r="K46" s="50" t="inlineStr">
        <is>
          <t>CLAYTON KAMUDZEYA</t>
        </is>
      </c>
      <c r="L46" s="49" t="n">
        <v>46092</v>
      </c>
      <c r="M46" s="49" t="n">
        <v>46097</v>
      </c>
      <c r="N46" s="51">
        <f>IF(OR(K46="",L46="" ),"",L46-K46)</f>
        <v/>
      </c>
      <c r="O46" s="51">
        <f>IFERROR(VLOOKUP(B46,Deals[#All],7,FALSE),DEF_LAYTIME)</f>
        <v/>
      </c>
      <c r="P46" s="51">
        <f>IF(N46="","",MAX(0,N46-O46))</f>
        <v/>
      </c>
      <c r="Q46" s="52">
        <f>IFERROR(VLOOKUP(B46,Deals[#All],8,FALSE),DEF_RATE)</f>
        <v/>
      </c>
      <c r="R46" s="52">
        <f>IF(P46="","",P46*Q46)</f>
        <v/>
      </c>
      <c r="S46" s="62">
        <f>IF(N46="","PENDING",IF(P46&gt;0,"DEMURRAGE","ON-TIME"))</f>
        <v/>
      </c>
      <c r="T46" s="62">
        <f>IF(AND(D46&lt;&gt;"",K46&lt;&gt;"",K46&lt;D46),"⚠ Arr&lt;Loaded",IF(AND(K46&lt;&gt;"",L46&lt;&gt;"",L46&lt;K46),"⚠ Off&lt;Arr","OK"))</f>
        <v/>
      </c>
      <c r="U46" s="62">
        <f>IF(D46="","",TEXT(D46,"yyyy-mm"))</f>
        <v/>
      </c>
    </row>
    <row r="47">
      <c r="B47" s="62" t="n">
        <v>187293</v>
      </c>
      <c r="C47" s="50" t="inlineStr">
        <is>
          <t>Lake Petroleum Zambia</t>
        </is>
      </c>
      <c r="D47" s="49" t="n">
        <v>46085</v>
      </c>
      <c r="E47" s="50" t="inlineStr">
        <is>
          <t>Beira</t>
        </is>
      </c>
      <c r="F47" s="50" t="inlineStr">
        <is>
          <t>Lusaka</t>
        </is>
      </c>
      <c r="G47" s="50" t="inlineStr">
        <is>
          <t>PMS</t>
        </is>
      </c>
      <c r="H47" s="50" t="inlineStr">
        <is>
          <t>AFV 439 MP</t>
        </is>
      </c>
      <c r="I47" s="50" t="inlineStr">
        <is>
          <t>AE 760 MC</t>
        </is>
      </c>
      <c r="J47" s="50" t="inlineStr">
        <is>
          <t>TRANSIR</t>
        </is>
      </c>
      <c r="K47" s="50" t="inlineStr">
        <is>
          <t>ALBERT ADELINO SILIRA</t>
        </is>
      </c>
      <c r="L47" s="49" t="n">
        <v>46092</v>
      </c>
      <c r="M47" s="49" t="n">
        <v>46102</v>
      </c>
      <c r="N47" s="51">
        <f>IF(OR(K47="",L47="" ),"",L47-K47)</f>
        <v/>
      </c>
      <c r="O47" s="51">
        <f>IFERROR(VLOOKUP(B47,Deals[#All],7,FALSE),DEF_LAYTIME)</f>
        <v/>
      </c>
      <c r="P47" s="51">
        <f>IF(N47="","",MAX(0,N47-O47))</f>
        <v/>
      </c>
      <c r="Q47" s="52">
        <f>IFERROR(VLOOKUP(B47,Deals[#All],8,FALSE),DEF_RATE)</f>
        <v/>
      </c>
      <c r="R47" s="52">
        <f>IF(P47="","",P47*Q47)</f>
        <v/>
      </c>
      <c r="S47" s="62">
        <f>IF(N47="","PENDING",IF(P47&gt;0,"DEMURRAGE","ON-TIME"))</f>
        <v/>
      </c>
      <c r="T47" s="62">
        <f>IF(AND(D47&lt;&gt;"",K47&lt;&gt;"",K47&lt;D47),"⚠ Arr&lt;Loaded",IF(AND(K47&lt;&gt;"",L47&lt;&gt;"",L47&lt;K47),"⚠ Off&lt;Arr","OK"))</f>
        <v/>
      </c>
      <c r="U47" s="62">
        <f>IF(D47="","",TEXT(D47,"yyyy-mm"))</f>
        <v/>
      </c>
    </row>
    <row r="48">
      <c r="B48" s="62" t="n">
        <v>187293</v>
      </c>
      <c r="C48" s="50" t="inlineStr">
        <is>
          <t>Lake Petroleum Zambia</t>
        </is>
      </c>
      <c r="D48" s="49" t="n">
        <v>46085</v>
      </c>
      <c r="E48" s="50" t="inlineStr">
        <is>
          <t>Beira</t>
        </is>
      </c>
      <c r="F48" s="50" t="inlineStr">
        <is>
          <t>Lusaka</t>
        </is>
      </c>
      <c r="G48" s="50" t="inlineStr">
        <is>
          <t>PMS</t>
        </is>
      </c>
      <c r="H48" s="50" t="inlineStr">
        <is>
          <t>AIQ 955 MP</t>
        </is>
      </c>
      <c r="I48" s="50" t="inlineStr">
        <is>
          <t>AJ 042 MC</t>
        </is>
      </c>
      <c r="J48" s="50" t="inlineStr">
        <is>
          <t>TRANSIR</t>
        </is>
      </c>
      <c r="K48" s="50" t="inlineStr">
        <is>
          <t>MAXWELL SHAMU</t>
        </is>
      </c>
      <c r="L48" s="49" t="n">
        <v>46092</v>
      </c>
      <c r="M48" s="49" t="n">
        <v>46104</v>
      </c>
      <c r="N48" s="51">
        <f>IF(OR(K48="",L48="" ),"",L48-K48)</f>
        <v/>
      </c>
      <c r="O48" s="51">
        <f>IFERROR(VLOOKUP(B48,Deals[#All],7,FALSE),DEF_LAYTIME)</f>
        <v/>
      </c>
      <c r="P48" s="51">
        <f>IF(N48="","",MAX(0,N48-O48))</f>
        <v/>
      </c>
      <c r="Q48" s="52">
        <f>IFERROR(VLOOKUP(B48,Deals[#All],8,FALSE),DEF_RATE)</f>
        <v/>
      </c>
      <c r="R48" s="52">
        <f>IF(P48="","",P48*Q48)</f>
        <v/>
      </c>
      <c r="S48" s="62">
        <f>IF(N48="","PENDING",IF(P48&gt;0,"DEMURRAGE","ON-TIME"))</f>
        <v/>
      </c>
      <c r="T48" s="62">
        <f>IF(AND(D48&lt;&gt;"",K48&lt;&gt;"",K48&lt;D48),"⚠ Arr&lt;Loaded",IF(AND(K48&lt;&gt;"",L48&lt;&gt;"",L48&lt;K48),"⚠ Off&lt;Arr","OK"))</f>
        <v/>
      </c>
      <c r="U48" s="62">
        <f>IF(D48="","",TEXT(D48,"yyyy-mm"))</f>
        <v/>
      </c>
    </row>
    <row r="49">
      <c r="B49" s="62" t="n">
        <v>187293</v>
      </c>
      <c r="C49" s="50" t="inlineStr">
        <is>
          <t>Lake Petroleum Zambia</t>
        </is>
      </c>
      <c r="D49" s="49" t="n">
        <v>46093</v>
      </c>
      <c r="E49" s="50" t="inlineStr">
        <is>
          <t>Beira</t>
        </is>
      </c>
      <c r="F49" s="50" t="inlineStr">
        <is>
          <t>Lusaka</t>
        </is>
      </c>
      <c r="G49" s="50" t="inlineStr">
        <is>
          <t>PMS</t>
        </is>
      </c>
      <c r="H49" s="50" t="inlineStr">
        <is>
          <t>AIB 049 MC</t>
        </is>
      </c>
      <c r="I49" s="50" t="inlineStr">
        <is>
          <t>AF 715 MC</t>
        </is>
      </c>
      <c r="J49" s="50" t="inlineStr">
        <is>
          <t>TRANSIR</t>
        </is>
      </c>
      <c r="K49" s="50" t="inlineStr">
        <is>
          <t>KUMIRAI KRISPEN</t>
        </is>
      </c>
      <c r="L49" s="49" t="n">
        <v>46098</v>
      </c>
      <c r="M49" s="49" t="n">
        <v>46108</v>
      </c>
      <c r="N49" s="51">
        <f>IF(OR(K49="",L49="" ),"",L49-K49)</f>
        <v/>
      </c>
      <c r="O49" s="51">
        <f>IFERROR(VLOOKUP(B49,Deals[#All],7,FALSE),DEF_LAYTIME)</f>
        <v/>
      </c>
      <c r="P49" s="51">
        <f>IF(N49="","",MAX(0,N49-O49))</f>
        <v/>
      </c>
      <c r="Q49" s="52">
        <f>IFERROR(VLOOKUP(B49,Deals[#All],8,FALSE),DEF_RATE)</f>
        <v/>
      </c>
      <c r="R49" s="52">
        <f>IF(P49="","",P49*Q49)</f>
        <v/>
      </c>
      <c r="S49" s="62">
        <f>IF(N49="","PENDING",IF(P49&gt;0,"DEMURRAGE","ON-TIME"))</f>
        <v/>
      </c>
      <c r="T49" s="62">
        <f>IF(AND(D49&lt;&gt;"",K49&lt;&gt;"",K49&lt;D49),"⚠ Arr&lt;Loaded",IF(AND(K49&lt;&gt;"",L49&lt;&gt;"",L49&lt;K49),"⚠ Off&lt;Arr","OK"))</f>
        <v/>
      </c>
      <c r="U49" s="62">
        <f>IF(D49="","",TEXT(D49,"yyyy-mm"))</f>
        <v/>
      </c>
    </row>
    <row r="50">
      <c r="B50" s="62" t="n">
        <v>187296</v>
      </c>
      <c r="C50" s="50" t="inlineStr">
        <is>
          <t>Rubis Energy Zambia</t>
        </is>
      </c>
      <c r="D50" s="49" t="n">
        <v>46072</v>
      </c>
      <c r="E50" s="50" t="inlineStr">
        <is>
          <t>Beira</t>
        </is>
      </c>
      <c r="F50" s="50" t="inlineStr">
        <is>
          <t>Lusaka</t>
        </is>
      </c>
      <c r="G50" s="50" t="inlineStr">
        <is>
          <t>PMS</t>
        </is>
      </c>
      <c r="H50" s="50" t="inlineStr">
        <is>
          <t>AKN 021 MC</t>
        </is>
      </c>
      <c r="I50" s="50" t="inlineStr">
        <is>
          <t>AH430MC</t>
        </is>
      </c>
      <c r="J50" s="50" t="inlineStr">
        <is>
          <t>PETRODA</t>
        </is>
      </c>
      <c r="K50" s="50" t="inlineStr">
        <is>
          <t>JOSE MORAIS AUGUSTO</t>
        </is>
      </c>
      <c r="L50" s="49" t="n">
        <v>46076</v>
      </c>
      <c r="M50" s="49" t="n">
        <v>46084</v>
      </c>
      <c r="N50" s="51">
        <f>IF(OR(K50="",L50="" ),"",L50-K50)</f>
        <v/>
      </c>
      <c r="O50" s="51">
        <f>IFERROR(VLOOKUP(B50,Deals[#All],7,FALSE),DEF_LAYTIME)</f>
        <v/>
      </c>
      <c r="P50" s="51">
        <f>IF(N50="","",MAX(0,N50-O50))</f>
        <v/>
      </c>
      <c r="Q50" s="52">
        <f>IFERROR(VLOOKUP(B50,Deals[#All],8,FALSE),DEF_RATE)</f>
        <v/>
      </c>
      <c r="R50" s="52">
        <f>IF(P50="","",P50*Q50)</f>
        <v/>
      </c>
      <c r="S50" s="62">
        <f>IF(N50="","PENDING",IF(P50&gt;0,"DEMURRAGE","ON-TIME"))</f>
        <v/>
      </c>
      <c r="T50" s="62">
        <f>IF(AND(D50&lt;&gt;"",K50&lt;&gt;"",K50&lt;D50),"⚠ Arr&lt;Loaded",IF(AND(K50&lt;&gt;"",L50&lt;&gt;"",L50&lt;K50),"⚠ Off&lt;Arr","OK"))</f>
        <v/>
      </c>
      <c r="U50" s="62">
        <f>IF(D50="","",TEXT(D50,"yyyy-mm"))</f>
        <v/>
      </c>
    </row>
    <row r="51">
      <c r="B51" s="62" t="n">
        <v>187296</v>
      </c>
      <c r="C51" s="50" t="inlineStr">
        <is>
          <t>Rubis Energy Zambia</t>
        </is>
      </c>
      <c r="D51" s="49" t="n">
        <v>46072</v>
      </c>
      <c r="E51" s="50" t="inlineStr">
        <is>
          <t>Beira</t>
        </is>
      </c>
      <c r="F51" s="50" t="inlineStr">
        <is>
          <t>Lusaka</t>
        </is>
      </c>
      <c r="G51" s="50" t="inlineStr">
        <is>
          <t>PMS</t>
        </is>
      </c>
      <c r="H51" s="50" t="inlineStr">
        <is>
          <t>ABC 281 SF</t>
        </is>
      </c>
      <c r="I51" s="50" t="inlineStr">
        <is>
          <t>AH 405 SF</t>
        </is>
      </c>
      <c r="J51" s="50" t="inlineStr">
        <is>
          <t>PETRODA</t>
        </is>
      </c>
      <c r="K51" s="50" t="inlineStr">
        <is>
          <t xml:space="preserve">DAUTI GUBE </t>
        </is>
      </c>
      <c r="L51" s="49" t="n">
        <v>46076</v>
      </c>
      <c r="M51" s="49" t="n">
        <v>46080</v>
      </c>
      <c r="N51" s="51">
        <f>IF(OR(K51="",L51="" ),"",L51-K51)</f>
        <v/>
      </c>
      <c r="O51" s="51">
        <f>IFERROR(VLOOKUP(B51,Deals[#All],7,FALSE),DEF_LAYTIME)</f>
        <v/>
      </c>
      <c r="P51" s="51">
        <f>IF(N51="","",MAX(0,N51-O51))</f>
        <v/>
      </c>
      <c r="Q51" s="52">
        <f>IFERROR(VLOOKUP(B51,Deals[#All],8,FALSE),DEF_RATE)</f>
        <v/>
      </c>
      <c r="R51" s="52">
        <f>IF(P51="","",P51*Q51)</f>
        <v/>
      </c>
      <c r="S51" s="62">
        <f>IF(N51="","PENDING",IF(P51&gt;0,"DEMURRAGE","ON-TIME"))</f>
        <v/>
      </c>
      <c r="T51" s="62">
        <f>IF(AND(D51&lt;&gt;"",K51&lt;&gt;"",K51&lt;D51),"⚠ Arr&lt;Loaded",IF(AND(K51&lt;&gt;"",L51&lt;&gt;"",L51&lt;K51),"⚠ Off&lt;Arr","OK"))</f>
        <v/>
      </c>
      <c r="U51" s="62">
        <f>IF(D51="","",TEXT(D51,"yyyy-mm"))</f>
        <v/>
      </c>
    </row>
    <row r="52">
      <c r="B52" s="62" t="n">
        <v>187296</v>
      </c>
      <c r="C52" s="50" t="inlineStr">
        <is>
          <t>Rubis Energy Zambia</t>
        </is>
      </c>
      <c r="D52" s="49" t="n">
        <v>46072</v>
      </c>
      <c r="E52" s="50" t="inlineStr">
        <is>
          <t>Beira</t>
        </is>
      </c>
      <c r="F52" s="50" t="inlineStr">
        <is>
          <t>Lusaka</t>
        </is>
      </c>
      <c r="G52" s="50" t="inlineStr">
        <is>
          <t>PMS</t>
        </is>
      </c>
      <c r="H52" s="50" t="inlineStr">
        <is>
          <t>ABC 296 SF</t>
        </is>
      </c>
      <c r="I52" s="50" t="inlineStr">
        <is>
          <t>AH 396 SF</t>
        </is>
      </c>
      <c r="J52" s="50" t="inlineStr">
        <is>
          <t>PETRODA</t>
        </is>
      </c>
      <c r="K52" s="50" t="inlineStr">
        <is>
          <t>CHICONDI RAIMUNDO TEMBO</t>
        </is>
      </c>
      <c r="L52" s="49" t="n">
        <v>46076</v>
      </c>
      <c r="M52" s="49" t="n">
        <v>46080</v>
      </c>
      <c r="N52" s="51">
        <f>IF(OR(K52="",L52="" ),"",L52-K52)</f>
        <v/>
      </c>
      <c r="O52" s="51">
        <f>IFERROR(VLOOKUP(B52,Deals[#All],7,FALSE),DEF_LAYTIME)</f>
        <v/>
      </c>
      <c r="P52" s="51">
        <f>IF(N52="","",MAX(0,N52-O52))</f>
        <v/>
      </c>
      <c r="Q52" s="52">
        <f>IFERROR(VLOOKUP(B52,Deals[#All],8,FALSE),DEF_RATE)</f>
        <v/>
      </c>
      <c r="R52" s="52">
        <f>IF(P52="","",P52*Q52)</f>
        <v/>
      </c>
      <c r="S52" s="62">
        <f>IF(N52="","PENDING",IF(P52&gt;0,"DEMURRAGE","ON-TIME"))</f>
        <v/>
      </c>
      <c r="T52" s="62">
        <f>IF(AND(D52&lt;&gt;"",K52&lt;&gt;"",K52&lt;D52),"⚠ Arr&lt;Loaded",IF(AND(K52&lt;&gt;"",L52&lt;&gt;"",L52&lt;K52),"⚠ Off&lt;Arr","OK"))</f>
        <v/>
      </c>
      <c r="U52" s="62">
        <f>IF(D52="","",TEXT(D52,"yyyy-mm"))</f>
        <v/>
      </c>
    </row>
    <row r="53">
      <c r="B53" s="62" t="n">
        <v>187296</v>
      </c>
      <c r="C53" s="50" t="inlineStr">
        <is>
          <t>Rubis Energy Zambia</t>
        </is>
      </c>
      <c r="D53" s="49" t="n">
        <v>46072</v>
      </c>
      <c r="E53" s="50" t="inlineStr">
        <is>
          <t>Beira</t>
        </is>
      </c>
      <c r="F53" s="50" t="inlineStr">
        <is>
          <t>Lusaka</t>
        </is>
      </c>
      <c r="G53" s="50" t="inlineStr">
        <is>
          <t>PMS</t>
        </is>
      </c>
      <c r="H53" s="50" t="inlineStr">
        <is>
          <t>ABC 288 SF</t>
        </is>
      </c>
      <c r="I53" s="50" t="inlineStr">
        <is>
          <t>AH 388 SF</t>
        </is>
      </c>
      <c r="J53" s="50" t="inlineStr">
        <is>
          <t>PETRODA</t>
        </is>
      </c>
      <c r="K53" s="50" t="inlineStr">
        <is>
          <t>ANTONIO  ZECA  NDATCHERENGA</t>
        </is>
      </c>
      <c r="L53" s="49" t="n">
        <v>46076</v>
      </c>
      <c r="M53" s="49" t="n">
        <v>46084</v>
      </c>
      <c r="N53" s="51">
        <f>IF(OR(K53="",L53="" ),"",L53-K53)</f>
        <v/>
      </c>
      <c r="O53" s="51">
        <f>IFERROR(VLOOKUP(B53,Deals[#All],7,FALSE),DEF_LAYTIME)</f>
        <v/>
      </c>
      <c r="P53" s="51">
        <f>IF(N53="","",MAX(0,N53-O53))</f>
        <v/>
      </c>
      <c r="Q53" s="52">
        <f>IFERROR(VLOOKUP(B53,Deals[#All],8,FALSE),DEF_RATE)</f>
        <v/>
      </c>
      <c r="R53" s="52">
        <f>IF(P53="","",P53*Q53)</f>
        <v/>
      </c>
      <c r="S53" s="62">
        <f>IF(N53="","PENDING",IF(P53&gt;0,"DEMURRAGE","ON-TIME"))</f>
        <v/>
      </c>
      <c r="T53" s="62">
        <f>IF(AND(D53&lt;&gt;"",K53&lt;&gt;"",K53&lt;D53),"⚠ Arr&lt;Loaded",IF(AND(K53&lt;&gt;"",L53&lt;&gt;"",L53&lt;K53),"⚠ Off&lt;Arr","OK"))</f>
        <v/>
      </c>
      <c r="U53" s="62">
        <f>IF(D53="","",TEXT(D53,"yyyy-mm"))</f>
        <v/>
      </c>
    </row>
    <row r="54">
      <c r="B54" s="62" t="n">
        <v>187296</v>
      </c>
      <c r="C54" s="50" t="inlineStr">
        <is>
          <t>Rubis Energy Zambia</t>
        </is>
      </c>
      <c r="D54" s="49" t="n">
        <v>46072</v>
      </c>
      <c r="E54" s="50" t="inlineStr">
        <is>
          <t>Beira</t>
        </is>
      </c>
      <c r="F54" s="50" t="inlineStr">
        <is>
          <t>Lusaka</t>
        </is>
      </c>
      <c r="G54" s="50" t="inlineStr">
        <is>
          <t>PMS</t>
        </is>
      </c>
      <c r="H54" s="50" t="inlineStr">
        <is>
          <t>AKO 096 MC</t>
        </is>
      </c>
      <c r="I54" s="50" t="inlineStr">
        <is>
          <t>AH 452 MC</t>
        </is>
      </c>
      <c r="J54" s="50" t="inlineStr">
        <is>
          <t>PETRODA</t>
        </is>
      </c>
      <c r="K54" s="50" t="inlineStr">
        <is>
          <t>EMIDIO SEBASTIAO JOAO MUSSAFE</t>
        </is>
      </c>
      <c r="L54" s="49" t="n">
        <v>46076</v>
      </c>
      <c r="M54" s="49" t="n">
        <v>46087</v>
      </c>
      <c r="N54" s="51">
        <f>IF(OR(K54="",L54="" ),"",L54-K54)</f>
        <v/>
      </c>
      <c r="O54" s="51">
        <f>IFERROR(VLOOKUP(B54,Deals[#All],7,FALSE),DEF_LAYTIME)</f>
        <v/>
      </c>
      <c r="P54" s="51">
        <f>IF(N54="","",MAX(0,N54-O54))</f>
        <v/>
      </c>
      <c r="Q54" s="52">
        <f>IFERROR(VLOOKUP(B54,Deals[#All],8,FALSE),DEF_RATE)</f>
        <v/>
      </c>
      <c r="R54" s="52">
        <f>IF(P54="","",P54*Q54)</f>
        <v/>
      </c>
      <c r="S54" s="62">
        <f>IF(N54="","PENDING",IF(P54&gt;0,"DEMURRAGE","ON-TIME"))</f>
        <v/>
      </c>
      <c r="T54" s="62">
        <f>IF(AND(D54&lt;&gt;"",K54&lt;&gt;"",K54&lt;D54),"⚠ Arr&lt;Loaded",IF(AND(K54&lt;&gt;"",L54&lt;&gt;"",L54&lt;K54),"⚠ Off&lt;Arr","OK"))</f>
        <v/>
      </c>
      <c r="U54" s="62">
        <f>IF(D54="","",TEXT(D54,"yyyy-mm"))</f>
        <v/>
      </c>
    </row>
    <row r="55">
      <c r="B55" s="62" t="n">
        <v>187296</v>
      </c>
      <c r="C55" s="50" t="inlineStr">
        <is>
          <t>Rubis Energy Zambia</t>
        </is>
      </c>
      <c r="D55" s="49" t="n">
        <v>46072</v>
      </c>
      <c r="E55" s="50" t="inlineStr">
        <is>
          <t>Beira</t>
        </is>
      </c>
      <c r="F55" s="50" t="inlineStr">
        <is>
          <t>Lusaka</t>
        </is>
      </c>
      <c r="G55" s="50" t="inlineStr">
        <is>
          <t>PMS</t>
        </is>
      </c>
      <c r="H55" s="50" t="inlineStr">
        <is>
          <t>AKN 003 MC</t>
        </is>
      </c>
      <c r="I55" s="50" t="inlineStr">
        <is>
          <t>AH426MC</t>
        </is>
      </c>
      <c r="J55" s="50" t="inlineStr">
        <is>
          <t>PETRODA</t>
        </is>
      </c>
      <c r="K55" s="50" t="inlineStr">
        <is>
          <t>PAULO INACIO</t>
        </is>
      </c>
      <c r="L55" s="49" t="n">
        <v>46077</v>
      </c>
      <c r="M55" s="49" t="n">
        <v>46087</v>
      </c>
      <c r="N55" s="51">
        <f>IF(OR(K55="",L55="" ),"",L55-K55)</f>
        <v/>
      </c>
      <c r="O55" s="51">
        <f>IFERROR(VLOOKUP(B55,Deals[#All],7,FALSE),DEF_LAYTIME)</f>
        <v/>
      </c>
      <c r="P55" s="51">
        <f>IF(N55="","",MAX(0,N55-O55))</f>
        <v/>
      </c>
      <c r="Q55" s="52">
        <f>IFERROR(VLOOKUP(B55,Deals[#All],8,FALSE),DEF_RATE)</f>
        <v/>
      </c>
      <c r="R55" s="52">
        <f>IF(P55="","",P55*Q55)</f>
        <v/>
      </c>
      <c r="S55" s="62">
        <f>IF(N55="","PENDING",IF(P55&gt;0,"DEMURRAGE","ON-TIME"))</f>
        <v/>
      </c>
      <c r="T55" s="62">
        <f>IF(AND(D55&lt;&gt;"",K55&lt;&gt;"",K55&lt;D55),"⚠ Arr&lt;Loaded",IF(AND(K55&lt;&gt;"",L55&lt;&gt;"",L55&lt;K55),"⚠ Off&lt;Arr","OK"))</f>
        <v/>
      </c>
      <c r="U55" s="62">
        <f>IF(D55="","",TEXT(D55,"yyyy-mm"))</f>
        <v/>
      </c>
    </row>
    <row r="56">
      <c r="B56" s="62" t="n">
        <v>187296</v>
      </c>
      <c r="C56" s="50" t="inlineStr">
        <is>
          <t>Rubis Energy Zambia</t>
        </is>
      </c>
      <c r="D56" s="49" t="n">
        <v>46072</v>
      </c>
      <c r="E56" s="50" t="inlineStr">
        <is>
          <t>Beira</t>
        </is>
      </c>
      <c r="F56" s="50" t="inlineStr">
        <is>
          <t>Lusaka</t>
        </is>
      </c>
      <c r="G56" s="50" t="inlineStr">
        <is>
          <t>PMS</t>
        </is>
      </c>
      <c r="H56" s="50" t="inlineStr">
        <is>
          <t>AKN 017 MC</t>
        </is>
      </c>
      <c r="I56" s="50" t="inlineStr">
        <is>
          <t>AH 424 MC</t>
        </is>
      </c>
      <c r="J56" s="50" t="inlineStr">
        <is>
          <t>PETRODA</t>
        </is>
      </c>
      <c r="K56" s="50" t="inlineStr">
        <is>
          <t>RAUL UARROTA JORGE</t>
        </is>
      </c>
      <c r="L56" s="49" t="n">
        <v>46076</v>
      </c>
      <c r="M56" s="49" t="n">
        <v>46087</v>
      </c>
      <c r="N56" s="51">
        <f>IF(OR(K56="",L56="" ),"",L56-K56)</f>
        <v/>
      </c>
      <c r="O56" s="51">
        <f>IFERROR(VLOOKUP(B56,Deals[#All],7,FALSE),DEF_LAYTIME)</f>
        <v/>
      </c>
      <c r="P56" s="51">
        <f>IF(N56="","",MAX(0,N56-O56))</f>
        <v/>
      </c>
      <c r="Q56" s="52">
        <f>IFERROR(VLOOKUP(B56,Deals[#All],8,FALSE),DEF_RATE)</f>
        <v/>
      </c>
      <c r="R56" s="52">
        <f>IF(P56="","",P56*Q56)</f>
        <v/>
      </c>
      <c r="S56" s="62">
        <f>IF(N56="","PENDING",IF(P56&gt;0,"DEMURRAGE","ON-TIME"))</f>
        <v/>
      </c>
      <c r="T56" s="62">
        <f>IF(AND(D56&lt;&gt;"",K56&lt;&gt;"",K56&lt;D56),"⚠ Arr&lt;Loaded",IF(AND(K56&lt;&gt;"",L56&lt;&gt;"",L56&lt;K56),"⚠ Off&lt;Arr","OK"))</f>
        <v/>
      </c>
      <c r="U56" s="62">
        <f>IF(D56="","",TEXT(D56,"yyyy-mm"))</f>
        <v/>
      </c>
    </row>
    <row r="57">
      <c r="B57" s="62" t="n">
        <v>187296</v>
      </c>
      <c r="C57" s="50" t="inlineStr">
        <is>
          <t>Rubis Energy Zambia</t>
        </is>
      </c>
      <c r="D57" s="49" t="n">
        <v>46072</v>
      </c>
      <c r="E57" s="50" t="inlineStr">
        <is>
          <t>Beira</t>
        </is>
      </c>
      <c r="F57" s="50" t="inlineStr">
        <is>
          <t>Lusaka</t>
        </is>
      </c>
      <c r="G57" s="50" t="inlineStr">
        <is>
          <t>PMS</t>
        </is>
      </c>
      <c r="H57" s="50" t="inlineStr">
        <is>
          <t>AKO 141 MC</t>
        </is>
      </c>
      <c r="I57" s="50" t="inlineStr">
        <is>
          <t>AH449MC</t>
        </is>
      </c>
      <c r="J57" s="50" t="inlineStr">
        <is>
          <t>PETRODA</t>
        </is>
      </c>
      <c r="K57" s="50" t="inlineStr">
        <is>
          <t>SILVIO MARIANO</t>
        </is>
      </c>
      <c r="L57" s="49" t="n">
        <v>46076</v>
      </c>
      <c r="M57" s="49" t="n">
        <v>46086</v>
      </c>
      <c r="N57" s="51">
        <f>IF(OR(K57="",L57="" ),"",L57-K57)</f>
        <v/>
      </c>
      <c r="O57" s="51">
        <f>IFERROR(VLOOKUP(B57,Deals[#All],7,FALSE),DEF_LAYTIME)</f>
        <v/>
      </c>
      <c r="P57" s="51">
        <f>IF(N57="","",MAX(0,N57-O57))</f>
        <v/>
      </c>
      <c r="Q57" s="52">
        <f>IFERROR(VLOOKUP(B57,Deals[#All],8,FALSE),DEF_RATE)</f>
        <v/>
      </c>
      <c r="R57" s="52">
        <f>IF(P57="","",P57*Q57)</f>
        <v/>
      </c>
      <c r="S57" s="62">
        <f>IF(N57="","PENDING",IF(P57&gt;0,"DEMURRAGE","ON-TIME"))</f>
        <v/>
      </c>
      <c r="T57" s="62">
        <f>IF(AND(D57&lt;&gt;"",K57&lt;&gt;"",K57&lt;D57),"⚠ Arr&lt;Loaded",IF(AND(K57&lt;&gt;"",L57&lt;&gt;"",L57&lt;K57),"⚠ Off&lt;Arr","OK"))</f>
        <v/>
      </c>
      <c r="U57" s="62">
        <f>IF(D57="","",TEXT(D57,"yyyy-mm"))</f>
        <v/>
      </c>
    </row>
    <row r="58">
      <c r="B58" s="62" t="n">
        <v>187296</v>
      </c>
      <c r="C58" s="50" t="inlineStr">
        <is>
          <t>Rubis Energy Zambia</t>
        </is>
      </c>
      <c r="D58" s="49" t="n">
        <v>46072</v>
      </c>
      <c r="E58" s="50" t="inlineStr">
        <is>
          <t>Beira</t>
        </is>
      </c>
      <c r="F58" s="50" t="inlineStr">
        <is>
          <t>Lusaka</t>
        </is>
      </c>
      <c r="G58" s="50" t="inlineStr">
        <is>
          <t>PMS</t>
        </is>
      </c>
      <c r="H58" s="50" t="inlineStr">
        <is>
          <t>ABC 257 SF</t>
        </is>
      </c>
      <c r="I58" s="50" t="inlineStr">
        <is>
          <t>AH 420 SF</t>
        </is>
      </c>
      <c r="J58" s="50" t="inlineStr">
        <is>
          <t>PETRODA</t>
        </is>
      </c>
      <c r="K58" s="50" t="inlineStr">
        <is>
          <t>INACIO NUNES LANGA</t>
        </is>
      </c>
      <c r="L58" s="49" t="n">
        <v>46076</v>
      </c>
      <c r="M58" s="49" t="n">
        <v>46087</v>
      </c>
      <c r="N58" s="51">
        <f>IF(OR(K58="",L58="" ),"",L58-K58)</f>
        <v/>
      </c>
      <c r="O58" s="51">
        <f>IFERROR(VLOOKUP(B58,Deals[#All],7,FALSE),DEF_LAYTIME)</f>
        <v/>
      </c>
      <c r="P58" s="51">
        <f>IF(N58="","",MAX(0,N58-O58))</f>
        <v/>
      </c>
      <c r="Q58" s="52">
        <f>IFERROR(VLOOKUP(B58,Deals[#All],8,FALSE),DEF_RATE)</f>
        <v/>
      </c>
      <c r="R58" s="52">
        <f>IF(P58="","",P58*Q58)</f>
        <v/>
      </c>
      <c r="S58" s="62">
        <f>IF(N58="","PENDING",IF(P58&gt;0,"DEMURRAGE","ON-TIME"))</f>
        <v/>
      </c>
      <c r="T58" s="62">
        <f>IF(AND(D58&lt;&gt;"",K58&lt;&gt;"",K58&lt;D58),"⚠ Arr&lt;Loaded",IF(AND(K58&lt;&gt;"",L58&lt;&gt;"",L58&lt;K58),"⚠ Off&lt;Arr","OK"))</f>
        <v/>
      </c>
      <c r="U58" s="62">
        <f>IF(D58="","",TEXT(D58,"yyyy-mm"))</f>
        <v/>
      </c>
    </row>
    <row r="59">
      <c r="B59" s="62" t="n">
        <v>187296</v>
      </c>
      <c r="C59" s="50" t="inlineStr">
        <is>
          <t>Rubis Energy Zambia</t>
        </is>
      </c>
      <c r="D59" s="49" t="n">
        <v>46073</v>
      </c>
      <c r="E59" s="50" t="inlineStr">
        <is>
          <t>Beira</t>
        </is>
      </c>
      <c r="F59" s="50" t="inlineStr">
        <is>
          <t>Lusaka</t>
        </is>
      </c>
      <c r="G59" s="50" t="inlineStr">
        <is>
          <t>PMS</t>
        </is>
      </c>
      <c r="H59" s="50" t="inlineStr">
        <is>
          <t>AKN 777 MC</t>
        </is>
      </c>
      <c r="I59" s="50" t="inlineStr">
        <is>
          <t>AH415MC</t>
        </is>
      </c>
      <c r="J59" s="50" t="inlineStr">
        <is>
          <t>PETRODA</t>
        </is>
      </c>
      <c r="K59" s="50" t="inlineStr">
        <is>
          <t>PAULINO CHICO GUILHERME</t>
        </is>
      </c>
      <c r="L59" s="49" t="n">
        <v>46077</v>
      </c>
      <c r="M59" s="49" t="n">
        <v>46087</v>
      </c>
      <c r="N59" s="51">
        <f>IF(OR(K59="",L59="" ),"",L59-K59)</f>
        <v/>
      </c>
      <c r="O59" s="51">
        <f>IFERROR(VLOOKUP(B59,Deals[#All],7,FALSE),DEF_LAYTIME)</f>
        <v/>
      </c>
      <c r="P59" s="51">
        <f>IF(N59="","",MAX(0,N59-O59))</f>
        <v/>
      </c>
      <c r="Q59" s="52">
        <f>IFERROR(VLOOKUP(B59,Deals[#All],8,FALSE),DEF_RATE)</f>
        <v/>
      </c>
      <c r="R59" s="52">
        <f>IF(P59="","",P59*Q59)</f>
        <v/>
      </c>
      <c r="S59" s="62">
        <f>IF(N59="","PENDING",IF(P59&gt;0,"DEMURRAGE","ON-TIME"))</f>
        <v/>
      </c>
      <c r="T59" s="62">
        <f>IF(AND(D59&lt;&gt;"",K59&lt;&gt;"",K59&lt;D59),"⚠ Arr&lt;Loaded",IF(AND(K59&lt;&gt;"",L59&lt;&gt;"",L59&lt;K59),"⚠ Off&lt;Arr","OK"))</f>
        <v/>
      </c>
      <c r="U59" s="62">
        <f>IF(D59="","",TEXT(D59,"yyyy-mm"))</f>
        <v/>
      </c>
    </row>
    <row r="60">
      <c r="B60" s="62" t="n">
        <v>187296</v>
      </c>
      <c r="C60" s="50" t="inlineStr">
        <is>
          <t>Rubis Energy Zambia</t>
        </is>
      </c>
      <c r="D60" s="49" t="n">
        <v>46073</v>
      </c>
      <c r="E60" s="50" t="inlineStr">
        <is>
          <t>Beira</t>
        </is>
      </c>
      <c r="F60" s="50" t="inlineStr">
        <is>
          <t>Lusaka</t>
        </is>
      </c>
      <c r="G60" s="50" t="inlineStr">
        <is>
          <t>PMS</t>
        </is>
      </c>
      <c r="H60" s="50" t="inlineStr">
        <is>
          <t>ABC 241 SF</t>
        </is>
      </c>
      <c r="I60" s="50" t="inlineStr">
        <is>
          <t>AH 421 SF</t>
        </is>
      </c>
      <c r="J60" s="50" t="inlineStr">
        <is>
          <t>PETRODA</t>
        </is>
      </c>
      <c r="K60" s="50" t="inlineStr">
        <is>
          <t>FELIX VIEGAS</t>
        </is>
      </c>
      <c r="L60" s="49" t="n">
        <v>46077</v>
      </c>
      <c r="M60" s="49" t="n">
        <v>46090</v>
      </c>
      <c r="N60" s="51">
        <f>IF(OR(K60="",L60="" ),"",L60-K60)</f>
        <v/>
      </c>
      <c r="O60" s="51">
        <f>IFERROR(VLOOKUP(B60,Deals[#All],7,FALSE),DEF_LAYTIME)</f>
        <v/>
      </c>
      <c r="P60" s="51">
        <f>IF(N60="","",MAX(0,N60-O60))</f>
        <v/>
      </c>
      <c r="Q60" s="52">
        <f>IFERROR(VLOOKUP(B60,Deals[#All],8,FALSE),DEF_RATE)</f>
        <v/>
      </c>
      <c r="R60" s="52">
        <f>IF(P60="","",P60*Q60)</f>
        <v/>
      </c>
      <c r="S60" s="62">
        <f>IF(N60="","PENDING",IF(P60&gt;0,"DEMURRAGE","ON-TIME"))</f>
        <v/>
      </c>
      <c r="T60" s="62">
        <f>IF(AND(D60&lt;&gt;"",K60&lt;&gt;"",K60&lt;D60),"⚠ Arr&lt;Loaded",IF(AND(K60&lt;&gt;"",L60&lt;&gt;"",L60&lt;K60),"⚠ Off&lt;Arr","OK"))</f>
        <v/>
      </c>
      <c r="U60" s="62">
        <f>IF(D60="","",TEXT(D60,"yyyy-mm"))</f>
        <v/>
      </c>
    </row>
    <row r="61">
      <c r="B61" s="62" t="n">
        <v>187296</v>
      </c>
      <c r="C61" s="50" t="inlineStr">
        <is>
          <t>Rubis Energy Zambia</t>
        </is>
      </c>
      <c r="D61" s="49" t="n">
        <v>46073</v>
      </c>
      <c r="E61" s="50" t="inlineStr">
        <is>
          <t>Beira</t>
        </is>
      </c>
      <c r="F61" s="50" t="inlineStr">
        <is>
          <t>Lusaka</t>
        </is>
      </c>
      <c r="G61" s="50" t="inlineStr">
        <is>
          <t>PMS</t>
        </is>
      </c>
      <c r="H61" s="50" t="inlineStr">
        <is>
          <t>ABC 248 SF</t>
        </is>
      </c>
      <c r="I61" s="50" t="inlineStr">
        <is>
          <t>AH 418 SF</t>
        </is>
      </c>
      <c r="J61" s="50" t="inlineStr">
        <is>
          <t>PETRODA</t>
        </is>
      </c>
      <c r="K61" s="50" t="inlineStr">
        <is>
          <t>ARAUJO MARCELINO RAFAEL NOTICE</t>
        </is>
      </c>
      <c r="L61" s="49" t="n">
        <v>46077</v>
      </c>
      <c r="M61" s="49" t="n">
        <v>46087</v>
      </c>
      <c r="N61" s="51">
        <f>IF(OR(K61="",L61="" ),"",L61-K61)</f>
        <v/>
      </c>
      <c r="O61" s="51">
        <f>IFERROR(VLOOKUP(B61,Deals[#All],7,FALSE),DEF_LAYTIME)</f>
        <v/>
      </c>
      <c r="P61" s="51">
        <f>IF(N61="","",MAX(0,N61-O61))</f>
        <v/>
      </c>
      <c r="Q61" s="52">
        <f>IFERROR(VLOOKUP(B61,Deals[#All],8,FALSE),DEF_RATE)</f>
        <v/>
      </c>
      <c r="R61" s="52">
        <f>IF(P61="","",P61*Q61)</f>
        <v/>
      </c>
      <c r="S61" s="62">
        <f>IF(N61="","PENDING",IF(P61&gt;0,"DEMURRAGE","ON-TIME"))</f>
        <v/>
      </c>
      <c r="T61" s="62">
        <f>IF(AND(D61&lt;&gt;"",K61&lt;&gt;"",K61&lt;D61),"⚠ Arr&lt;Loaded",IF(AND(K61&lt;&gt;"",L61&lt;&gt;"",L61&lt;K61),"⚠ Off&lt;Arr","OK"))</f>
        <v/>
      </c>
      <c r="U61" s="62">
        <f>IF(D61="","",TEXT(D61,"yyyy-mm"))</f>
        <v/>
      </c>
    </row>
    <row r="62">
      <c r="B62" s="62" t="n">
        <v>189084</v>
      </c>
      <c r="C62" s="50" t="inlineStr">
        <is>
          <t>Rubis Energy Zambia</t>
        </is>
      </c>
      <c r="D62" s="49" t="n">
        <v>46105</v>
      </c>
      <c r="E62" s="50" t="inlineStr">
        <is>
          <t>Beira</t>
        </is>
      </c>
      <c r="F62" s="50" t="inlineStr">
        <is>
          <t>Lusaka</t>
        </is>
      </c>
      <c r="G62" s="50" t="inlineStr">
        <is>
          <t>PMS</t>
        </is>
      </c>
      <c r="H62" s="50" t="inlineStr">
        <is>
          <t>ABC 251 SF</t>
        </is>
      </c>
      <c r="I62" s="50" t="inlineStr">
        <is>
          <t>AH 395 SF</t>
        </is>
      </c>
      <c r="J62" s="50" t="inlineStr">
        <is>
          <t>PETRODA</t>
        </is>
      </c>
      <c r="K62" s="50" t="inlineStr">
        <is>
          <t>GERITO AVELINO JOAQUIM</t>
        </is>
      </c>
      <c r="L62" s="49" t="n">
        <v>46110</v>
      </c>
      <c r="M62" s="49" t="n">
        <v>46112</v>
      </c>
      <c r="N62" s="51">
        <f>IF(OR(K62="",L62="" ),"",L62-K62)</f>
        <v/>
      </c>
      <c r="O62" s="51">
        <f>IFERROR(VLOOKUP(B62,Deals[#All],7,FALSE),DEF_LAYTIME)</f>
        <v/>
      </c>
      <c r="P62" s="51">
        <f>IF(N62="","",MAX(0,N62-O62))</f>
        <v/>
      </c>
      <c r="Q62" s="52">
        <f>IFERROR(VLOOKUP(B62,Deals[#All],8,FALSE),DEF_RATE)</f>
        <v/>
      </c>
      <c r="R62" s="52">
        <f>IF(P62="","",P62*Q62)</f>
        <v/>
      </c>
      <c r="S62" s="62">
        <f>IF(N62="","PENDING",IF(P62&gt;0,"DEMURRAGE","ON-TIME"))</f>
        <v/>
      </c>
      <c r="T62" s="62">
        <f>IF(AND(D62&lt;&gt;"",K62&lt;&gt;"",K62&lt;D62),"⚠ Arr&lt;Loaded",IF(AND(K62&lt;&gt;"",L62&lt;&gt;"",L62&lt;K62),"⚠ Off&lt;Arr","OK"))</f>
        <v/>
      </c>
      <c r="U62" s="62">
        <f>IF(D62="","",TEXT(D62,"yyyy-mm"))</f>
        <v/>
      </c>
    </row>
    <row r="63">
      <c r="B63" s="62" t="n">
        <v>189084</v>
      </c>
      <c r="C63" s="50" t="inlineStr">
        <is>
          <t>Rubis Energy Zambia</t>
        </is>
      </c>
      <c r="D63" s="49" t="n">
        <v>46105</v>
      </c>
      <c r="E63" s="50" t="inlineStr">
        <is>
          <t>Beira</t>
        </is>
      </c>
      <c r="F63" s="50" t="inlineStr">
        <is>
          <t>Lusaka</t>
        </is>
      </c>
      <c r="G63" s="50" t="inlineStr">
        <is>
          <t>PMS</t>
        </is>
      </c>
      <c r="H63" s="50" t="inlineStr">
        <is>
          <t>ABC 255 SF</t>
        </is>
      </c>
      <c r="I63" s="50" t="inlineStr">
        <is>
          <t>AH 397 SF</t>
        </is>
      </c>
      <c r="J63" s="50" t="inlineStr">
        <is>
          <t>PETRODA</t>
        </is>
      </c>
      <c r="K63" s="50" t="inlineStr">
        <is>
          <t>EDIMO M.S AINOSSE BOBO</t>
        </is>
      </c>
      <c r="L63" s="49" t="n">
        <v>46110</v>
      </c>
      <c r="M63" s="49" t="n">
        <v>46113</v>
      </c>
      <c r="N63" s="51">
        <f>IF(OR(K63="",L63="" ),"",L63-K63)</f>
        <v/>
      </c>
      <c r="O63" s="51">
        <f>IFERROR(VLOOKUP(B63,Deals[#All],7,FALSE),DEF_LAYTIME)</f>
        <v/>
      </c>
      <c r="P63" s="51">
        <f>IF(N63="","",MAX(0,N63-O63))</f>
        <v/>
      </c>
      <c r="Q63" s="52">
        <f>IFERROR(VLOOKUP(B63,Deals[#All],8,FALSE),DEF_RATE)</f>
        <v/>
      </c>
      <c r="R63" s="52">
        <f>IF(P63="","",P63*Q63)</f>
        <v/>
      </c>
      <c r="S63" s="62">
        <f>IF(N63="","PENDING",IF(P63&gt;0,"DEMURRAGE","ON-TIME"))</f>
        <v/>
      </c>
      <c r="T63" s="62">
        <f>IF(AND(D63&lt;&gt;"",K63&lt;&gt;"",K63&lt;D63),"⚠ Arr&lt;Loaded",IF(AND(K63&lt;&gt;"",L63&lt;&gt;"",L63&lt;K63),"⚠ Off&lt;Arr","OK"))</f>
        <v/>
      </c>
      <c r="U63" s="62">
        <f>IF(D63="","",TEXT(D63,"yyyy-mm"))</f>
        <v/>
      </c>
    </row>
    <row r="64">
      <c r="B64" s="62" t="n">
        <v>189084</v>
      </c>
      <c r="C64" s="50" t="inlineStr">
        <is>
          <t>Rubis Energy Zambia</t>
        </is>
      </c>
      <c r="D64" s="49" t="n">
        <v>46105</v>
      </c>
      <c r="E64" s="50" t="inlineStr">
        <is>
          <t>Beira</t>
        </is>
      </c>
      <c r="F64" s="50" t="inlineStr">
        <is>
          <t>Lusaka</t>
        </is>
      </c>
      <c r="G64" s="50" t="inlineStr">
        <is>
          <t>PMS</t>
        </is>
      </c>
      <c r="H64" s="50" t="inlineStr">
        <is>
          <t>ABC 282 SF</t>
        </is>
      </c>
      <c r="I64" s="50" t="inlineStr">
        <is>
          <t>AH 382 SF</t>
        </is>
      </c>
      <c r="J64" s="50" t="inlineStr">
        <is>
          <t>PETRODA</t>
        </is>
      </c>
      <c r="K64" s="50" t="inlineStr">
        <is>
          <t>BAPTISTA SAENE RUPIA</t>
        </is>
      </c>
      <c r="L64" s="49" t="n">
        <v>46110</v>
      </c>
      <c r="M64" s="49" t="n">
        <v>46113</v>
      </c>
      <c r="N64" s="51">
        <f>IF(OR(K64="",L64="" ),"",L64-K64)</f>
        <v/>
      </c>
      <c r="O64" s="51">
        <f>IFERROR(VLOOKUP(B64,Deals[#All],7,FALSE),DEF_LAYTIME)</f>
        <v/>
      </c>
      <c r="P64" s="51">
        <f>IF(N64="","",MAX(0,N64-O64))</f>
        <v/>
      </c>
      <c r="Q64" s="52">
        <f>IFERROR(VLOOKUP(B64,Deals[#All],8,FALSE),DEF_RATE)</f>
        <v/>
      </c>
      <c r="R64" s="52">
        <f>IF(P64="","",P64*Q64)</f>
        <v/>
      </c>
      <c r="S64" s="62">
        <f>IF(N64="","PENDING",IF(P64&gt;0,"DEMURRAGE","ON-TIME"))</f>
        <v/>
      </c>
      <c r="T64" s="62">
        <f>IF(AND(D64&lt;&gt;"",K64&lt;&gt;"",K64&lt;D64),"⚠ Arr&lt;Loaded",IF(AND(K64&lt;&gt;"",L64&lt;&gt;"",L64&lt;K64),"⚠ Off&lt;Arr","OK"))</f>
        <v/>
      </c>
      <c r="U64" s="62">
        <f>IF(D64="","",TEXT(D64,"yyyy-mm"))</f>
        <v/>
      </c>
    </row>
    <row r="65">
      <c r="B65" s="62" t="n">
        <v>189084</v>
      </c>
      <c r="C65" s="50" t="inlineStr">
        <is>
          <t>Rubis Energy Zambia</t>
        </is>
      </c>
      <c r="D65" s="49" t="n">
        <v>46105</v>
      </c>
      <c r="E65" s="50" t="inlineStr">
        <is>
          <t>Beira</t>
        </is>
      </c>
      <c r="F65" s="50" t="inlineStr">
        <is>
          <t>Lusaka</t>
        </is>
      </c>
      <c r="G65" s="50" t="inlineStr">
        <is>
          <t>PMS</t>
        </is>
      </c>
      <c r="H65" s="50" t="inlineStr">
        <is>
          <t>ABC 276 SF</t>
        </is>
      </c>
      <c r="I65" s="50" t="inlineStr">
        <is>
          <t>AH 416 SF</t>
        </is>
      </c>
      <c r="J65" s="50" t="inlineStr">
        <is>
          <t>PETRODA</t>
        </is>
      </c>
      <c r="K65" s="50" t="inlineStr">
        <is>
          <t>ISSUFO ASSANE AMADE</t>
        </is>
      </c>
      <c r="L65" s="49" t="n">
        <v>46111</v>
      </c>
      <c r="M65" s="49" t="n">
        <v>46112</v>
      </c>
      <c r="N65" s="51">
        <f>IF(OR(K65="",L65="" ),"",L65-K65)</f>
        <v/>
      </c>
      <c r="O65" s="51">
        <f>IFERROR(VLOOKUP(B65,Deals[#All],7,FALSE),DEF_LAYTIME)</f>
        <v/>
      </c>
      <c r="P65" s="51">
        <f>IF(N65="","",MAX(0,N65-O65))</f>
        <v/>
      </c>
      <c r="Q65" s="52">
        <f>IFERROR(VLOOKUP(B65,Deals[#All],8,FALSE),DEF_RATE)</f>
        <v/>
      </c>
      <c r="R65" s="52">
        <f>IF(P65="","",P65*Q65)</f>
        <v/>
      </c>
      <c r="S65" s="62">
        <f>IF(N65="","PENDING",IF(P65&gt;0,"DEMURRAGE","ON-TIME"))</f>
        <v/>
      </c>
      <c r="T65" s="62">
        <f>IF(AND(D65&lt;&gt;"",K65&lt;&gt;"",K65&lt;D65),"⚠ Arr&lt;Loaded",IF(AND(K65&lt;&gt;"",L65&lt;&gt;"",L65&lt;K65),"⚠ Off&lt;Arr","OK"))</f>
        <v/>
      </c>
      <c r="U65" s="62">
        <f>IF(D65="","",TEXT(D65,"yyyy-mm"))</f>
        <v/>
      </c>
    </row>
    <row r="66">
      <c r="B66" s="62" t="n">
        <v>189084</v>
      </c>
      <c r="C66" s="50" t="inlineStr">
        <is>
          <t>Rubis Energy Zambia</t>
        </is>
      </c>
      <c r="D66" s="49" t="n">
        <v>46107</v>
      </c>
      <c r="E66" s="50" t="inlineStr">
        <is>
          <t>Beira</t>
        </is>
      </c>
      <c r="F66" s="50" t="inlineStr">
        <is>
          <t>Lusaka</t>
        </is>
      </c>
      <c r="G66" s="50" t="inlineStr">
        <is>
          <t>PMS</t>
        </is>
      </c>
      <c r="H66" s="50" t="inlineStr">
        <is>
          <t>ABC 285 SF</t>
        </is>
      </c>
      <c r="I66" s="50" t="inlineStr">
        <is>
          <t>AH 461 MC</t>
        </is>
      </c>
      <c r="J66" s="50" t="inlineStr">
        <is>
          <t>PETRODA</t>
        </is>
      </c>
      <c r="K66" s="50" t="inlineStr">
        <is>
          <t>XADREQUE JORGE MAIBEQUE</t>
        </is>
      </c>
      <c r="L66" s="49" t="n">
        <v>46111</v>
      </c>
      <c r="M66" s="49" t="n">
        <v>46113</v>
      </c>
      <c r="N66" s="51">
        <f>IF(OR(K66="",L66="" ),"",L66-K66)</f>
        <v/>
      </c>
      <c r="O66" s="51">
        <f>IFERROR(VLOOKUP(B66,Deals[#All],7,FALSE),DEF_LAYTIME)</f>
        <v/>
      </c>
      <c r="P66" s="51">
        <f>IF(N66="","",MAX(0,N66-O66))</f>
        <v/>
      </c>
      <c r="Q66" s="52">
        <f>IFERROR(VLOOKUP(B66,Deals[#All],8,FALSE),DEF_RATE)</f>
        <v/>
      </c>
      <c r="R66" s="52">
        <f>IF(P66="","",P66*Q66)</f>
        <v/>
      </c>
      <c r="S66" s="62">
        <f>IF(N66="","PENDING",IF(P66&gt;0,"DEMURRAGE","ON-TIME"))</f>
        <v/>
      </c>
      <c r="T66" s="62">
        <f>IF(AND(D66&lt;&gt;"",K66&lt;&gt;"",K66&lt;D66),"⚠ Arr&lt;Loaded",IF(AND(K66&lt;&gt;"",L66&lt;&gt;"",L66&lt;K66),"⚠ Off&lt;Arr","OK"))</f>
        <v/>
      </c>
      <c r="U66" s="62">
        <f>IF(D66="","",TEXT(D66,"yyyy-mm"))</f>
        <v/>
      </c>
    </row>
    <row r="67">
      <c r="B67" s="62" t="n">
        <v>189084</v>
      </c>
      <c r="C67" s="50" t="inlineStr">
        <is>
          <t>Rubis Energy Zambia</t>
        </is>
      </c>
      <c r="D67" s="49" t="n">
        <v>46106</v>
      </c>
      <c r="E67" s="50" t="inlineStr">
        <is>
          <t>Beira</t>
        </is>
      </c>
      <c r="F67" s="50" t="inlineStr">
        <is>
          <t>Lusaka</t>
        </is>
      </c>
      <c r="G67" s="50" t="inlineStr">
        <is>
          <t>PMS</t>
        </is>
      </c>
      <c r="H67" s="50" t="inlineStr">
        <is>
          <t>ABC 286 SF</t>
        </is>
      </c>
      <c r="I67" s="50" t="inlineStr">
        <is>
          <t>AH 406 SF</t>
        </is>
      </c>
      <c r="J67" s="50" t="inlineStr">
        <is>
          <t>PETRODA</t>
        </is>
      </c>
      <c r="K67" s="50" t="inlineStr">
        <is>
          <t>FERRAO AGOSTINHO SALICUCHEPA</t>
        </is>
      </c>
      <c r="L67" s="49" t="n">
        <v>46112</v>
      </c>
      <c r="M67" s="49" t="n">
        <v>46113</v>
      </c>
      <c r="N67" s="51">
        <f>IF(OR(K67="",L67="" ),"",L67-K67)</f>
        <v/>
      </c>
      <c r="O67" s="51">
        <f>IFERROR(VLOOKUP(B67,Deals[#All],7,FALSE),DEF_LAYTIME)</f>
        <v/>
      </c>
      <c r="P67" s="51">
        <f>IF(N67="","",MAX(0,N67-O67))</f>
        <v/>
      </c>
      <c r="Q67" s="52">
        <f>IFERROR(VLOOKUP(B67,Deals[#All],8,FALSE),DEF_RATE)</f>
        <v/>
      </c>
      <c r="R67" s="52">
        <f>IF(P67="","",P67*Q67)</f>
        <v/>
      </c>
      <c r="S67" s="62">
        <f>IF(N67="","PENDING",IF(P67&gt;0,"DEMURRAGE","ON-TIME"))</f>
        <v/>
      </c>
      <c r="T67" s="62">
        <f>IF(AND(D67&lt;&gt;"",K67&lt;&gt;"",K67&lt;D67),"⚠ Arr&lt;Loaded",IF(AND(K67&lt;&gt;"",L67&lt;&gt;"",L67&lt;K67),"⚠ Off&lt;Arr","OK"))</f>
        <v/>
      </c>
      <c r="U67" s="62">
        <f>IF(D67="","",TEXT(D67,"yyyy-mm"))</f>
        <v/>
      </c>
    </row>
    <row r="68">
      <c r="B68" s="62" t="n">
        <v>189084</v>
      </c>
      <c r="C68" s="50" t="inlineStr">
        <is>
          <t>Rubis Energy Zambia</t>
        </is>
      </c>
      <c r="D68" s="49" t="n">
        <v>46108</v>
      </c>
      <c r="E68" s="50" t="inlineStr">
        <is>
          <t>Beira</t>
        </is>
      </c>
      <c r="F68" s="50" t="inlineStr">
        <is>
          <t>Lusaka</t>
        </is>
      </c>
      <c r="G68" s="50" t="inlineStr">
        <is>
          <t>PMS</t>
        </is>
      </c>
      <c r="H68" s="50" t="inlineStr">
        <is>
          <t>ABC 237 SF</t>
        </is>
      </c>
      <c r="I68" s="50" t="inlineStr">
        <is>
          <t>AH 393 SF</t>
        </is>
      </c>
      <c r="J68" s="50" t="inlineStr">
        <is>
          <t>PETRODA</t>
        </is>
      </c>
      <c r="K68" s="50" t="inlineStr">
        <is>
          <t>Issufo Paulino</t>
        </is>
      </c>
      <c r="L68" s="49" t="n">
        <v>46114</v>
      </c>
      <c r="M68" s="49" t="n">
        <v>46114</v>
      </c>
      <c r="N68" s="51">
        <f>IF(OR(K68="",L68="" ),"",L68-K68)</f>
        <v/>
      </c>
      <c r="O68" s="51">
        <f>IFERROR(VLOOKUP(B68,Deals[#All],7,FALSE),DEF_LAYTIME)</f>
        <v/>
      </c>
      <c r="P68" s="51">
        <f>IF(N68="","",MAX(0,N68-O68))</f>
        <v/>
      </c>
      <c r="Q68" s="52">
        <f>IFERROR(VLOOKUP(B68,Deals[#All],8,FALSE),DEF_RATE)</f>
        <v/>
      </c>
      <c r="R68" s="52">
        <f>IF(P68="","",P68*Q68)</f>
        <v/>
      </c>
      <c r="S68" s="62">
        <f>IF(N68="","PENDING",IF(P68&gt;0,"DEMURRAGE","ON-TIME"))</f>
        <v/>
      </c>
      <c r="T68" s="62">
        <f>IF(AND(D68&lt;&gt;"",K68&lt;&gt;"",K68&lt;D68),"⚠ Arr&lt;Loaded",IF(AND(K68&lt;&gt;"",L68&lt;&gt;"",L68&lt;K68),"⚠ Off&lt;Arr","OK"))</f>
        <v/>
      </c>
      <c r="U68" s="62">
        <f>IF(D68="","",TEXT(D68,"yyyy-mm"))</f>
        <v/>
      </c>
    </row>
    <row r="69">
      <c r="B69" s="62" t="n">
        <v>189084</v>
      </c>
      <c r="C69" s="50" t="inlineStr">
        <is>
          <t>Rubis Energy Zambia</t>
        </is>
      </c>
      <c r="D69" s="49" t="n">
        <v>46109</v>
      </c>
      <c r="E69" s="50" t="inlineStr">
        <is>
          <t>Beira</t>
        </is>
      </c>
      <c r="F69" s="50" t="inlineStr">
        <is>
          <t>Lusaka</t>
        </is>
      </c>
      <c r="G69" s="50" t="inlineStr">
        <is>
          <t>PMS</t>
        </is>
      </c>
      <c r="H69" s="50" t="inlineStr">
        <is>
          <t>AKN 811 MC</t>
        </is>
      </c>
      <c r="I69" s="50" t="inlineStr">
        <is>
          <t>AH 419 MC</t>
        </is>
      </c>
      <c r="J69" s="50" t="inlineStr">
        <is>
          <t>PETRODA</t>
        </is>
      </c>
      <c r="K69" s="50" t="inlineStr">
        <is>
          <t>SAMUEL LOTI MATABWA</t>
        </is>
      </c>
      <c r="L69" s="49" t="n">
        <v>46114</v>
      </c>
      <c r="M69" s="49" t="n">
        <v>46114</v>
      </c>
      <c r="N69" s="51">
        <f>IF(OR(K69="",L69="" ),"",L69-K69)</f>
        <v/>
      </c>
      <c r="O69" s="51">
        <f>IFERROR(VLOOKUP(B69,Deals[#All],7,FALSE),DEF_LAYTIME)</f>
        <v/>
      </c>
      <c r="P69" s="51">
        <f>IF(N69="","",MAX(0,N69-O69))</f>
        <v/>
      </c>
      <c r="Q69" s="52">
        <f>IFERROR(VLOOKUP(B69,Deals[#All],8,FALSE),DEF_RATE)</f>
        <v/>
      </c>
      <c r="R69" s="52">
        <f>IF(P69="","",P69*Q69)</f>
        <v/>
      </c>
      <c r="S69" s="62">
        <f>IF(N69="","PENDING",IF(P69&gt;0,"DEMURRAGE","ON-TIME"))</f>
        <v/>
      </c>
      <c r="T69" s="62">
        <f>IF(AND(D69&lt;&gt;"",K69&lt;&gt;"",K69&lt;D69),"⚠ Arr&lt;Loaded",IF(AND(K69&lt;&gt;"",L69&lt;&gt;"",L69&lt;K69),"⚠ Off&lt;Arr","OK"))</f>
        <v/>
      </c>
      <c r="U69" s="62">
        <f>IF(D69="","",TEXT(D69,"yyyy-mm"))</f>
        <v/>
      </c>
    </row>
    <row r="70">
      <c r="B70" s="62" t="n">
        <v>189084</v>
      </c>
      <c r="C70" s="50" t="inlineStr">
        <is>
          <t>Rubis Energy Zambia</t>
        </is>
      </c>
      <c r="D70" s="49" t="n">
        <v>46109</v>
      </c>
      <c r="E70" s="50" t="inlineStr">
        <is>
          <t>Beira</t>
        </is>
      </c>
      <c r="F70" s="50" t="inlineStr">
        <is>
          <t>Lusaka</t>
        </is>
      </c>
      <c r="G70" s="50" t="inlineStr">
        <is>
          <t>PMS</t>
        </is>
      </c>
      <c r="H70" s="50" t="inlineStr">
        <is>
          <t>ABC 283 SF</t>
        </is>
      </c>
      <c r="I70" s="50" t="inlineStr">
        <is>
          <t>AH 383 SF</t>
        </is>
      </c>
      <c r="J70" s="50" t="inlineStr">
        <is>
          <t>PETRODA</t>
        </is>
      </c>
      <c r="K70" s="50" t="inlineStr">
        <is>
          <t>WILLIAMO MALISHE</t>
        </is>
      </c>
      <c r="L70" s="49" t="n">
        <v>46114</v>
      </c>
      <c r="M70" s="49" t="n">
        <v>46114</v>
      </c>
      <c r="N70" s="51">
        <f>IF(OR(K70="",L70="" ),"",L70-K70)</f>
        <v/>
      </c>
      <c r="O70" s="51">
        <f>IFERROR(VLOOKUP(B70,Deals[#All],7,FALSE),DEF_LAYTIME)</f>
        <v/>
      </c>
      <c r="P70" s="51">
        <f>IF(N70="","",MAX(0,N70-O70))</f>
        <v/>
      </c>
      <c r="Q70" s="52">
        <f>IFERROR(VLOOKUP(B70,Deals[#All],8,FALSE),DEF_RATE)</f>
        <v/>
      </c>
      <c r="R70" s="52">
        <f>IF(P70="","",P70*Q70)</f>
        <v/>
      </c>
      <c r="S70" s="62">
        <f>IF(N70="","PENDING",IF(P70&gt;0,"DEMURRAGE","ON-TIME"))</f>
        <v/>
      </c>
      <c r="T70" s="62">
        <f>IF(AND(D70&lt;&gt;"",K70&lt;&gt;"",K70&lt;D70),"⚠ Arr&lt;Loaded",IF(AND(K70&lt;&gt;"",L70&lt;&gt;"",L70&lt;K70),"⚠ Off&lt;Arr","OK"))</f>
        <v/>
      </c>
      <c r="U70" s="62">
        <f>IF(D70="","",TEXT(D70,"yyyy-mm"))</f>
        <v/>
      </c>
    </row>
    <row r="71">
      <c r="B71" s="62" t="n">
        <v>189084</v>
      </c>
      <c r="C71" s="50" t="inlineStr">
        <is>
          <t>Rubis Energy Zambia</t>
        </is>
      </c>
      <c r="D71" s="49" t="n">
        <v>46110</v>
      </c>
      <c r="E71" s="50" t="inlineStr">
        <is>
          <t>Beira</t>
        </is>
      </c>
      <c r="F71" s="50" t="inlineStr">
        <is>
          <t>Lusaka</t>
        </is>
      </c>
      <c r="G71" s="50" t="inlineStr">
        <is>
          <t>PMS</t>
        </is>
      </c>
      <c r="H71" s="50" t="inlineStr">
        <is>
          <t>AAO 766 SF</t>
        </is>
      </c>
      <c r="I71" s="50" t="inlineStr">
        <is>
          <t>AH 440 MC</t>
        </is>
      </c>
      <c r="J71" s="50" t="inlineStr">
        <is>
          <t>PETRODA</t>
        </is>
      </c>
      <c r="K71" s="50" t="inlineStr">
        <is>
          <t>DOMINGOS FRANCISCO ARGOLA</t>
        </is>
      </c>
      <c r="L71" s="49" t="n">
        <v>46114</v>
      </c>
      <c r="M71" s="49" t="n">
        <v>46114</v>
      </c>
      <c r="N71" s="51">
        <f>IF(OR(K71="",L71="" ),"",L71-K71)</f>
        <v/>
      </c>
      <c r="O71" s="51">
        <f>IFERROR(VLOOKUP(B71,Deals[#All],7,FALSE),DEF_LAYTIME)</f>
        <v/>
      </c>
      <c r="P71" s="51">
        <f>IF(N71="","",MAX(0,N71-O71))</f>
        <v/>
      </c>
      <c r="Q71" s="52">
        <f>IFERROR(VLOOKUP(B71,Deals[#All],8,FALSE),DEF_RATE)</f>
        <v/>
      </c>
      <c r="R71" s="52">
        <f>IF(P71="","",P71*Q71)</f>
        <v/>
      </c>
      <c r="S71" s="62">
        <f>IF(N71="","PENDING",IF(P71&gt;0,"DEMURRAGE","ON-TIME"))</f>
        <v/>
      </c>
      <c r="T71" s="62">
        <f>IF(AND(D71&lt;&gt;"",K71&lt;&gt;"",K71&lt;D71),"⚠ Arr&lt;Loaded",IF(AND(K71&lt;&gt;"",L71&lt;&gt;"",L71&lt;K71),"⚠ Off&lt;Arr","OK"))</f>
        <v/>
      </c>
      <c r="U71" s="62">
        <f>IF(D71="","",TEXT(D71,"yyyy-mm"))</f>
        <v/>
      </c>
    </row>
    <row r="72">
      <c r="B72" s="62" t="n">
        <v>189084</v>
      </c>
      <c r="C72" s="50" t="inlineStr">
        <is>
          <t>Rubis Energy Zambia</t>
        </is>
      </c>
      <c r="D72" s="49" t="n">
        <v>46110</v>
      </c>
      <c r="E72" s="50" t="inlineStr">
        <is>
          <t>Beira</t>
        </is>
      </c>
      <c r="F72" s="50" t="inlineStr">
        <is>
          <t>Lusaka</t>
        </is>
      </c>
      <c r="G72" s="50" t="inlineStr">
        <is>
          <t>PMS</t>
        </is>
      </c>
      <c r="H72" s="50" t="inlineStr">
        <is>
          <t>AKN 003 MC</t>
        </is>
      </c>
      <c r="I72" s="50" t="inlineStr">
        <is>
          <t>AH 426 MC</t>
        </is>
      </c>
      <c r="J72" s="50" t="inlineStr">
        <is>
          <t>PETRODA</t>
        </is>
      </c>
      <c r="K72" s="50" t="inlineStr">
        <is>
          <t>GUERRA JULIAO</t>
        </is>
      </c>
      <c r="L72" s="49" t="n">
        <v>46114</v>
      </c>
      <c r="M72" s="49" t="n">
        <v>46114</v>
      </c>
      <c r="N72" s="51">
        <f>IF(OR(K72="",L72="" ),"",L72-K72)</f>
        <v/>
      </c>
      <c r="O72" s="51">
        <f>IFERROR(VLOOKUP(B72,Deals[#All],7,FALSE),DEF_LAYTIME)</f>
        <v/>
      </c>
      <c r="P72" s="51">
        <f>IF(N72="","",MAX(0,N72-O72))</f>
        <v/>
      </c>
      <c r="Q72" s="52">
        <f>IFERROR(VLOOKUP(B72,Deals[#All],8,FALSE),DEF_RATE)</f>
        <v/>
      </c>
      <c r="R72" s="52">
        <f>IF(P72="","",P72*Q72)</f>
        <v/>
      </c>
      <c r="S72" s="62">
        <f>IF(N72="","PENDING",IF(P72&gt;0,"DEMURRAGE","ON-TIME"))</f>
        <v/>
      </c>
      <c r="T72" s="62">
        <f>IF(AND(D72&lt;&gt;"",K72&lt;&gt;"",K72&lt;D72),"⚠ Arr&lt;Loaded",IF(AND(K72&lt;&gt;"",L72&lt;&gt;"",L72&lt;K72),"⚠ Off&lt;Arr","OK"))</f>
        <v/>
      </c>
      <c r="U72" s="62">
        <f>IF(D72="","",TEXT(D72,"yyyy-mm"))</f>
        <v/>
      </c>
    </row>
    <row r="73">
      <c r="B73" s="62" t="n">
        <v>189084</v>
      </c>
      <c r="C73" s="50" t="inlineStr">
        <is>
          <t>Rubis Energy Zambia</t>
        </is>
      </c>
      <c r="D73" s="49" t="n">
        <v>46108</v>
      </c>
      <c r="E73" s="50" t="inlineStr">
        <is>
          <t>Beira</t>
        </is>
      </c>
      <c r="F73" s="50" t="inlineStr">
        <is>
          <t>Lusaka</t>
        </is>
      </c>
      <c r="G73" s="50" t="inlineStr">
        <is>
          <t>PMS</t>
        </is>
      </c>
      <c r="H73" s="50" t="inlineStr">
        <is>
          <t>AKO 144 MC</t>
        </is>
      </c>
      <c r="I73" s="50" t="inlineStr">
        <is>
          <t>AH 414 MC</t>
        </is>
      </c>
      <c r="J73" s="50" t="inlineStr">
        <is>
          <t>PETRODA</t>
        </is>
      </c>
      <c r="K73" s="50" t="inlineStr">
        <is>
          <t>CAPESSE LUIS CAPESSE</t>
        </is>
      </c>
      <c r="L73" s="49" t="n">
        <v>46115</v>
      </c>
      <c r="M73" s="49" t="n">
        <v>46116</v>
      </c>
      <c r="N73" s="51">
        <f>IF(OR(K73="",L73="" ),"",L73-K73)</f>
        <v/>
      </c>
      <c r="O73" s="51">
        <f>IFERROR(VLOOKUP(B73,Deals[#All],7,FALSE),DEF_LAYTIME)</f>
        <v/>
      </c>
      <c r="P73" s="51">
        <f>IF(N73="","",MAX(0,N73-O73))</f>
        <v/>
      </c>
      <c r="Q73" s="52">
        <f>IFERROR(VLOOKUP(B73,Deals[#All],8,FALSE),DEF_RATE)</f>
        <v/>
      </c>
      <c r="R73" s="52">
        <f>IF(P73="","",P73*Q73)</f>
        <v/>
      </c>
      <c r="S73" s="62">
        <f>IF(N73="","PENDING",IF(P73&gt;0,"DEMURRAGE","ON-TIME"))</f>
        <v/>
      </c>
      <c r="T73" s="62">
        <f>IF(AND(D73&lt;&gt;"",K73&lt;&gt;"",K73&lt;D73),"⚠ Arr&lt;Loaded",IF(AND(K73&lt;&gt;"",L73&lt;&gt;"",L73&lt;K73),"⚠ Off&lt;Arr","OK"))</f>
        <v/>
      </c>
      <c r="U73" s="62">
        <f>IF(D73="","",TEXT(D73,"yyyy-mm"))</f>
        <v/>
      </c>
    </row>
    <row r="74">
      <c r="B74" s="62" t="n">
        <v>190261</v>
      </c>
      <c r="C74" s="50" t="inlineStr">
        <is>
          <t>Lake Petroleum Zambia</t>
        </is>
      </c>
      <c r="D74" s="49" t="n">
        <v>46149</v>
      </c>
      <c r="E74" s="50" t="inlineStr">
        <is>
          <t>Beira</t>
        </is>
      </c>
      <c r="F74" s="50" t="inlineStr">
        <is>
          <t>Lusaka</t>
        </is>
      </c>
      <c r="G74" s="50" t="inlineStr">
        <is>
          <t>PMS</t>
        </is>
      </c>
      <c r="H74" s="50" t="inlineStr">
        <is>
          <t>CAJ-4204 ZM</t>
        </is>
      </c>
      <c r="I74" s="50" t="inlineStr">
        <is>
          <t>CAJ-4195 ZM</t>
        </is>
      </c>
      <c r="J74" s="50" t="inlineStr">
        <is>
          <t>OASIS</t>
        </is>
      </c>
      <c r="K74" s="50" t="inlineStr">
        <is>
          <t>CHARLES PHIRI</t>
        </is>
      </c>
      <c r="L74" s="49" t="n">
        <v>46152</v>
      </c>
      <c r="M74" s="49" t="n"/>
      <c r="N74" s="51">
        <f>IF(OR(K74="",L74="" ),"",L74-K74)</f>
        <v/>
      </c>
      <c r="O74" s="51">
        <f>IFERROR(VLOOKUP(B74,Deals[#All],7,FALSE),DEF_LAYTIME)</f>
        <v/>
      </c>
      <c r="P74" s="51">
        <f>IF(N74="","",MAX(0,N74-O74))</f>
        <v/>
      </c>
      <c r="Q74" s="52">
        <f>IFERROR(VLOOKUP(B74,Deals[#All],8,FALSE),DEF_RATE)</f>
        <v/>
      </c>
      <c r="R74" s="52">
        <f>IF(P74="","",P74*Q74)</f>
        <v/>
      </c>
      <c r="S74" s="62">
        <f>IF(N74="","PENDING",IF(P74&gt;0,"DEMURRAGE","ON-TIME"))</f>
        <v/>
      </c>
      <c r="T74" s="62">
        <f>IF(AND(D74&lt;&gt;"",K74&lt;&gt;"",K74&lt;D74),"⚠ Arr&lt;Loaded",IF(AND(K74&lt;&gt;"",L74&lt;&gt;"",L74&lt;K74),"⚠ Off&lt;Arr","OK"))</f>
        <v/>
      </c>
      <c r="U74" s="62">
        <f>IF(D74="","",TEXT(D74,"yyyy-mm"))</f>
        <v/>
      </c>
    </row>
    <row r="75">
      <c r="B75" s="62" t="n">
        <v>190261</v>
      </c>
      <c r="C75" s="50" t="inlineStr">
        <is>
          <t>Lake Petroleum Zambia</t>
        </is>
      </c>
      <c r="D75" s="49" t="n">
        <v>46147</v>
      </c>
      <c r="E75" s="50" t="inlineStr">
        <is>
          <t>Beira</t>
        </is>
      </c>
      <c r="F75" s="50" t="inlineStr">
        <is>
          <t>Lusaka</t>
        </is>
      </c>
      <c r="G75" s="50" t="inlineStr">
        <is>
          <t>PMS</t>
        </is>
      </c>
      <c r="H75" s="50" t="inlineStr">
        <is>
          <t>CAJ-4325 ZM</t>
        </is>
      </c>
      <c r="I75" s="50" t="inlineStr">
        <is>
          <t>CAJ-4321 ZM</t>
        </is>
      </c>
      <c r="J75" s="50" t="inlineStr">
        <is>
          <t>OASIS</t>
        </is>
      </c>
      <c r="K75" s="50" t="inlineStr">
        <is>
          <t>RAJ HILLARY DESAI</t>
        </is>
      </c>
      <c r="L75" s="49" t="n">
        <v>46152</v>
      </c>
      <c r="M75" s="49" t="n"/>
      <c r="N75" s="51">
        <f>IF(OR(K75="",L75="" ),"",L75-K75)</f>
        <v/>
      </c>
      <c r="O75" s="51">
        <f>IFERROR(VLOOKUP(B75,Deals[#All],7,FALSE),DEF_LAYTIME)</f>
        <v/>
      </c>
      <c r="P75" s="51">
        <f>IF(N75="","",MAX(0,N75-O75))</f>
        <v/>
      </c>
      <c r="Q75" s="52">
        <f>IFERROR(VLOOKUP(B75,Deals[#All],8,FALSE),DEF_RATE)</f>
        <v/>
      </c>
      <c r="R75" s="52">
        <f>IF(P75="","",P75*Q75)</f>
        <v/>
      </c>
      <c r="S75" s="62">
        <f>IF(N75="","PENDING",IF(P75&gt;0,"DEMURRAGE","ON-TIME"))</f>
        <v/>
      </c>
      <c r="T75" s="62">
        <f>IF(AND(D75&lt;&gt;"",K75&lt;&gt;"",K75&lt;D75),"⚠ Arr&lt;Loaded",IF(AND(K75&lt;&gt;"",L75&lt;&gt;"",L75&lt;K75),"⚠ Off&lt;Arr","OK"))</f>
        <v/>
      </c>
      <c r="U75" s="62">
        <f>IF(D75="","",TEXT(D75,"yyyy-mm"))</f>
        <v/>
      </c>
    </row>
    <row r="76">
      <c r="B76" s="62" t="n">
        <v>190261</v>
      </c>
      <c r="C76" s="50" t="inlineStr">
        <is>
          <t>Lake Petroleum Zambia</t>
        </is>
      </c>
      <c r="D76" s="49" t="n">
        <v>46151</v>
      </c>
      <c r="E76" s="50" t="inlineStr">
        <is>
          <t>Beira</t>
        </is>
      </c>
      <c r="F76" s="50" t="inlineStr">
        <is>
          <t>Lusaka</t>
        </is>
      </c>
      <c r="G76" s="50" t="inlineStr">
        <is>
          <t>PMS</t>
        </is>
      </c>
      <c r="H76" s="50" t="inlineStr">
        <is>
          <t>CAF-8484ZM</t>
        </is>
      </c>
      <c r="I76" s="50" t="inlineStr">
        <is>
          <t>CAF-8530ZM</t>
        </is>
      </c>
      <c r="J76" s="50" t="inlineStr">
        <is>
          <t>OASIS</t>
        </is>
      </c>
      <c r="K76" s="50" t="inlineStr">
        <is>
          <t>STEVEN BANDA</t>
        </is>
      </c>
      <c r="L76" s="49" t="n"/>
      <c r="M76" s="49" t="n"/>
      <c r="N76" s="51">
        <f>IF(OR(K76="",L76="" ),"",L76-K76)</f>
        <v/>
      </c>
      <c r="O76" s="51">
        <f>IFERROR(VLOOKUP(B76,Deals[#All],7,FALSE),DEF_LAYTIME)</f>
        <v/>
      </c>
      <c r="P76" s="51">
        <f>IF(N76="","",MAX(0,N76-O76))</f>
        <v/>
      </c>
      <c r="Q76" s="52">
        <f>IFERROR(VLOOKUP(B76,Deals[#All],8,FALSE),DEF_RATE)</f>
        <v/>
      </c>
      <c r="R76" s="52">
        <f>IF(P76="","",P76*Q76)</f>
        <v/>
      </c>
      <c r="S76" s="62">
        <f>IF(N76="","PENDING",IF(P76&gt;0,"DEMURRAGE","ON-TIME"))</f>
        <v/>
      </c>
      <c r="T76" s="62">
        <f>IF(AND(D76&lt;&gt;"",K76&lt;&gt;"",K76&lt;D76),"⚠ Arr&lt;Loaded",IF(AND(K76&lt;&gt;"",L76&lt;&gt;"",L76&lt;K76),"⚠ Off&lt;Arr","OK"))</f>
        <v/>
      </c>
      <c r="U76" s="62">
        <f>IF(D76="","",TEXT(D76,"yyyy-mm"))</f>
        <v/>
      </c>
    </row>
    <row r="77">
      <c r="B77" s="62" t="n">
        <v>190261</v>
      </c>
      <c r="C77" s="50" t="inlineStr">
        <is>
          <t>Lake Petroleum Zambia</t>
        </is>
      </c>
      <c r="D77" s="49" t="n">
        <v>46149</v>
      </c>
      <c r="E77" s="50" t="inlineStr">
        <is>
          <t>Beira</t>
        </is>
      </c>
      <c r="F77" s="50" t="inlineStr">
        <is>
          <t>Lusaka</t>
        </is>
      </c>
      <c r="G77" s="50" t="inlineStr">
        <is>
          <t>PMS</t>
        </is>
      </c>
      <c r="H77" s="50" t="inlineStr">
        <is>
          <t>CAJ-4322 ZM</t>
        </is>
      </c>
      <c r="I77" s="50" t="inlineStr">
        <is>
          <t>CAJ-4323 ZM</t>
        </is>
      </c>
      <c r="J77" s="50" t="inlineStr">
        <is>
          <t>OASIS</t>
        </is>
      </c>
      <c r="K77" s="50" t="inlineStr">
        <is>
          <t>STEVE KANENGO</t>
        </is>
      </c>
      <c r="L77" s="49" t="n">
        <v>46152</v>
      </c>
      <c r="M77" s="49" t="n"/>
      <c r="N77" s="51">
        <f>IF(OR(K77="",L77="" ),"",L77-K77)</f>
        <v/>
      </c>
      <c r="O77" s="51">
        <f>IFERROR(VLOOKUP(B77,Deals[#All],7,FALSE),DEF_LAYTIME)</f>
        <v/>
      </c>
      <c r="P77" s="51">
        <f>IF(N77="","",MAX(0,N77-O77))</f>
        <v/>
      </c>
      <c r="Q77" s="52">
        <f>IFERROR(VLOOKUP(B77,Deals[#All],8,FALSE),DEF_RATE)</f>
        <v/>
      </c>
      <c r="R77" s="52">
        <f>IF(P77="","",P77*Q77)</f>
        <v/>
      </c>
      <c r="S77" s="62">
        <f>IF(N77="","PENDING",IF(P77&gt;0,"DEMURRAGE","ON-TIME"))</f>
        <v/>
      </c>
      <c r="T77" s="62">
        <f>IF(AND(D77&lt;&gt;"",K77&lt;&gt;"",K77&lt;D77),"⚠ Arr&lt;Loaded",IF(AND(K77&lt;&gt;"",L77&lt;&gt;"",L77&lt;K77),"⚠ Off&lt;Arr","OK"))</f>
        <v/>
      </c>
      <c r="U77" s="62">
        <f>IF(D77="","",TEXT(D77,"yyyy-mm"))</f>
        <v/>
      </c>
    </row>
    <row r="78">
      <c r="B78" s="62" t="n">
        <v>190261</v>
      </c>
      <c r="C78" s="50" t="inlineStr">
        <is>
          <t>Lake Petroleum Zambia</t>
        </is>
      </c>
      <c r="D78" s="49" t="n">
        <v>46147</v>
      </c>
      <c r="E78" s="50" t="inlineStr">
        <is>
          <t>Beira</t>
        </is>
      </c>
      <c r="F78" s="50" t="inlineStr">
        <is>
          <t>Lusaka</t>
        </is>
      </c>
      <c r="G78" s="50" t="inlineStr">
        <is>
          <t>PMS</t>
        </is>
      </c>
      <c r="H78" s="50" t="inlineStr">
        <is>
          <t>CAJ-4194ZM</t>
        </is>
      </c>
      <c r="I78" s="50" t="inlineStr">
        <is>
          <t>CAJ-4191ZM</t>
        </is>
      </c>
      <c r="J78" s="50" t="inlineStr">
        <is>
          <t>OASIS</t>
        </is>
      </c>
      <c r="K78" s="50" t="inlineStr">
        <is>
          <t>JOCKONIA SAKALA</t>
        </is>
      </c>
      <c r="L78" s="49" t="n">
        <v>46151</v>
      </c>
      <c r="M78" s="49" t="n"/>
      <c r="N78" s="51">
        <f>IF(OR(K78="",L78="" ),"",L78-K78)</f>
        <v/>
      </c>
      <c r="O78" s="51">
        <f>IFERROR(VLOOKUP(B78,Deals[#All],7,FALSE),DEF_LAYTIME)</f>
        <v/>
      </c>
      <c r="P78" s="51">
        <f>IF(N78="","",MAX(0,N78-O78))</f>
        <v/>
      </c>
      <c r="Q78" s="52">
        <f>IFERROR(VLOOKUP(B78,Deals[#All],8,FALSE),DEF_RATE)</f>
        <v/>
      </c>
      <c r="R78" s="52">
        <f>IF(P78="","",P78*Q78)</f>
        <v/>
      </c>
      <c r="S78" s="62">
        <f>IF(N78="","PENDING",IF(P78&gt;0,"DEMURRAGE","ON-TIME"))</f>
        <v/>
      </c>
      <c r="T78" s="62">
        <f>IF(AND(D78&lt;&gt;"",K78&lt;&gt;"",K78&lt;D78),"⚠ Arr&lt;Loaded",IF(AND(K78&lt;&gt;"",L78&lt;&gt;"",L78&lt;K78),"⚠ Off&lt;Arr","OK"))</f>
        <v/>
      </c>
      <c r="U78" s="62">
        <f>IF(D78="","",TEXT(D78,"yyyy-mm"))</f>
        <v/>
      </c>
    </row>
    <row r="79">
      <c r="B79" s="62" t="n">
        <v>190261</v>
      </c>
      <c r="C79" s="50" t="inlineStr">
        <is>
          <t>Lake Petroleum Zambia</t>
        </is>
      </c>
      <c r="D79" s="49" t="n">
        <v>46149</v>
      </c>
      <c r="E79" s="50" t="inlineStr">
        <is>
          <t>Beira</t>
        </is>
      </c>
      <c r="F79" s="50" t="inlineStr">
        <is>
          <t>Lusaka</t>
        </is>
      </c>
      <c r="G79" s="50" t="inlineStr">
        <is>
          <t>PMS</t>
        </is>
      </c>
      <c r="H79" s="50" t="inlineStr">
        <is>
          <t>CAJ-4196 ZM</t>
        </is>
      </c>
      <c r="I79" s="50" t="inlineStr">
        <is>
          <t>CAJ-4189 ZM</t>
        </is>
      </c>
      <c r="J79" s="50" t="inlineStr">
        <is>
          <t>OASIS</t>
        </is>
      </c>
      <c r="K79" s="50" t="inlineStr">
        <is>
          <t>CHILESHE MUTALE</t>
        </is>
      </c>
      <c r="L79" s="49" t="n">
        <v>46152</v>
      </c>
      <c r="M79" s="49" t="n"/>
      <c r="N79" s="51">
        <f>IF(OR(K79="",L79="" ),"",L79-K79)</f>
        <v/>
      </c>
      <c r="O79" s="51">
        <f>IFERROR(VLOOKUP(B79,Deals[#All],7,FALSE),DEF_LAYTIME)</f>
        <v/>
      </c>
      <c r="P79" s="51">
        <f>IF(N79="","",MAX(0,N79-O79))</f>
        <v/>
      </c>
      <c r="Q79" s="52">
        <f>IFERROR(VLOOKUP(B79,Deals[#All],8,FALSE),DEF_RATE)</f>
        <v/>
      </c>
      <c r="R79" s="52">
        <f>IF(P79="","",P79*Q79)</f>
        <v/>
      </c>
      <c r="S79" s="62">
        <f>IF(N79="","PENDING",IF(P79&gt;0,"DEMURRAGE","ON-TIME"))</f>
        <v/>
      </c>
      <c r="T79" s="62">
        <f>IF(AND(D79&lt;&gt;"",K79&lt;&gt;"",K79&lt;D79),"⚠ Arr&lt;Loaded",IF(AND(K79&lt;&gt;"",L79&lt;&gt;"",L79&lt;K79),"⚠ Off&lt;Arr","OK"))</f>
        <v/>
      </c>
      <c r="U79" s="62">
        <f>IF(D79="","",TEXT(D79,"yyyy-mm"))</f>
        <v/>
      </c>
    </row>
    <row r="80">
      <c r="B80" s="62" t="n">
        <v>190261</v>
      </c>
      <c r="C80" s="50" t="inlineStr">
        <is>
          <t>Lake Petroleum Zambia</t>
        </is>
      </c>
      <c r="D80" s="49" t="n">
        <v>46147</v>
      </c>
      <c r="E80" s="50" t="inlineStr">
        <is>
          <t>Beira</t>
        </is>
      </c>
      <c r="F80" s="50" t="inlineStr">
        <is>
          <t>Lusaka</t>
        </is>
      </c>
      <c r="G80" s="50" t="inlineStr">
        <is>
          <t>PMS</t>
        </is>
      </c>
      <c r="H80" s="50" t="inlineStr">
        <is>
          <t>CAJ-7173 ZM</t>
        </is>
      </c>
      <c r="I80" s="50" t="inlineStr">
        <is>
          <t>CAJ-7186 ZM</t>
        </is>
      </c>
      <c r="J80" s="50" t="inlineStr">
        <is>
          <t>OASIS</t>
        </is>
      </c>
      <c r="K80" s="50" t="inlineStr">
        <is>
          <t>MWACHATUBA ERIC MALUSA</t>
        </is>
      </c>
      <c r="L80" s="49" t="n">
        <v>46151</v>
      </c>
      <c r="M80" s="49" t="n"/>
      <c r="N80" s="51">
        <f>IF(OR(K80="",L80="" ),"",L80-K80)</f>
        <v/>
      </c>
      <c r="O80" s="51">
        <f>IFERROR(VLOOKUP(B80,Deals[#All],7,FALSE),DEF_LAYTIME)</f>
        <v/>
      </c>
      <c r="P80" s="51">
        <f>IF(N80="","",MAX(0,N80-O80))</f>
        <v/>
      </c>
      <c r="Q80" s="52">
        <f>IFERROR(VLOOKUP(B80,Deals[#All],8,FALSE),DEF_RATE)</f>
        <v/>
      </c>
      <c r="R80" s="52">
        <f>IF(P80="","",P80*Q80)</f>
        <v/>
      </c>
      <c r="S80" s="62">
        <f>IF(N80="","PENDING",IF(P80&gt;0,"DEMURRAGE","ON-TIME"))</f>
        <v/>
      </c>
      <c r="T80" s="62">
        <f>IF(AND(D80&lt;&gt;"",K80&lt;&gt;"",K80&lt;D80),"⚠ Arr&lt;Loaded",IF(AND(K80&lt;&gt;"",L80&lt;&gt;"",L80&lt;K80),"⚠ Off&lt;Arr","OK"))</f>
        <v/>
      </c>
      <c r="U80" s="62">
        <f>IF(D80="","",TEXT(D80,"yyyy-mm"))</f>
        <v/>
      </c>
    </row>
    <row r="81">
      <c r="B81" s="62" t="n">
        <v>190261</v>
      </c>
      <c r="C81" s="50" t="inlineStr">
        <is>
          <t>Lake Petroleum Zambia</t>
        </is>
      </c>
      <c r="D81" s="49" t="n">
        <v>46148</v>
      </c>
      <c r="E81" s="50" t="inlineStr">
        <is>
          <t>Beira</t>
        </is>
      </c>
      <c r="F81" s="50" t="inlineStr">
        <is>
          <t>Lusaka</t>
        </is>
      </c>
      <c r="G81" s="50" t="inlineStr">
        <is>
          <t>PMS</t>
        </is>
      </c>
      <c r="H81" s="50" t="inlineStr">
        <is>
          <t>CAJ-7191 ZM</t>
        </is>
      </c>
      <c r="I81" s="50" t="inlineStr">
        <is>
          <t>CAJ-7179 ZM</t>
        </is>
      </c>
      <c r="J81" s="50" t="inlineStr">
        <is>
          <t>OASIS</t>
        </is>
      </c>
      <c r="K81" s="50" t="inlineStr">
        <is>
          <t>PHILLIMON NKHOMA</t>
        </is>
      </c>
      <c r="L81" s="49" t="n">
        <v>46151</v>
      </c>
      <c r="M81" s="49" t="n"/>
      <c r="N81" s="51">
        <f>IF(OR(K81="",L81="" ),"",L81-K81)</f>
        <v/>
      </c>
      <c r="O81" s="51">
        <f>IFERROR(VLOOKUP(B81,Deals[#All],7,FALSE),DEF_LAYTIME)</f>
        <v/>
      </c>
      <c r="P81" s="51">
        <f>IF(N81="","",MAX(0,N81-O81))</f>
        <v/>
      </c>
      <c r="Q81" s="52">
        <f>IFERROR(VLOOKUP(B81,Deals[#All],8,FALSE),DEF_RATE)</f>
        <v/>
      </c>
      <c r="R81" s="52">
        <f>IF(P81="","",P81*Q81)</f>
        <v/>
      </c>
      <c r="S81" s="62">
        <f>IF(N81="","PENDING",IF(P81&gt;0,"DEMURRAGE","ON-TIME"))</f>
        <v/>
      </c>
      <c r="T81" s="62">
        <f>IF(AND(D81&lt;&gt;"",K81&lt;&gt;"",K81&lt;D81),"⚠ Arr&lt;Loaded",IF(AND(K81&lt;&gt;"",L81&lt;&gt;"",L81&lt;K81),"⚠ Off&lt;Arr","OK"))</f>
        <v/>
      </c>
      <c r="U81" s="62">
        <f>IF(D81="","",TEXT(D81,"yyyy-mm"))</f>
        <v/>
      </c>
    </row>
    <row r="82">
      <c r="B82" s="62" t="n">
        <v>190261</v>
      </c>
      <c r="C82" s="50" t="inlineStr">
        <is>
          <t>Lake Petroleum Zambia</t>
        </is>
      </c>
      <c r="D82" s="49" t="n">
        <v>46149</v>
      </c>
      <c r="E82" s="50" t="inlineStr">
        <is>
          <t>Beira</t>
        </is>
      </c>
      <c r="F82" s="50" t="inlineStr">
        <is>
          <t>Lusaka</t>
        </is>
      </c>
      <c r="G82" s="50" t="inlineStr">
        <is>
          <t>PMS</t>
        </is>
      </c>
      <c r="H82" s="50" t="inlineStr">
        <is>
          <t>CAJ-4193ZM</t>
        </is>
      </c>
      <c r="I82" s="50" t="inlineStr">
        <is>
          <t>BAZ-5057ZM</t>
        </is>
      </c>
      <c r="J82" s="50" t="inlineStr">
        <is>
          <t>OASIS</t>
        </is>
      </c>
      <c r="K82" s="50" t="inlineStr">
        <is>
          <t>LAFTON SHIPUNGA</t>
        </is>
      </c>
      <c r="L82" s="49" t="n">
        <v>46152</v>
      </c>
      <c r="M82" s="49" t="n"/>
      <c r="N82" s="51">
        <f>IF(OR(K82="",L82="" ),"",L82-K82)</f>
        <v/>
      </c>
      <c r="O82" s="51">
        <f>IFERROR(VLOOKUP(B82,Deals[#All],7,FALSE),DEF_LAYTIME)</f>
        <v/>
      </c>
      <c r="P82" s="51">
        <f>IF(N82="","",MAX(0,N82-O82))</f>
        <v/>
      </c>
      <c r="Q82" s="52">
        <f>IFERROR(VLOOKUP(B82,Deals[#All],8,FALSE),DEF_RATE)</f>
        <v/>
      </c>
      <c r="R82" s="52">
        <f>IF(P82="","",P82*Q82)</f>
        <v/>
      </c>
      <c r="S82" s="62">
        <f>IF(N82="","PENDING",IF(P82&gt;0,"DEMURRAGE","ON-TIME"))</f>
        <v/>
      </c>
      <c r="T82" s="62">
        <f>IF(AND(D82&lt;&gt;"",K82&lt;&gt;"",K82&lt;D82),"⚠ Arr&lt;Loaded",IF(AND(K82&lt;&gt;"",L82&lt;&gt;"",L82&lt;K82),"⚠ Off&lt;Arr","OK"))</f>
        <v/>
      </c>
      <c r="U82" s="62">
        <f>IF(D82="","",TEXT(D82,"yyyy-mm"))</f>
        <v/>
      </c>
    </row>
    <row r="83">
      <c r="B83" s="62" t="n">
        <v>190261</v>
      </c>
      <c r="C83" s="50" t="inlineStr">
        <is>
          <t>Lake Petroleum Zambia</t>
        </is>
      </c>
      <c r="D83" s="49" t="n">
        <v>46147</v>
      </c>
      <c r="E83" s="50" t="inlineStr">
        <is>
          <t>Beira</t>
        </is>
      </c>
      <c r="F83" s="50" t="inlineStr">
        <is>
          <t>Lusaka</t>
        </is>
      </c>
      <c r="G83" s="50" t="inlineStr">
        <is>
          <t>PMS</t>
        </is>
      </c>
      <c r="H83" s="50" t="inlineStr">
        <is>
          <t>CAJ-4324 ZM</t>
        </is>
      </c>
      <c r="I83" s="50" t="inlineStr">
        <is>
          <t>CAJ-4326 ZM</t>
        </is>
      </c>
      <c r="J83" s="50" t="inlineStr">
        <is>
          <t>OASIS</t>
        </is>
      </c>
      <c r="K83" s="50" t="inlineStr">
        <is>
          <t>MICHEAL MAKEPESHI</t>
        </is>
      </c>
      <c r="L83" s="49" t="n">
        <v>46151</v>
      </c>
      <c r="M83" s="49" t="n"/>
      <c r="N83" s="51">
        <f>IF(OR(K83="",L83="" ),"",L83-K83)</f>
        <v/>
      </c>
      <c r="O83" s="51">
        <f>IFERROR(VLOOKUP(B83,Deals[#All],7,FALSE),DEF_LAYTIME)</f>
        <v/>
      </c>
      <c r="P83" s="51">
        <f>IF(N83="","",MAX(0,N83-O83))</f>
        <v/>
      </c>
      <c r="Q83" s="52">
        <f>IFERROR(VLOOKUP(B83,Deals[#All],8,FALSE),DEF_RATE)</f>
        <v/>
      </c>
      <c r="R83" s="52">
        <f>IF(P83="","",P83*Q83)</f>
        <v/>
      </c>
      <c r="S83" s="62">
        <f>IF(N83="","PENDING",IF(P83&gt;0,"DEMURRAGE","ON-TIME"))</f>
        <v/>
      </c>
      <c r="T83" s="62">
        <f>IF(AND(D83&lt;&gt;"",K83&lt;&gt;"",K83&lt;D83),"⚠ Arr&lt;Loaded",IF(AND(K83&lt;&gt;"",L83&lt;&gt;"",L83&lt;K83),"⚠ Off&lt;Arr","OK"))</f>
        <v/>
      </c>
      <c r="U83" s="62">
        <f>IF(D83="","",TEXT(D83,"yyyy-mm"))</f>
        <v/>
      </c>
    </row>
    <row r="84">
      <c r="B84" s="62" t="n">
        <v>190664</v>
      </c>
      <c r="C84" s="50" t="inlineStr">
        <is>
          <t>Rubis Energy Zambia</t>
        </is>
      </c>
      <c r="D84" s="49" t="n">
        <v>46133</v>
      </c>
      <c r="E84" s="50" t="inlineStr">
        <is>
          <t>Beira</t>
        </is>
      </c>
      <c r="F84" s="50" t="inlineStr">
        <is>
          <t>Lusaka</t>
        </is>
      </c>
      <c r="G84" s="50" t="inlineStr">
        <is>
          <t>PMS</t>
        </is>
      </c>
      <c r="H84" s="50" t="inlineStr">
        <is>
          <t>ABC 234 SF</t>
        </is>
      </c>
      <c r="I84" s="50" t="inlineStr">
        <is>
          <t>AH 414 SF</t>
        </is>
      </c>
      <c r="J84" s="50" t="inlineStr">
        <is>
          <t>PETRODA</t>
        </is>
      </c>
      <c r="K84" s="50" t="inlineStr">
        <is>
          <t>OSMAN AFIYA YUNUSU</t>
        </is>
      </c>
      <c r="L84" s="49" t="n">
        <v>46138</v>
      </c>
      <c r="M84" s="49" t="n">
        <v>46151</v>
      </c>
      <c r="N84" s="51">
        <f>IF(OR(K84="",L84="" ),"",L84-K84)</f>
        <v/>
      </c>
      <c r="O84" s="51">
        <f>IFERROR(VLOOKUP(B84,Deals[#All],7,FALSE),DEF_LAYTIME)</f>
        <v/>
      </c>
      <c r="P84" s="51">
        <f>IF(N84="","",MAX(0,N84-O84))</f>
        <v/>
      </c>
      <c r="Q84" s="52">
        <f>IFERROR(VLOOKUP(B84,Deals[#All],8,FALSE),DEF_RATE)</f>
        <v/>
      </c>
      <c r="R84" s="52">
        <f>IF(P84="","",P84*Q84)</f>
        <v/>
      </c>
      <c r="S84" s="62">
        <f>IF(N84="","PENDING",IF(P84&gt;0,"DEMURRAGE","ON-TIME"))</f>
        <v/>
      </c>
      <c r="T84" s="62">
        <f>IF(AND(D84&lt;&gt;"",K84&lt;&gt;"",K84&lt;D84),"⚠ Arr&lt;Loaded",IF(AND(K84&lt;&gt;"",L84&lt;&gt;"",L84&lt;K84),"⚠ Off&lt;Arr","OK"))</f>
        <v/>
      </c>
      <c r="U84" s="62">
        <f>IF(D84="","",TEXT(D84,"yyyy-mm"))</f>
        <v/>
      </c>
    </row>
    <row r="85">
      <c r="B85" s="62" t="n">
        <v>190664</v>
      </c>
      <c r="C85" s="50" t="inlineStr">
        <is>
          <t>Rubis Energy Zambia</t>
        </is>
      </c>
      <c r="D85" s="49" t="n">
        <v>46132</v>
      </c>
      <c r="E85" s="50" t="inlineStr">
        <is>
          <t>Beira</t>
        </is>
      </c>
      <c r="F85" s="50" t="inlineStr">
        <is>
          <t>Lusaka</t>
        </is>
      </c>
      <c r="G85" s="50" t="inlineStr">
        <is>
          <t>PMS</t>
        </is>
      </c>
      <c r="H85" s="50" t="inlineStr">
        <is>
          <t>AKN 848 MC</t>
        </is>
      </c>
      <c r="I85" s="50" t="inlineStr">
        <is>
          <t>AH 413 MC</t>
        </is>
      </c>
      <c r="J85" s="50" t="inlineStr">
        <is>
          <t>PETRODA</t>
        </is>
      </c>
      <c r="K85" s="50" t="inlineStr">
        <is>
          <t>BENEDITO ANTONIO DOMINGOS BUZI</t>
        </is>
      </c>
      <c r="L85" s="49" t="n">
        <v>46138</v>
      </c>
      <c r="M85" s="49" t="n">
        <v>46151</v>
      </c>
      <c r="N85" s="51">
        <f>IF(OR(K85="",L85="" ),"",L85-K85)</f>
        <v/>
      </c>
      <c r="O85" s="51">
        <f>IFERROR(VLOOKUP(B85,Deals[#All],7,FALSE),DEF_LAYTIME)</f>
        <v/>
      </c>
      <c r="P85" s="51">
        <f>IF(N85="","",MAX(0,N85-O85))</f>
        <v/>
      </c>
      <c r="Q85" s="52">
        <f>IFERROR(VLOOKUP(B85,Deals[#All],8,FALSE),DEF_RATE)</f>
        <v/>
      </c>
      <c r="R85" s="52">
        <f>IF(P85="","",P85*Q85)</f>
        <v/>
      </c>
      <c r="S85" s="62">
        <f>IF(N85="","PENDING",IF(P85&gt;0,"DEMURRAGE","ON-TIME"))</f>
        <v/>
      </c>
      <c r="T85" s="62">
        <f>IF(AND(D85&lt;&gt;"",K85&lt;&gt;"",K85&lt;D85),"⚠ Arr&lt;Loaded",IF(AND(K85&lt;&gt;"",L85&lt;&gt;"",L85&lt;K85),"⚠ Off&lt;Arr","OK"))</f>
        <v/>
      </c>
      <c r="U85" s="62">
        <f>IF(D85="","",TEXT(D85,"yyyy-mm"))</f>
        <v/>
      </c>
    </row>
    <row r="86">
      <c r="B86" s="62" t="n">
        <v>190664</v>
      </c>
      <c r="C86" s="50" t="inlineStr">
        <is>
          <t>Rubis Energy Zambia</t>
        </is>
      </c>
      <c r="D86" s="49" t="n">
        <v>46133</v>
      </c>
      <c r="E86" s="50" t="inlineStr">
        <is>
          <t>Beira</t>
        </is>
      </c>
      <c r="F86" s="50" t="inlineStr">
        <is>
          <t>Lusaka</t>
        </is>
      </c>
      <c r="G86" s="50" t="inlineStr">
        <is>
          <t>PMS</t>
        </is>
      </c>
      <c r="H86" s="50" t="inlineStr">
        <is>
          <t>AKN 765 MC</t>
        </is>
      </c>
      <c r="I86" s="50" t="inlineStr">
        <is>
          <t>AH 427 MC</t>
        </is>
      </c>
      <c r="J86" s="50" t="inlineStr">
        <is>
          <t>PETRODA</t>
        </is>
      </c>
      <c r="K86" s="50" t="inlineStr">
        <is>
          <t>DANIEL WAIRESSE MUDUWA</t>
        </is>
      </c>
      <c r="L86" s="49" t="n">
        <v>46138</v>
      </c>
      <c r="M86" s="49" t="n">
        <v>46143</v>
      </c>
      <c r="N86" s="51">
        <f>IF(OR(K86="",L86="" ),"",L86-K86)</f>
        <v/>
      </c>
      <c r="O86" s="51">
        <f>IFERROR(VLOOKUP(B86,Deals[#All],7,FALSE),DEF_LAYTIME)</f>
        <v/>
      </c>
      <c r="P86" s="51">
        <f>IF(N86="","",MAX(0,N86-O86))</f>
        <v/>
      </c>
      <c r="Q86" s="52">
        <f>IFERROR(VLOOKUP(B86,Deals[#All],8,FALSE),DEF_RATE)</f>
        <v/>
      </c>
      <c r="R86" s="52">
        <f>IF(P86="","",P86*Q86)</f>
        <v/>
      </c>
      <c r="S86" s="62">
        <f>IF(N86="","PENDING",IF(P86&gt;0,"DEMURRAGE","ON-TIME"))</f>
        <v/>
      </c>
      <c r="T86" s="62">
        <f>IF(AND(D86&lt;&gt;"",K86&lt;&gt;"",K86&lt;D86),"⚠ Arr&lt;Loaded",IF(AND(K86&lt;&gt;"",L86&lt;&gt;"",L86&lt;K86),"⚠ Off&lt;Arr","OK"))</f>
        <v/>
      </c>
      <c r="U86" s="62">
        <f>IF(D86="","",TEXT(D86,"yyyy-mm"))</f>
        <v/>
      </c>
    </row>
    <row r="87">
      <c r="B87" s="62" t="n">
        <v>190664</v>
      </c>
      <c r="C87" s="50" t="inlineStr">
        <is>
          <t>Rubis Energy Zambia</t>
        </is>
      </c>
      <c r="D87" s="49" t="n">
        <v>46133</v>
      </c>
      <c r="E87" s="50" t="inlineStr">
        <is>
          <t>Beira</t>
        </is>
      </c>
      <c r="F87" s="50" t="inlineStr">
        <is>
          <t>Lusaka</t>
        </is>
      </c>
      <c r="G87" s="50" t="inlineStr">
        <is>
          <t>PMS</t>
        </is>
      </c>
      <c r="H87" s="50" t="inlineStr">
        <is>
          <t>ABC 244 SF</t>
        </is>
      </c>
      <c r="I87" s="50" t="inlineStr">
        <is>
          <t>AH 424 SF</t>
        </is>
      </c>
      <c r="J87" s="50" t="inlineStr">
        <is>
          <t>PETRODA</t>
        </is>
      </c>
      <c r="K87" s="50" t="inlineStr">
        <is>
          <t>BRITO BITONE SEMENTE MUTANDO</t>
        </is>
      </c>
      <c r="L87" s="49" t="n">
        <v>46138</v>
      </c>
      <c r="M87" s="49" t="n">
        <v>46143</v>
      </c>
      <c r="N87" s="51">
        <f>IF(OR(K87="",L87="" ),"",L87-K87)</f>
        <v/>
      </c>
      <c r="O87" s="51">
        <f>IFERROR(VLOOKUP(B87,Deals[#All],7,FALSE),DEF_LAYTIME)</f>
        <v/>
      </c>
      <c r="P87" s="51">
        <f>IF(N87="","",MAX(0,N87-O87))</f>
        <v/>
      </c>
      <c r="Q87" s="52">
        <f>IFERROR(VLOOKUP(B87,Deals[#All],8,FALSE),DEF_RATE)</f>
        <v/>
      </c>
      <c r="R87" s="52">
        <f>IF(P87="","",P87*Q87)</f>
        <v/>
      </c>
      <c r="S87" s="62">
        <f>IF(N87="","PENDING",IF(P87&gt;0,"DEMURRAGE","ON-TIME"))</f>
        <v/>
      </c>
      <c r="T87" s="62">
        <f>IF(AND(D87&lt;&gt;"",K87&lt;&gt;"",K87&lt;D87),"⚠ Arr&lt;Loaded",IF(AND(K87&lt;&gt;"",L87&lt;&gt;"",L87&lt;K87),"⚠ Off&lt;Arr","OK"))</f>
        <v/>
      </c>
      <c r="U87" s="62">
        <f>IF(D87="","",TEXT(D87,"yyyy-mm"))</f>
        <v/>
      </c>
    </row>
    <row r="88">
      <c r="B88" s="62" t="n">
        <v>190664</v>
      </c>
      <c r="C88" s="50" t="inlineStr">
        <is>
          <t>Rubis Energy Zambia</t>
        </is>
      </c>
      <c r="D88" s="49" t="n">
        <v>46133</v>
      </c>
      <c r="E88" s="50" t="inlineStr">
        <is>
          <t>Beira</t>
        </is>
      </c>
      <c r="F88" s="50" t="inlineStr">
        <is>
          <t>Lusaka</t>
        </is>
      </c>
      <c r="G88" s="50" t="inlineStr">
        <is>
          <t>PMS</t>
        </is>
      </c>
      <c r="H88" s="50" t="inlineStr">
        <is>
          <t>AAO 768 SF</t>
        </is>
      </c>
      <c r="I88" s="50" t="inlineStr">
        <is>
          <t>AH 421 MC</t>
        </is>
      </c>
      <c r="J88" s="50" t="inlineStr">
        <is>
          <t>PETRODA</t>
        </is>
      </c>
      <c r="K88" s="50" t="inlineStr">
        <is>
          <t>AGOSTINHO GONCALVES PIRES</t>
        </is>
      </c>
      <c r="L88" s="49" t="n">
        <v>46138</v>
      </c>
      <c r="M88" s="49" t="n">
        <v>46143</v>
      </c>
      <c r="N88" s="51">
        <f>IF(OR(K88="",L88="" ),"",L88-K88)</f>
        <v/>
      </c>
      <c r="O88" s="51">
        <f>IFERROR(VLOOKUP(B88,Deals[#All],7,FALSE),DEF_LAYTIME)</f>
        <v/>
      </c>
      <c r="P88" s="51">
        <f>IF(N88="","",MAX(0,N88-O88))</f>
        <v/>
      </c>
      <c r="Q88" s="52">
        <f>IFERROR(VLOOKUP(B88,Deals[#All],8,FALSE),DEF_RATE)</f>
        <v/>
      </c>
      <c r="R88" s="52">
        <f>IF(P88="","",P88*Q88)</f>
        <v/>
      </c>
      <c r="S88" s="62">
        <f>IF(N88="","PENDING",IF(P88&gt;0,"DEMURRAGE","ON-TIME"))</f>
        <v/>
      </c>
      <c r="T88" s="62">
        <f>IF(AND(D88&lt;&gt;"",K88&lt;&gt;"",K88&lt;D88),"⚠ Arr&lt;Loaded",IF(AND(K88&lt;&gt;"",L88&lt;&gt;"",L88&lt;K88),"⚠ Off&lt;Arr","OK"))</f>
        <v/>
      </c>
      <c r="U88" s="62">
        <f>IF(D88="","",TEXT(D88,"yyyy-mm"))</f>
        <v/>
      </c>
    </row>
    <row r="89">
      <c r="B89" s="62" t="n">
        <v>190664</v>
      </c>
      <c r="C89" s="50" t="inlineStr">
        <is>
          <t>Rubis Energy Zambia</t>
        </is>
      </c>
      <c r="D89" s="49" t="n">
        <v>46133</v>
      </c>
      <c r="E89" s="50" t="inlineStr">
        <is>
          <t>Beira</t>
        </is>
      </c>
      <c r="F89" s="50" t="inlineStr">
        <is>
          <t>Lusaka</t>
        </is>
      </c>
      <c r="G89" s="50" t="inlineStr">
        <is>
          <t>PMS</t>
        </is>
      </c>
      <c r="H89" s="50" t="inlineStr">
        <is>
          <t>ABC 277 SF</t>
        </is>
      </c>
      <c r="I89" s="50" t="inlineStr">
        <is>
          <t>AH 377 SF</t>
        </is>
      </c>
      <c r="J89" s="50" t="inlineStr">
        <is>
          <t>PETRODA</t>
        </is>
      </c>
      <c r="K89" s="50" t="inlineStr">
        <is>
          <t>ALBERTO JOSE VASCO</t>
        </is>
      </c>
      <c r="L89" s="49" t="n">
        <v>46138</v>
      </c>
      <c r="M89" s="49" t="n">
        <v>46143</v>
      </c>
      <c r="N89" s="51">
        <f>IF(OR(K89="",L89="" ),"",L89-K89)</f>
        <v/>
      </c>
      <c r="O89" s="51">
        <f>IFERROR(VLOOKUP(B89,Deals[#All],7,FALSE),DEF_LAYTIME)</f>
        <v/>
      </c>
      <c r="P89" s="51">
        <f>IF(N89="","",MAX(0,N89-O89))</f>
        <v/>
      </c>
      <c r="Q89" s="52">
        <f>IFERROR(VLOOKUP(B89,Deals[#All],8,FALSE),DEF_RATE)</f>
        <v/>
      </c>
      <c r="R89" s="52">
        <f>IF(P89="","",P89*Q89)</f>
        <v/>
      </c>
      <c r="S89" s="62">
        <f>IF(N89="","PENDING",IF(P89&gt;0,"DEMURRAGE","ON-TIME"))</f>
        <v/>
      </c>
      <c r="T89" s="62">
        <f>IF(AND(D89&lt;&gt;"",K89&lt;&gt;"",K89&lt;D89),"⚠ Arr&lt;Loaded",IF(AND(K89&lt;&gt;"",L89&lt;&gt;"",L89&lt;K89),"⚠ Off&lt;Arr","OK"))</f>
        <v/>
      </c>
      <c r="U89" s="62">
        <f>IF(D89="","",TEXT(D89,"yyyy-mm"))</f>
        <v/>
      </c>
    </row>
    <row r="90">
      <c r="B90" s="62" t="n">
        <v>190664</v>
      </c>
      <c r="C90" s="50" t="inlineStr">
        <is>
          <t>Rubis Energy Zambia</t>
        </is>
      </c>
      <c r="D90" s="49" t="n">
        <v>46133</v>
      </c>
      <c r="E90" s="50" t="inlineStr">
        <is>
          <t>Beira</t>
        </is>
      </c>
      <c r="F90" s="50" t="inlineStr">
        <is>
          <t>Lusaka</t>
        </is>
      </c>
      <c r="G90" s="50" t="inlineStr">
        <is>
          <t>PMS</t>
        </is>
      </c>
      <c r="H90" s="50" t="inlineStr">
        <is>
          <t>ABC 259 SF</t>
        </is>
      </c>
      <c r="I90" s="50" t="inlineStr">
        <is>
          <t>AH 419 SF</t>
        </is>
      </c>
      <c r="J90" s="50" t="inlineStr">
        <is>
          <t>PETRODA</t>
        </is>
      </c>
      <c r="K90" s="50" t="inlineStr">
        <is>
          <t>DOMINGOS CASTIGO</t>
        </is>
      </c>
      <c r="L90" s="49" t="n">
        <v>46138</v>
      </c>
      <c r="M90" s="49" t="n">
        <v>46143</v>
      </c>
      <c r="N90" s="51">
        <f>IF(OR(K90="",L90="" ),"",L90-K90)</f>
        <v/>
      </c>
      <c r="O90" s="51">
        <f>IFERROR(VLOOKUP(B90,Deals[#All],7,FALSE),DEF_LAYTIME)</f>
        <v/>
      </c>
      <c r="P90" s="51">
        <f>IF(N90="","",MAX(0,N90-O90))</f>
        <v/>
      </c>
      <c r="Q90" s="52">
        <f>IFERROR(VLOOKUP(B90,Deals[#All],8,FALSE),DEF_RATE)</f>
        <v/>
      </c>
      <c r="R90" s="52">
        <f>IF(P90="","",P90*Q90)</f>
        <v/>
      </c>
      <c r="S90" s="62">
        <f>IF(N90="","PENDING",IF(P90&gt;0,"DEMURRAGE","ON-TIME"))</f>
        <v/>
      </c>
      <c r="T90" s="62">
        <f>IF(AND(D90&lt;&gt;"",K90&lt;&gt;"",K90&lt;D90),"⚠ Arr&lt;Loaded",IF(AND(K90&lt;&gt;"",L90&lt;&gt;"",L90&lt;K90),"⚠ Off&lt;Arr","OK"))</f>
        <v/>
      </c>
      <c r="U90" s="62">
        <f>IF(D90="","",TEXT(D90,"yyyy-mm"))</f>
        <v/>
      </c>
    </row>
    <row r="91">
      <c r="B91" s="62" t="n">
        <v>190664</v>
      </c>
      <c r="C91" s="50" t="inlineStr">
        <is>
          <t>Rubis Energy Zambia</t>
        </is>
      </c>
      <c r="D91" s="49" t="n">
        <v>46133</v>
      </c>
      <c r="E91" s="50" t="inlineStr">
        <is>
          <t>Beira</t>
        </is>
      </c>
      <c r="F91" s="50" t="inlineStr">
        <is>
          <t>Lusaka</t>
        </is>
      </c>
      <c r="G91" s="50" t="inlineStr">
        <is>
          <t>PMS</t>
        </is>
      </c>
      <c r="H91" s="50" t="inlineStr">
        <is>
          <t>AKM 997 MC</t>
        </is>
      </c>
      <c r="I91" s="50" t="inlineStr">
        <is>
          <t>AH 428 MC</t>
        </is>
      </c>
      <c r="J91" s="50" t="inlineStr">
        <is>
          <t>PETRODA</t>
        </is>
      </c>
      <c r="K91" s="50" t="inlineStr">
        <is>
          <t>JOAO XAVIER LEVANHE PAULINO</t>
        </is>
      </c>
      <c r="L91" s="49" t="n">
        <v>46139</v>
      </c>
      <c r="M91" s="49" t="n">
        <v>46146</v>
      </c>
      <c r="N91" s="51">
        <f>IF(OR(K91="",L91="" ),"",L91-K91)</f>
        <v/>
      </c>
      <c r="O91" s="51">
        <f>IFERROR(VLOOKUP(B91,Deals[#All],7,FALSE),DEF_LAYTIME)</f>
        <v/>
      </c>
      <c r="P91" s="51">
        <f>IF(N91="","",MAX(0,N91-O91))</f>
        <v/>
      </c>
      <c r="Q91" s="52">
        <f>IFERROR(VLOOKUP(B91,Deals[#All],8,FALSE),DEF_RATE)</f>
        <v/>
      </c>
      <c r="R91" s="52">
        <f>IF(P91="","",P91*Q91)</f>
        <v/>
      </c>
      <c r="S91" s="62">
        <f>IF(N91="","PENDING",IF(P91&gt;0,"DEMURRAGE","ON-TIME"))</f>
        <v/>
      </c>
      <c r="T91" s="62">
        <f>IF(AND(D91&lt;&gt;"",K91&lt;&gt;"",K91&lt;D91),"⚠ Arr&lt;Loaded",IF(AND(K91&lt;&gt;"",L91&lt;&gt;"",L91&lt;K91),"⚠ Off&lt;Arr","OK"))</f>
        <v/>
      </c>
      <c r="U91" s="62">
        <f>IF(D91="","",TEXT(D91,"yyyy-mm"))</f>
        <v/>
      </c>
    </row>
    <row r="92">
      <c r="B92" s="62" t="n">
        <v>190664</v>
      </c>
      <c r="C92" s="50" t="inlineStr">
        <is>
          <t>Rubis Energy Zambia</t>
        </is>
      </c>
      <c r="D92" s="49" t="n">
        <v>46133</v>
      </c>
      <c r="E92" s="50" t="inlineStr">
        <is>
          <t>Beira</t>
        </is>
      </c>
      <c r="F92" s="50" t="inlineStr">
        <is>
          <t>Lusaka</t>
        </is>
      </c>
      <c r="G92" s="50" t="inlineStr">
        <is>
          <t>PMS</t>
        </is>
      </c>
      <c r="H92" s="50" t="inlineStr">
        <is>
          <t>AKN 779 MC</t>
        </is>
      </c>
      <c r="I92" s="50" t="inlineStr">
        <is>
          <t>AH 420 MC</t>
        </is>
      </c>
      <c r="J92" s="50" t="inlineStr">
        <is>
          <t>PETRODA</t>
        </is>
      </c>
      <c r="K92" s="50" t="inlineStr">
        <is>
          <t>LOURENCO JOSE JORGE</t>
        </is>
      </c>
      <c r="L92" s="49" t="n">
        <v>46138</v>
      </c>
      <c r="M92" s="49" t="n">
        <v>46146</v>
      </c>
      <c r="N92" s="51">
        <f>IF(OR(K92="",L92="" ),"",L92-K92)</f>
        <v/>
      </c>
      <c r="O92" s="51">
        <f>IFERROR(VLOOKUP(B92,Deals[#All],7,FALSE),DEF_LAYTIME)</f>
        <v/>
      </c>
      <c r="P92" s="51">
        <f>IF(N92="","",MAX(0,N92-O92))</f>
        <v/>
      </c>
      <c r="Q92" s="52">
        <f>IFERROR(VLOOKUP(B92,Deals[#All],8,FALSE),DEF_RATE)</f>
        <v/>
      </c>
      <c r="R92" s="52">
        <f>IF(P92="","",P92*Q92)</f>
        <v/>
      </c>
      <c r="S92" s="62">
        <f>IF(N92="","PENDING",IF(P92&gt;0,"DEMURRAGE","ON-TIME"))</f>
        <v/>
      </c>
      <c r="T92" s="62">
        <f>IF(AND(D92&lt;&gt;"",K92&lt;&gt;"",K92&lt;D92),"⚠ Arr&lt;Loaded",IF(AND(K92&lt;&gt;"",L92&lt;&gt;"",L92&lt;K92),"⚠ Off&lt;Arr","OK"))</f>
        <v/>
      </c>
      <c r="U92" s="62">
        <f>IF(D92="","",TEXT(D92,"yyyy-mm"))</f>
        <v/>
      </c>
    </row>
    <row r="93">
      <c r="B93" s="62" t="n">
        <v>190664</v>
      </c>
      <c r="C93" s="50" t="inlineStr">
        <is>
          <t>Rubis Energy Zambia</t>
        </is>
      </c>
      <c r="D93" s="49" t="n">
        <v>46133</v>
      </c>
      <c r="E93" s="50" t="inlineStr">
        <is>
          <t>Beira</t>
        </is>
      </c>
      <c r="F93" s="50" t="inlineStr">
        <is>
          <t>Lusaka</t>
        </is>
      </c>
      <c r="G93" s="50" t="inlineStr">
        <is>
          <t>PMS</t>
        </is>
      </c>
      <c r="H93" s="50" t="inlineStr">
        <is>
          <t>ABC 292 SF</t>
        </is>
      </c>
      <c r="I93" s="50" t="inlineStr">
        <is>
          <t>AH 402 SF</t>
        </is>
      </c>
      <c r="J93" s="50" t="inlineStr">
        <is>
          <t>PETRODA</t>
        </is>
      </c>
      <c r="K93" s="50" t="inlineStr">
        <is>
          <t>BONIFACIO BYSON MALEFULA</t>
        </is>
      </c>
      <c r="L93" s="49" t="n">
        <v>46139</v>
      </c>
      <c r="M93" s="49" t="n">
        <v>46143</v>
      </c>
      <c r="N93" s="51">
        <f>IF(OR(K93="",L93="" ),"",L93-K93)</f>
        <v/>
      </c>
      <c r="O93" s="51">
        <f>IFERROR(VLOOKUP(B93,Deals[#All],7,FALSE),DEF_LAYTIME)</f>
        <v/>
      </c>
      <c r="P93" s="51">
        <f>IF(N93="","",MAX(0,N93-O93))</f>
        <v/>
      </c>
      <c r="Q93" s="52">
        <f>IFERROR(VLOOKUP(B93,Deals[#All],8,FALSE),DEF_RATE)</f>
        <v/>
      </c>
      <c r="R93" s="52">
        <f>IF(P93="","",P93*Q93)</f>
        <v/>
      </c>
      <c r="S93" s="62">
        <f>IF(N93="","PENDING",IF(P93&gt;0,"DEMURRAGE","ON-TIME"))</f>
        <v/>
      </c>
      <c r="T93" s="62">
        <f>IF(AND(D93&lt;&gt;"",K93&lt;&gt;"",K93&lt;D93),"⚠ Arr&lt;Loaded",IF(AND(K93&lt;&gt;"",L93&lt;&gt;"",L93&lt;K93),"⚠ Off&lt;Arr","OK"))</f>
        <v/>
      </c>
      <c r="U93" s="62">
        <f>IF(D93="","",TEXT(D93,"yyyy-mm"))</f>
        <v/>
      </c>
    </row>
    <row r="94">
      <c r="B94" s="62" t="n">
        <v>190664</v>
      </c>
      <c r="C94" s="50" t="inlineStr">
        <is>
          <t>Rubis Energy Zambia</t>
        </is>
      </c>
      <c r="D94" s="49" t="n">
        <v>46133</v>
      </c>
      <c r="E94" s="50" t="inlineStr">
        <is>
          <t>Beira</t>
        </is>
      </c>
      <c r="F94" s="50" t="inlineStr">
        <is>
          <t>Lusaka</t>
        </is>
      </c>
      <c r="G94" s="50" t="inlineStr">
        <is>
          <t>PMS</t>
        </is>
      </c>
      <c r="H94" s="50" t="inlineStr">
        <is>
          <t>ABC 280 SF</t>
        </is>
      </c>
      <c r="I94" s="50" t="inlineStr">
        <is>
          <t>AH 380 SF</t>
        </is>
      </c>
      <c r="J94" s="50" t="inlineStr">
        <is>
          <t>PETRODA</t>
        </is>
      </c>
      <c r="K94" s="50" t="inlineStr">
        <is>
          <t>FERNANDO ULISSONE FERNANDO MATANDIRE</t>
        </is>
      </c>
      <c r="L94" s="49" t="n">
        <v>46138</v>
      </c>
      <c r="M94" s="49" t="n">
        <v>46143</v>
      </c>
      <c r="N94" s="51">
        <f>IF(OR(K94="",L94="" ),"",L94-K94)</f>
        <v/>
      </c>
      <c r="O94" s="51">
        <f>IFERROR(VLOOKUP(B94,Deals[#All],7,FALSE),DEF_LAYTIME)</f>
        <v/>
      </c>
      <c r="P94" s="51">
        <f>IF(N94="","",MAX(0,N94-O94))</f>
        <v/>
      </c>
      <c r="Q94" s="52">
        <f>IFERROR(VLOOKUP(B94,Deals[#All],8,FALSE),DEF_RATE)</f>
        <v/>
      </c>
      <c r="R94" s="52">
        <f>IF(P94="","",P94*Q94)</f>
        <v/>
      </c>
      <c r="S94" s="62">
        <f>IF(N94="","PENDING",IF(P94&gt;0,"DEMURRAGE","ON-TIME"))</f>
        <v/>
      </c>
      <c r="T94" s="62">
        <f>IF(AND(D94&lt;&gt;"",K94&lt;&gt;"",K94&lt;D94),"⚠ Arr&lt;Loaded",IF(AND(K94&lt;&gt;"",L94&lt;&gt;"",L94&lt;K94),"⚠ Off&lt;Arr","OK"))</f>
        <v/>
      </c>
      <c r="U94" s="62">
        <f>IF(D94="","",TEXT(D94,"yyyy-mm"))</f>
        <v/>
      </c>
    </row>
    <row r="95">
      <c r="B95" s="62" t="n">
        <v>190664</v>
      </c>
      <c r="C95" s="50" t="inlineStr">
        <is>
          <t>Rubis Energy Zambia</t>
        </is>
      </c>
      <c r="D95" s="49" t="n">
        <v>46132</v>
      </c>
      <c r="E95" s="50" t="inlineStr">
        <is>
          <t>Beira</t>
        </is>
      </c>
      <c r="F95" s="50" t="inlineStr">
        <is>
          <t>Lusaka</t>
        </is>
      </c>
      <c r="G95" s="50" t="inlineStr">
        <is>
          <t>PMS</t>
        </is>
      </c>
      <c r="H95" s="50" t="inlineStr">
        <is>
          <t>ABC 274 SF</t>
        </is>
      </c>
      <c r="I95" s="50" t="inlineStr">
        <is>
          <t>AH 379 SF</t>
        </is>
      </c>
      <c r="J95" s="50" t="inlineStr">
        <is>
          <t>PETRODA</t>
        </is>
      </c>
      <c r="K95" s="50" t="inlineStr">
        <is>
          <t xml:space="preserve">MATEUS VASCO ZAMBO </t>
        </is>
      </c>
      <c r="L95" s="49" t="n">
        <v>46138</v>
      </c>
      <c r="M95" s="49" t="n">
        <v>46146</v>
      </c>
      <c r="N95" s="51">
        <f>IF(OR(K95="",L95="" ),"",L95-K95)</f>
        <v/>
      </c>
      <c r="O95" s="51">
        <f>IFERROR(VLOOKUP(B95,Deals[#All],7,FALSE),DEF_LAYTIME)</f>
        <v/>
      </c>
      <c r="P95" s="51">
        <f>IF(N95="","",MAX(0,N95-O95))</f>
        <v/>
      </c>
      <c r="Q95" s="52">
        <f>IFERROR(VLOOKUP(B95,Deals[#All],8,FALSE),DEF_RATE)</f>
        <v/>
      </c>
      <c r="R95" s="52">
        <f>IF(P95="","",P95*Q95)</f>
        <v/>
      </c>
      <c r="S95" s="62">
        <f>IF(N95="","PENDING",IF(P95&gt;0,"DEMURRAGE","ON-TIME"))</f>
        <v/>
      </c>
      <c r="T95" s="62">
        <f>IF(AND(D95&lt;&gt;"",K95&lt;&gt;"",K95&lt;D95),"⚠ Arr&lt;Loaded",IF(AND(K95&lt;&gt;"",L95&lt;&gt;"",L95&lt;K95),"⚠ Off&lt;Arr","OK"))</f>
        <v/>
      </c>
      <c r="U95" s="62">
        <f>IF(D95="","",TEXT(D95,"yyyy-mm"))</f>
        <v/>
      </c>
    </row>
    <row r="96">
      <c r="B96" s="62" t="n">
        <v>190664</v>
      </c>
      <c r="C96" s="50" t="inlineStr">
        <is>
          <t>Rubis Energy Zambia</t>
        </is>
      </c>
      <c r="D96" s="49" t="n">
        <v>46133</v>
      </c>
      <c r="E96" s="50" t="inlineStr">
        <is>
          <t>Beira</t>
        </is>
      </c>
      <c r="F96" s="50" t="inlineStr">
        <is>
          <t>Lusaka</t>
        </is>
      </c>
      <c r="G96" s="50" t="inlineStr">
        <is>
          <t>PMS</t>
        </is>
      </c>
      <c r="H96" s="50" t="inlineStr">
        <is>
          <t>AKM 999 MC</t>
        </is>
      </c>
      <c r="I96" s="50" t="inlineStr">
        <is>
          <t>AH 416 MC</t>
        </is>
      </c>
      <c r="J96" s="50" t="inlineStr">
        <is>
          <t>PETRODA</t>
        </is>
      </c>
      <c r="K96" s="50" t="inlineStr">
        <is>
          <t>TAIBO RATO KANO</t>
        </is>
      </c>
      <c r="L96" s="49" t="n">
        <v>46139</v>
      </c>
      <c r="M96" s="49" t="n">
        <v>46147</v>
      </c>
      <c r="N96" s="51">
        <f>IF(OR(K96="",L96="" ),"",L96-K96)</f>
        <v/>
      </c>
      <c r="O96" s="51">
        <f>IFERROR(VLOOKUP(B96,Deals[#All],7,FALSE),DEF_LAYTIME)</f>
        <v/>
      </c>
      <c r="P96" s="51">
        <f>IF(N96="","",MAX(0,N96-O96))</f>
        <v/>
      </c>
      <c r="Q96" s="52">
        <f>IFERROR(VLOOKUP(B96,Deals[#All],8,FALSE),DEF_RATE)</f>
        <v/>
      </c>
      <c r="R96" s="52">
        <f>IF(P96="","",P96*Q96)</f>
        <v/>
      </c>
      <c r="S96" s="62">
        <f>IF(N96="","PENDING",IF(P96&gt;0,"DEMURRAGE","ON-TIME"))</f>
        <v/>
      </c>
      <c r="T96" s="62">
        <f>IF(AND(D96&lt;&gt;"",K96&lt;&gt;"",K96&lt;D96),"⚠ Arr&lt;Loaded",IF(AND(K96&lt;&gt;"",L96&lt;&gt;"",L96&lt;K96),"⚠ Off&lt;Arr","OK"))</f>
        <v/>
      </c>
      <c r="U96" s="62">
        <f>IF(D96="","",TEXT(D96,"yyyy-mm"))</f>
        <v/>
      </c>
    </row>
    <row r="97">
      <c r="B97" s="62" t="n">
        <v>190664</v>
      </c>
      <c r="C97" s="50" t="inlineStr">
        <is>
          <t>Rubis Energy Zambia</t>
        </is>
      </c>
      <c r="D97" s="49" t="n">
        <v>46132</v>
      </c>
      <c r="E97" s="50" t="inlineStr">
        <is>
          <t>Beira</t>
        </is>
      </c>
      <c r="F97" s="50" t="inlineStr">
        <is>
          <t>Lusaka</t>
        </is>
      </c>
      <c r="G97" s="50" t="inlineStr">
        <is>
          <t>PMS</t>
        </is>
      </c>
      <c r="H97" s="50" t="inlineStr">
        <is>
          <t>AKN 012 MC</t>
        </is>
      </c>
      <c r="I97" s="50" t="inlineStr">
        <is>
          <t>AH 432 MC</t>
        </is>
      </c>
      <c r="J97" s="50" t="inlineStr">
        <is>
          <t>PETRODA</t>
        </is>
      </c>
      <c r="K97" s="50" t="inlineStr">
        <is>
          <t>JOSSIA RESENDE NHONE</t>
        </is>
      </c>
      <c r="L97" s="49" t="n">
        <v>46138</v>
      </c>
      <c r="M97" s="49" t="n">
        <v>46150</v>
      </c>
      <c r="N97" s="51">
        <f>IF(OR(K97="",L97="" ),"",L97-K97)</f>
        <v/>
      </c>
      <c r="O97" s="51">
        <f>IFERROR(VLOOKUP(B97,Deals[#All],7,FALSE),DEF_LAYTIME)</f>
        <v/>
      </c>
      <c r="P97" s="51">
        <f>IF(N97="","",MAX(0,N97-O97))</f>
        <v/>
      </c>
      <c r="Q97" s="52">
        <f>IFERROR(VLOOKUP(B97,Deals[#All],8,FALSE),DEF_RATE)</f>
        <v/>
      </c>
      <c r="R97" s="52">
        <f>IF(P97="","",P97*Q97)</f>
        <v/>
      </c>
      <c r="S97" s="62">
        <f>IF(N97="","PENDING",IF(P97&gt;0,"DEMURRAGE","ON-TIME"))</f>
        <v/>
      </c>
      <c r="T97" s="62">
        <f>IF(AND(D97&lt;&gt;"",K97&lt;&gt;"",K97&lt;D97),"⚠ Arr&lt;Loaded",IF(AND(K97&lt;&gt;"",L97&lt;&gt;"",L97&lt;K97),"⚠ Off&lt;Arr","OK"))</f>
        <v/>
      </c>
      <c r="U97" s="62">
        <f>IF(D97="","",TEXT(D97,"yyyy-mm"))</f>
        <v/>
      </c>
    </row>
    <row r="98">
      <c r="B98" s="62" t="n">
        <v>190664</v>
      </c>
      <c r="C98" s="50" t="inlineStr">
        <is>
          <t>Rubis Energy Zambia</t>
        </is>
      </c>
      <c r="D98" s="49" t="n">
        <v>46132</v>
      </c>
      <c r="E98" s="50" t="inlineStr">
        <is>
          <t>Beira</t>
        </is>
      </c>
      <c r="F98" s="50" t="inlineStr">
        <is>
          <t>Lusaka</t>
        </is>
      </c>
      <c r="G98" s="50" t="inlineStr">
        <is>
          <t>PMS</t>
        </is>
      </c>
      <c r="H98" s="50" t="inlineStr">
        <is>
          <t>ABC 294 SF</t>
        </is>
      </c>
      <c r="I98" s="50" t="inlineStr">
        <is>
          <t>AH 422 SF</t>
        </is>
      </c>
      <c r="J98" s="50" t="inlineStr">
        <is>
          <t>PETRODA</t>
        </is>
      </c>
      <c r="K98" s="50" t="inlineStr">
        <is>
          <t>IVAN MANUEL AMADE JOAQUIM</t>
        </is>
      </c>
      <c r="L98" s="49" t="n">
        <v>46138</v>
      </c>
      <c r="M98" s="49" t="n">
        <v>46150</v>
      </c>
      <c r="N98" s="51">
        <f>IF(OR(K98="",L98="" ),"",L98-K98)</f>
        <v/>
      </c>
      <c r="O98" s="51">
        <f>IFERROR(VLOOKUP(B98,Deals[#All],7,FALSE),DEF_LAYTIME)</f>
        <v/>
      </c>
      <c r="P98" s="51">
        <f>IF(N98="","",MAX(0,N98-O98))</f>
        <v/>
      </c>
      <c r="Q98" s="52">
        <f>IFERROR(VLOOKUP(B98,Deals[#All],8,FALSE),DEF_RATE)</f>
        <v/>
      </c>
      <c r="R98" s="52">
        <f>IF(P98="","",P98*Q98)</f>
        <v/>
      </c>
      <c r="S98" s="62">
        <f>IF(N98="","PENDING",IF(P98&gt;0,"DEMURRAGE","ON-TIME"))</f>
        <v/>
      </c>
      <c r="T98" s="62">
        <f>IF(AND(D98&lt;&gt;"",K98&lt;&gt;"",K98&lt;D98),"⚠ Arr&lt;Loaded",IF(AND(K98&lt;&gt;"",L98&lt;&gt;"",L98&lt;K98),"⚠ Off&lt;Arr","OK"))</f>
        <v/>
      </c>
      <c r="U98" s="62">
        <f>IF(D98="","",TEXT(D98,"yyyy-mm"))</f>
        <v/>
      </c>
    </row>
    <row r="99">
      <c r="B99" s="62" t="n">
        <v>190664</v>
      </c>
      <c r="C99" s="50" t="inlineStr">
        <is>
          <t>Rubis Energy Zambia</t>
        </is>
      </c>
      <c r="D99" s="49" t="n">
        <v>46132</v>
      </c>
      <c r="E99" s="50" t="inlineStr">
        <is>
          <t>Beira</t>
        </is>
      </c>
      <c r="F99" s="50" t="inlineStr">
        <is>
          <t>Lusaka</t>
        </is>
      </c>
      <c r="G99" s="50" t="inlineStr">
        <is>
          <t>PMS</t>
        </is>
      </c>
      <c r="H99" s="50" t="inlineStr">
        <is>
          <t>ABC 252 SF</t>
        </is>
      </c>
      <c r="I99" s="50" t="inlineStr">
        <is>
          <t>AH 387 SF</t>
        </is>
      </c>
      <c r="J99" s="50" t="inlineStr">
        <is>
          <t>PETRODA</t>
        </is>
      </c>
      <c r="K99" s="50" t="inlineStr">
        <is>
          <t>PEREIRA FERNANDO ARGOLA</t>
        </is>
      </c>
      <c r="L99" s="49" t="n">
        <v>46138</v>
      </c>
      <c r="M99" s="49" t="n">
        <v>46143</v>
      </c>
      <c r="N99" s="51">
        <f>IF(OR(K99="",L99="" ),"",L99-K99)</f>
        <v/>
      </c>
      <c r="O99" s="51">
        <f>IFERROR(VLOOKUP(B99,Deals[#All],7,FALSE),DEF_LAYTIME)</f>
        <v/>
      </c>
      <c r="P99" s="51">
        <f>IF(N99="","",MAX(0,N99-O99))</f>
        <v/>
      </c>
      <c r="Q99" s="52">
        <f>IFERROR(VLOOKUP(B99,Deals[#All],8,FALSE),DEF_RATE)</f>
        <v/>
      </c>
      <c r="R99" s="52">
        <f>IF(P99="","",P99*Q99)</f>
        <v/>
      </c>
      <c r="S99" s="62">
        <f>IF(N99="","PENDING",IF(P99&gt;0,"DEMURRAGE","ON-TIME"))</f>
        <v/>
      </c>
      <c r="T99" s="62">
        <f>IF(AND(D99&lt;&gt;"",K99&lt;&gt;"",K99&lt;D99),"⚠ Arr&lt;Loaded",IF(AND(K99&lt;&gt;"",L99&lt;&gt;"",L99&lt;K99),"⚠ Off&lt;Arr","OK"))</f>
        <v/>
      </c>
      <c r="U99" s="62">
        <f>IF(D99="","",TEXT(D99,"yyyy-mm"))</f>
        <v/>
      </c>
    </row>
    <row r="100">
      <c r="B100" s="62" t="n">
        <v>190664</v>
      </c>
      <c r="C100" s="50" t="inlineStr">
        <is>
          <t>Rubis Energy Zambia</t>
        </is>
      </c>
      <c r="D100" s="49" t="n">
        <v>46133</v>
      </c>
      <c r="E100" s="50" t="inlineStr">
        <is>
          <t>Beira</t>
        </is>
      </c>
      <c r="F100" s="50" t="inlineStr">
        <is>
          <t>Lusaka</t>
        </is>
      </c>
      <c r="G100" s="50" t="inlineStr">
        <is>
          <t>PMS</t>
        </is>
      </c>
      <c r="H100" s="50" t="inlineStr">
        <is>
          <t>AKN 006 MC</t>
        </is>
      </c>
      <c r="I100" s="50" t="inlineStr">
        <is>
          <t>AH 457 MC</t>
        </is>
      </c>
      <c r="J100" s="50" t="inlineStr">
        <is>
          <t>PETRODA</t>
        </is>
      </c>
      <c r="K100" s="50" t="inlineStr">
        <is>
          <t>GILDO LUIS DE SOUSA</t>
        </is>
      </c>
      <c r="L100" s="49" t="n">
        <v>46139</v>
      </c>
      <c r="M100" s="49" t="n">
        <v>46146</v>
      </c>
      <c r="N100" s="51">
        <f>IF(OR(K100="",L100="" ),"",L100-K100)</f>
        <v/>
      </c>
      <c r="O100" s="51">
        <f>IFERROR(VLOOKUP(B100,Deals[#All],7,FALSE),DEF_LAYTIME)</f>
        <v/>
      </c>
      <c r="P100" s="51">
        <f>IF(N100="","",MAX(0,N100-O100))</f>
        <v/>
      </c>
      <c r="Q100" s="52">
        <f>IFERROR(VLOOKUP(B100,Deals[#All],8,FALSE),DEF_RATE)</f>
        <v/>
      </c>
      <c r="R100" s="52">
        <f>IF(P100="","",P100*Q100)</f>
        <v/>
      </c>
      <c r="S100" s="62">
        <f>IF(N100="","PENDING",IF(P100&gt;0,"DEMURRAGE","ON-TIME"))</f>
        <v/>
      </c>
      <c r="T100" s="62">
        <f>IF(AND(D100&lt;&gt;"",K100&lt;&gt;"",K100&lt;D100),"⚠ Arr&lt;Loaded",IF(AND(K100&lt;&gt;"",L100&lt;&gt;"",L100&lt;K100),"⚠ Off&lt;Arr","OK"))</f>
        <v/>
      </c>
      <c r="U100" s="62">
        <f>IF(D100="","",TEXT(D100,"yyyy-mm"))</f>
        <v/>
      </c>
    </row>
    <row r="101">
      <c r="B101" s="62" t="n">
        <v>190664</v>
      </c>
      <c r="C101" s="50" t="inlineStr">
        <is>
          <t>Rubis Energy Zambia</t>
        </is>
      </c>
      <c r="D101" s="49" t="n">
        <v>46137</v>
      </c>
      <c r="E101" s="50" t="inlineStr">
        <is>
          <t>Beira</t>
        </is>
      </c>
      <c r="F101" s="50" t="inlineStr">
        <is>
          <t>Lusaka</t>
        </is>
      </c>
      <c r="G101" s="50" t="inlineStr">
        <is>
          <t>PMS</t>
        </is>
      </c>
      <c r="H101" s="50" t="inlineStr">
        <is>
          <t>ABC 283 SF</t>
        </is>
      </c>
      <c r="I101" s="50" t="inlineStr">
        <is>
          <t>AH 383 SF</t>
        </is>
      </c>
      <c r="J101" s="50" t="inlineStr">
        <is>
          <t>PETRODA</t>
        </is>
      </c>
      <c r="K101" s="50" t="inlineStr">
        <is>
          <t>WILIAMO BRITO MALISSIE</t>
        </is>
      </c>
      <c r="L101" s="49" t="n">
        <v>46142</v>
      </c>
      <c r="M101" s="49" t="n">
        <v>46148</v>
      </c>
      <c r="N101" s="51">
        <f>IF(OR(K101="",L101="" ),"",L101-K101)</f>
        <v/>
      </c>
      <c r="O101" s="51">
        <f>IFERROR(VLOOKUP(B101,Deals[#All],7,FALSE),DEF_LAYTIME)</f>
        <v/>
      </c>
      <c r="P101" s="51">
        <f>IF(N101="","",MAX(0,N101-O101))</f>
        <v/>
      </c>
      <c r="Q101" s="52">
        <f>IFERROR(VLOOKUP(B101,Deals[#All],8,FALSE),DEF_RATE)</f>
        <v/>
      </c>
      <c r="R101" s="52">
        <f>IF(P101="","",P101*Q101)</f>
        <v/>
      </c>
      <c r="S101" s="62">
        <f>IF(N101="","PENDING",IF(P101&gt;0,"DEMURRAGE","ON-TIME"))</f>
        <v/>
      </c>
      <c r="T101" s="62">
        <f>IF(AND(D101&lt;&gt;"",K101&lt;&gt;"",K101&lt;D101),"⚠ Arr&lt;Loaded",IF(AND(K101&lt;&gt;"",L101&lt;&gt;"",L101&lt;K101),"⚠ Off&lt;Arr","OK"))</f>
        <v/>
      </c>
      <c r="U101" s="62">
        <f>IF(D101="","",TEXT(D101,"yyyy-mm"))</f>
        <v/>
      </c>
    </row>
    <row r="102">
      <c r="B102" s="62" t="n">
        <v>190664</v>
      </c>
      <c r="C102" s="50" t="inlineStr">
        <is>
          <t>Rubis Energy Zambia</t>
        </is>
      </c>
      <c r="D102" s="49" t="n">
        <v>46134</v>
      </c>
      <c r="E102" s="50" t="inlineStr">
        <is>
          <t>Beira</t>
        </is>
      </c>
      <c r="F102" s="50" t="inlineStr">
        <is>
          <t>Lusaka</t>
        </is>
      </c>
      <c r="G102" s="50" t="inlineStr">
        <is>
          <t>PMS</t>
        </is>
      </c>
      <c r="H102" s="50" t="inlineStr">
        <is>
          <t>ABC 236 SF</t>
        </is>
      </c>
      <c r="I102" s="50" t="inlineStr">
        <is>
          <t>AH 376 SF</t>
        </is>
      </c>
      <c r="J102" s="50" t="inlineStr">
        <is>
          <t>PETRODA</t>
        </is>
      </c>
      <c r="K102" s="50" t="inlineStr">
        <is>
          <t>ADILSON DOMINGOS JOSE</t>
        </is>
      </c>
      <c r="L102" s="49" t="n">
        <v>46140</v>
      </c>
      <c r="M102" s="49" t="n">
        <v>46142</v>
      </c>
      <c r="N102" s="51">
        <f>IF(OR(K102="",L102="" ),"",L102-K102)</f>
        <v/>
      </c>
      <c r="O102" s="51">
        <f>IFERROR(VLOOKUP(B102,Deals[#All],7,FALSE),DEF_LAYTIME)</f>
        <v/>
      </c>
      <c r="P102" s="51">
        <f>IF(N102="","",MAX(0,N102-O102))</f>
        <v/>
      </c>
      <c r="Q102" s="52">
        <f>IFERROR(VLOOKUP(B102,Deals[#All],8,FALSE),DEF_RATE)</f>
        <v/>
      </c>
      <c r="R102" s="52">
        <f>IF(P102="","",P102*Q102)</f>
        <v/>
      </c>
      <c r="S102" s="62">
        <f>IF(N102="","PENDING",IF(P102&gt;0,"DEMURRAGE","ON-TIME"))</f>
        <v/>
      </c>
      <c r="T102" s="62">
        <f>IF(AND(D102&lt;&gt;"",K102&lt;&gt;"",K102&lt;D102),"⚠ Arr&lt;Loaded",IF(AND(K102&lt;&gt;"",L102&lt;&gt;"",L102&lt;K102),"⚠ Off&lt;Arr","OK"))</f>
        <v/>
      </c>
      <c r="U102" s="62">
        <f>IF(D102="","",TEXT(D102,"yyyy-mm"))</f>
        <v/>
      </c>
    </row>
    <row r="103">
      <c r="B103" s="62" t="n">
        <v>190664</v>
      </c>
      <c r="C103" s="50" t="inlineStr">
        <is>
          <t>Rubis Energy Zambia</t>
        </is>
      </c>
      <c r="D103" s="49" t="n">
        <v>46143</v>
      </c>
      <c r="E103" s="50" t="inlineStr">
        <is>
          <t>Beira</t>
        </is>
      </c>
      <c r="F103" s="50" t="inlineStr">
        <is>
          <t>Lusaka</t>
        </is>
      </c>
      <c r="G103" s="50" t="inlineStr">
        <is>
          <t>PMS</t>
        </is>
      </c>
      <c r="H103" s="50" t="inlineStr">
        <is>
          <t>AKO 283 MC</t>
        </is>
      </c>
      <c r="I103" s="50" t="inlineStr">
        <is>
          <t>AH 446 MC</t>
        </is>
      </c>
      <c r="J103" s="50" t="inlineStr">
        <is>
          <t>PETRODA</t>
        </is>
      </c>
      <c r="K103" s="50" t="inlineStr">
        <is>
          <t>ANTONIO EFREMO ANDICENE</t>
        </is>
      </c>
      <c r="L103" s="49" t="n">
        <v>46148</v>
      </c>
      <c r="M103" s="49" t="n">
        <v>46148</v>
      </c>
      <c r="N103" s="51">
        <f>IF(OR(K103="",L103="" ),"",L103-K103)</f>
        <v/>
      </c>
      <c r="O103" s="51">
        <f>IFERROR(VLOOKUP(B103,Deals[#All],7,FALSE),DEF_LAYTIME)</f>
        <v/>
      </c>
      <c r="P103" s="51">
        <f>IF(N103="","",MAX(0,N103-O103))</f>
        <v/>
      </c>
      <c r="Q103" s="52">
        <f>IFERROR(VLOOKUP(B103,Deals[#All],8,FALSE),DEF_RATE)</f>
        <v/>
      </c>
      <c r="R103" s="52">
        <f>IF(P103="","",P103*Q103)</f>
        <v/>
      </c>
      <c r="S103" s="62">
        <f>IF(N103="","PENDING",IF(P103&gt;0,"DEMURRAGE","ON-TIME"))</f>
        <v/>
      </c>
      <c r="T103" s="62">
        <f>IF(AND(D103&lt;&gt;"",K103&lt;&gt;"",K103&lt;D103),"⚠ Arr&lt;Loaded",IF(AND(K103&lt;&gt;"",L103&lt;&gt;"",L103&lt;K103),"⚠ Off&lt;Arr","OK"))</f>
        <v/>
      </c>
      <c r="U103" s="62">
        <f>IF(D103="","",TEXT(D103,"yyyy-mm"))</f>
        <v/>
      </c>
    </row>
    <row r="104">
      <c r="B104" s="62" t="n">
        <v>190664</v>
      </c>
      <c r="C104" s="50" t="inlineStr">
        <is>
          <t>Rubis Energy Zambia</t>
        </is>
      </c>
      <c r="D104" s="49" t="n">
        <v>46134</v>
      </c>
      <c r="E104" s="50" t="inlineStr">
        <is>
          <t>Beira</t>
        </is>
      </c>
      <c r="F104" s="50" t="inlineStr">
        <is>
          <t>Lusaka</t>
        </is>
      </c>
      <c r="G104" s="50" t="inlineStr">
        <is>
          <t>PMS</t>
        </is>
      </c>
      <c r="H104" s="50" t="inlineStr">
        <is>
          <t>AKN 854 MC</t>
        </is>
      </c>
      <c r="I104" s="50" t="inlineStr">
        <is>
          <t>AH 423 MC</t>
        </is>
      </c>
      <c r="J104" s="50" t="inlineStr">
        <is>
          <t>PETRODA</t>
        </is>
      </c>
      <c r="K104" s="50" t="inlineStr">
        <is>
          <t>YONA MARCOS ABILIO</t>
        </is>
      </c>
      <c r="L104" s="49" t="n">
        <v>46140</v>
      </c>
      <c r="M104" s="49" t="n">
        <v>46142</v>
      </c>
      <c r="N104" s="51">
        <f>IF(OR(K104="",L104="" ),"",L104-K104)</f>
        <v/>
      </c>
      <c r="O104" s="51">
        <f>IFERROR(VLOOKUP(B104,Deals[#All],7,FALSE),DEF_LAYTIME)</f>
        <v/>
      </c>
      <c r="P104" s="51">
        <f>IF(N104="","",MAX(0,N104-O104))</f>
        <v/>
      </c>
      <c r="Q104" s="52">
        <f>IFERROR(VLOOKUP(B104,Deals[#All],8,FALSE),DEF_RATE)</f>
        <v/>
      </c>
      <c r="R104" s="52">
        <f>IF(P104="","",P104*Q104)</f>
        <v/>
      </c>
      <c r="S104" s="62">
        <f>IF(N104="","PENDING",IF(P104&gt;0,"DEMURRAGE","ON-TIME"))</f>
        <v/>
      </c>
      <c r="T104" s="62">
        <f>IF(AND(D104&lt;&gt;"",K104&lt;&gt;"",K104&lt;D104),"⚠ Arr&lt;Loaded",IF(AND(K104&lt;&gt;"",L104&lt;&gt;"",L104&lt;K104),"⚠ Off&lt;Arr","OK"))</f>
        <v/>
      </c>
      <c r="U104" s="62">
        <f>IF(D104="","",TEXT(D104,"yyyy-mm"))</f>
        <v/>
      </c>
    </row>
    <row r="105">
      <c r="B105" s="62" t="n">
        <v>190664</v>
      </c>
      <c r="C105" s="50" t="inlineStr">
        <is>
          <t>Rubis Energy Zambia</t>
        </is>
      </c>
      <c r="D105" s="49" t="n">
        <v>46141</v>
      </c>
      <c r="E105" s="50" t="inlineStr">
        <is>
          <t>Beira</t>
        </is>
      </c>
      <c r="F105" s="50" t="inlineStr">
        <is>
          <t>Lusaka</t>
        </is>
      </c>
      <c r="G105" s="50" t="inlineStr">
        <is>
          <t>PMS</t>
        </is>
      </c>
      <c r="H105" s="50" t="inlineStr">
        <is>
          <t>AKN 461MC</t>
        </is>
      </c>
      <c r="I105" s="50" t="inlineStr">
        <is>
          <t>AH 425 MC</t>
        </is>
      </c>
      <c r="J105" s="50" t="inlineStr">
        <is>
          <t>PETRODA</t>
        </is>
      </c>
      <c r="K105" s="50" t="inlineStr">
        <is>
          <t>BLESSING LINOS NDENGUMA</t>
        </is>
      </c>
      <c r="L105" s="49" t="n">
        <v>46145</v>
      </c>
      <c r="M105" s="49" t="n">
        <v>46146</v>
      </c>
      <c r="N105" s="51">
        <f>IF(OR(K105="",L105="" ),"",L105-K105)</f>
        <v/>
      </c>
      <c r="O105" s="51">
        <f>IFERROR(VLOOKUP(B105,Deals[#All],7,FALSE),DEF_LAYTIME)</f>
        <v/>
      </c>
      <c r="P105" s="51">
        <f>IF(N105="","",MAX(0,N105-O105))</f>
        <v/>
      </c>
      <c r="Q105" s="52">
        <f>IFERROR(VLOOKUP(B105,Deals[#All],8,FALSE),DEF_RATE)</f>
        <v/>
      </c>
      <c r="R105" s="52">
        <f>IF(P105="","",P105*Q105)</f>
        <v/>
      </c>
      <c r="S105" s="62">
        <f>IF(N105="","PENDING",IF(P105&gt;0,"DEMURRAGE","ON-TIME"))</f>
        <v/>
      </c>
      <c r="T105" s="62">
        <f>IF(AND(D105&lt;&gt;"",K105&lt;&gt;"",K105&lt;D105),"⚠ Arr&lt;Loaded",IF(AND(K105&lt;&gt;"",L105&lt;&gt;"",L105&lt;K105),"⚠ Off&lt;Arr","OK"))</f>
        <v/>
      </c>
      <c r="U105" s="62">
        <f>IF(D105="","",TEXT(D105,"yyyy-mm"))</f>
        <v/>
      </c>
    </row>
    <row r="106">
      <c r="B106" s="62" t="n">
        <v>190664</v>
      </c>
      <c r="C106" s="50" t="inlineStr">
        <is>
          <t>Rubis Energy Zambia</t>
        </is>
      </c>
      <c r="D106" s="49" t="n">
        <v>46141</v>
      </c>
      <c r="E106" s="50" t="inlineStr">
        <is>
          <t>Beira</t>
        </is>
      </c>
      <c r="F106" s="50" t="inlineStr">
        <is>
          <t>Lusaka</t>
        </is>
      </c>
      <c r="G106" s="50" t="inlineStr">
        <is>
          <t>PMS</t>
        </is>
      </c>
      <c r="H106" s="50" t="inlineStr">
        <is>
          <t>AKN 783 MC</t>
        </is>
      </c>
      <c r="I106" s="50" t="inlineStr">
        <is>
          <t>AH 450 MC</t>
        </is>
      </c>
      <c r="J106" s="50" t="inlineStr">
        <is>
          <t>PETRODA</t>
        </is>
      </c>
      <c r="K106" s="50" t="inlineStr">
        <is>
          <t>NILTON DERCIO ADRIANO LANGA</t>
        </is>
      </c>
      <c r="L106" s="49" t="n">
        <v>46145</v>
      </c>
      <c r="M106" s="49" t="n">
        <v>46146</v>
      </c>
      <c r="N106" s="51">
        <f>IF(OR(K106="",L106="" ),"",L106-K106)</f>
        <v/>
      </c>
      <c r="O106" s="51">
        <f>IFERROR(VLOOKUP(B106,Deals[#All],7,FALSE),DEF_LAYTIME)</f>
        <v/>
      </c>
      <c r="P106" s="51">
        <f>IF(N106="","",MAX(0,N106-O106))</f>
        <v/>
      </c>
      <c r="Q106" s="52">
        <f>IFERROR(VLOOKUP(B106,Deals[#All],8,FALSE),DEF_RATE)</f>
        <v/>
      </c>
      <c r="R106" s="52">
        <f>IF(P106="","",P106*Q106)</f>
        <v/>
      </c>
      <c r="S106" s="62">
        <f>IF(N106="","PENDING",IF(P106&gt;0,"DEMURRAGE","ON-TIME"))</f>
        <v/>
      </c>
      <c r="T106" s="62">
        <f>IF(AND(D106&lt;&gt;"",K106&lt;&gt;"",K106&lt;D106),"⚠ Arr&lt;Loaded",IF(AND(K106&lt;&gt;"",L106&lt;&gt;"",L106&lt;K106),"⚠ Off&lt;Arr","OK"))</f>
        <v/>
      </c>
      <c r="U106" s="62">
        <f>IF(D106="","",TEXT(D106,"yyyy-mm"))</f>
        <v/>
      </c>
    </row>
    <row r="107">
      <c r="B107" s="62" t="n">
        <v>190664</v>
      </c>
      <c r="C107" s="50" t="inlineStr">
        <is>
          <t>Rubis Energy Zambia</t>
        </is>
      </c>
      <c r="D107" s="49" t="n">
        <v>46141</v>
      </c>
      <c r="E107" s="50" t="inlineStr">
        <is>
          <t>Beira</t>
        </is>
      </c>
      <c r="F107" s="50" t="inlineStr">
        <is>
          <t>Lusaka</t>
        </is>
      </c>
      <c r="G107" s="50" t="inlineStr">
        <is>
          <t>PMS</t>
        </is>
      </c>
      <c r="H107" s="50" t="inlineStr">
        <is>
          <t>ABC 257 SF</t>
        </is>
      </c>
      <c r="I107" s="50" t="inlineStr">
        <is>
          <t>AH 420 SF</t>
        </is>
      </c>
      <c r="J107" s="50" t="inlineStr">
        <is>
          <t>PETRODA</t>
        </is>
      </c>
      <c r="K107" s="50" t="inlineStr">
        <is>
          <t>INACIO NUNES LANGA</t>
        </is>
      </c>
      <c r="L107" s="49" t="n">
        <v>46145</v>
      </c>
      <c r="M107" s="49" t="n">
        <v>46146</v>
      </c>
      <c r="N107" s="51">
        <f>IF(OR(K107="",L107="" ),"",L107-K107)</f>
        <v/>
      </c>
      <c r="O107" s="51">
        <f>IFERROR(VLOOKUP(B107,Deals[#All],7,FALSE),DEF_LAYTIME)</f>
        <v/>
      </c>
      <c r="P107" s="51">
        <f>IF(N107="","",MAX(0,N107-O107))</f>
        <v/>
      </c>
      <c r="Q107" s="52">
        <f>IFERROR(VLOOKUP(B107,Deals[#All],8,FALSE),DEF_RATE)</f>
        <v/>
      </c>
      <c r="R107" s="52">
        <f>IF(P107="","",P107*Q107)</f>
        <v/>
      </c>
      <c r="S107" s="62">
        <f>IF(N107="","PENDING",IF(P107&gt;0,"DEMURRAGE","ON-TIME"))</f>
        <v/>
      </c>
      <c r="T107" s="62">
        <f>IF(AND(D107&lt;&gt;"",K107&lt;&gt;"",K107&lt;D107),"⚠ Arr&lt;Loaded",IF(AND(K107&lt;&gt;"",L107&lt;&gt;"",L107&lt;K107),"⚠ Off&lt;Arr","OK"))</f>
        <v/>
      </c>
      <c r="U107" s="62">
        <f>IF(D107="","",TEXT(D107,"yyyy-mm"))</f>
        <v/>
      </c>
    </row>
    <row r="108">
      <c r="B108" s="62" t="n">
        <v>190664</v>
      </c>
      <c r="C108" s="50" t="inlineStr">
        <is>
          <t>Rubis Energy Zambia</t>
        </is>
      </c>
      <c r="D108" s="49" t="n">
        <v>46141</v>
      </c>
      <c r="E108" s="50" t="inlineStr">
        <is>
          <t>Beira</t>
        </is>
      </c>
      <c r="F108" s="50" t="inlineStr">
        <is>
          <t>Lusaka</t>
        </is>
      </c>
      <c r="G108" s="50" t="inlineStr">
        <is>
          <t>PMS</t>
        </is>
      </c>
      <c r="H108" s="50" t="inlineStr">
        <is>
          <t>AKO 096 MC</t>
        </is>
      </c>
      <c r="I108" s="50" t="inlineStr">
        <is>
          <t>AH 452 MC</t>
        </is>
      </c>
      <c r="J108" s="50" t="inlineStr">
        <is>
          <t>PETRODA</t>
        </is>
      </c>
      <c r="K108" s="50" t="inlineStr">
        <is>
          <t>EMIDIO SEBASTIAO JOAO MUSSAFE</t>
        </is>
      </c>
      <c r="L108" s="49" t="n">
        <v>46145</v>
      </c>
      <c r="M108" s="49" t="n">
        <v>46146</v>
      </c>
      <c r="N108" s="51">
        <f>IF(OR(K108="",L108="" ),"",L108-K108)</f>
        <v/>
      </c>
      <c r="O108" s="51">
        <f>IFERROR(VLOOKUP(B108,Deals[#All],7,FALSE),DEF_LAYTIME)</f>
        <v/>
      </c>
      <c r="P108" s="51">
        <f>IF(N108="","",MAX(0,N108-O108))</f>
        <v/>
      </c>
      <c r="Q108" s="52">
        <f>IFERROR(VLOOKUP(B108,Deals[#All],8,FALSE),DEF_RATE)</f>
        <v/>
      </c>
      <c r="R108" s="52">
        <f>IF(P108="","",P108*Q108)</f>
        <v/>
      </c>
      <c r="S108" s="62">
        <f>IF(N108="","PENDING",IF(P108&gt;0,"DEMURRAGE","ON-TIME"))</f>
        <v/>
      </c>
      <c r="T108" s="62">
        <f>IF(AND(D108&lt;&gt;"",K108&lt;&gt;"",K108&lt;D108),"⚠ Arr&lt;Loaded",IF(AND(K108&lt;&gt;"",L108&lt;&gt;"",L108&lt;K108),"⚠ Off&lt;Arr","OK"))</f>
        <v/>
      </c>
      <c r="U108" s="62">
        <f>IF(D108="","",TEXT(D108,"yyyy-mm"))</f>
        <v/>
      </c>
    </row>
    <row r="109">
      <c r="B109" s="62" t="n">
        <v>190664</v>
      </c>
      <c r="C109" s="50" t="inlineStr">
        <is>
          <t>Rubis Energy Zambia</t>
        </is>
      </c>
      <c r="D109" s="49" t="n">
        <v>46142</v>
      </c>
      <c r="E109" s="50" t="inlineStr">
        <is>
          <t>Beira</t>
        </is>
      </c>
      <c r="F109" s="50" t="inlineStr">
        <is>
          <t>Lusaka</t>
        </is>
      </c>
      <c r="G109" s="50" t="inlineStr">
        <is>
          <t>PMS</t>
        </is>
      </c>
      <c r="H109" s="50" t="inlineStr">
        <is>
          <t>ABC 284 SF</t>
        </is>
      </c>
      <c r="I109" s="50" t="inlineStr">
        <is>
          <t>AH 384 SF</t>
        </is>
      </c>
      <c r="J109" s="50" t="inlineStr">
        <is>
          <t>PETRODA</t>
        </is>
      </c>
      <c r="K109" s="50" t="inlineStr">
        <is>
          <t>FRANCISCO ZACARIAS</t>
        </is>
      </c>
      <c r="L109" s="49" t="n">
        <v>46148</v>
      </c>
      <c r="M109" s="49" t="n">
        <v>46148</v>
      </c>
      <c r="N109" s="51">
        <f>IF(OR(K109="",L109="" ),"",L109-K109)</f>
        <v/>
      </c>
      <c r="O109" s="51">
        <f>IFERROR(VLOOKUP(B109,Deals[#All],7,FALSE),DEF_LAYTIME)</f>
        <v/>
      </c>
      <c r="P109" s="51">
        <f>IF(N109="","",MAX(0,N109-O109))</f>
        <v/>
      </c>
      <c r="Q109" s="52">
        <f>IFERROR(VLOOKUP(B109,Deals[#All],8,FALSE),DEF_RATE)</f>
        <v/>
      </c>
      <c r="R109" s="52">
        <f>IF(P109="","",P109*Q109)</f>
        <v/>
      </c>
      <c r="S109" s="62">
        <f>IF(N109="","PENDING",IF(P109&gt;0,"DEMURRAGE","ON-TIME"))</f>
        <v/>
      </c>
      <c r="T109" s="62">
        <f>IF(AND(D109&lt;&gt;"",K109&lt;&gt;"",K109&lt;D109),"⚠ Arr&lt;Loaded",IF(AND(K109&lt;&gt;"",L109&lt;&gt;"",L109&lt;K109),"⚠ Off&lt;Arr","OK"))</f>
        <v/>
      </c>
      <c r="U109" s="62">
        <f>IF(D109="","",TEXT(D109,"yyyy-mm"))</f>
        <v/>
      </c>
    </row>
    <row r="110">
      <c r="B110" s="62" t="n">
        <v>190664</v>
      </c>
      <c r="C110" s="50" t="inlineStr">
        <is>
          <t>Rubis Energy Zambia</t>
        </is>
      </c>
      <c r="D110" s="49" t="n">
        <v>46141</v>
      </c>
      <c r="E110" s="50" t="inlineStr">
        <is>
          <t>Beira</t>
        </is>
      </c>
      <c r="F110" s="50" t="inlineStr">
        <is>
          <t>Lusaka</t>
        </is>
      </c>
      <c r="G110" s="50" t="inlineStr">
        <is>
          <t>PMS</t>
        </is>
      </c>
      <c r="H110" s="50" t="inlineStr">
        <is>
          <t>AKN 009 MC</t>
        </is>
      </c>
      <c r="I110" s="50" t="inlineStr">
        <is>
          <t>AH 463 MC</t>
        </is>
      </c>
      <c r="J110" s="50" t="inlineStr">
        <is>
          <t>PETRODA</t>
        </is>
      </c>
      <c r="K110" s="50" t="inlineStr">
        <is>
          <t>JOAQUIM FRANCISCO HAMELA</t>
        </is>
      </c>
      <c r="L110" s="49" t="n">
        <v>46145</v>
      </c>
      <c r="M110" s="49" t="n">
        <v>46146</v>
      </c>
      <c r="N110" s="51">
        <f>IF(OR(K110="",L110="" ),"",L110-K110)</f>
        <v/>
      </c>
      <c r="O110" s="51">
        <f>IFERROR(VLOOKUP(B110,Deals[#All],7,FALSE),DEF_LAYTIME)</f>
        <v/>
      </c>
      <c r="P110" s="51">
        <f>IF(N110="","",MAX(0,N110-O110))</f>
        <v/>
      </c>
      <c r="Q110" s="52">
        <f>IFERROR(VLOOKUP(B110,Deals[#All],8,FALSE),DEF_RATE)</f>
        <v/>
      </c>
      <c r="R110" s="52">
        <f>IF(P110="","",P110*Q110)</f>
        <v/>
      </c>
      <c r="S110" s="62">
        <f>IF(N110="","PENDING",IF(P110&gt;0,"DEMURRAGE","ON-TIME"))</f>
        <v/>
      </c>
      <c r="T110" s="62">
        <f>IF(AND(D110&lt;&gt;"",K110&lt;&gt;"",K110&lt;D110),"⚠ Arr&lt;Loaded",IF(AND(K110&lt;&gt;"",L110&lt;&gt;"",L110&lt;K110),"⚠ Off&lt;Arr","OK"))</f>
        <v/>
      </c>
      <c r="U110" s="62">
        <f>IF(D110="","",TEXT(D110,"yyyy-mm"))</f>
        <v/>
      </c>
    </row>
    <row r="111">
      <c r="B111" s="62" t="n">
        <v>190664</v>
      </c>
      <c r="C111" s="50" t="inlineStr">
        <is>
          <t>Rubis Energy Zambia</t>
        </is>
      </c>
      <c r="D111" s="49" t="n">
        <v>46144</v>
      </c>
      <c r="E111" s="50" t="inlineStr">
        <is>
          <t>Beira</t>
        </is>
      </c>
      <c r="F111" s="50" t="inlineStr">
        <is>
          <t>Lusaka</t>
        </is>
      </c>
      <c r="G111" s="50" t="inlineStr">
        <is>
          <t>PMS</t>
        </is>
      </c>
      <c r="H111" s="50" t="inlineStr">
        <is>
          <t>AKN 812 MC</t>
        </is>
      </c>
      <c r="I111" s="50" t="inlineStr">
        <is>
          <t>AH 439 MC</t>
        </is>
      </c>
      <c r="J111" s="50" t="inlineStr">
        <is>
          <t>PETRODA</t>
        </is>
      </c>
      <c r="K111" s="50" t="inlineStr">
        <is>
          <t>MOISES BACALEUANE ARROZ</t>
        </is>
      </c>
      <c r="L111" s="49" t="n">
        <v>46148</v>
      </c>
      <c r="M111" s="49" t="n">
        <v>46150</v>
      </c>
      <c r="N111" s="51">
        <f>IF(OR(K111="",L111="" ),"",L111-K111)</f>
        <v/>
      </c>
      <c r="O111" s="51">
        <f>IFERROR(VLOOKUP(B111,Deals[#All],7,FALSE),DEF_LAYTIME)</f>
        <v/>
      </c>
      <c r="P111" s="51">
        <f>IF(N111="","",MAX(0,N111-O111))</f>
        <v/>
      </c>
      <c r="Q111" s="52">
        <f>IFERROR(VLOOKUP(B111,Deals[#All],8,FALSE),DEF_RATE)</f>
        <v/>
      </c>
      <c r="R111" s="52">
        <f>IF(P111="","",P111*Q111)</f>
        <v/>
      </c>
      <c r="S111" s="62">
        <f>IF(N111="","PENDING",IF(P111&gt;0,"DEMURRAGE","ON-TIME"))</f>
        <v/>
      </c>
      <c r="T111" s="62">
        <f>IF(AND(D111&lt;&gt;"",K111&lt;&gt;"",K111&lt;D111),"⚠ Arr&lt;Loaded",IF(AND(K111&lt;&gt;"",L111&lt;&gt;"",L111&lt;K111),"⚠ Off&lt;Arr","OK"))</f>
        <v/>
      </c>
      <c r="U111" s="62">
        <f>IF(D111="","",TEXT(D111,"yyyy-mm"))</f>
        <v/>
      </c>
    </row>
    <row r="112">
      <c r="B112" s="62" t="n">
        <v>190664</v>
      </c>
      <c r="C112" s="50" t="inlineStr">
        <is>
          <t>Rubis Energy Zambia</t>
        </is>
      </c>
      <c r="D112" s="49" t="n">
        <v>46141</v>
      </c>
      <c r="E112" s="50" t="inlineStr">
        <is>
          <t>Beira</t>
        </is>
      </c>
      <c r="F112" s="50" t="inlineStr">
        <is>
          <t>Lusaka</t>
        </is>
      </c>
      <c r="G112" s="50" t="inlineStr">
        <is>
          <t>PMS</t>
        </is>
      </c>
      <c r="H112" s="50" t="inlineStr">
        <is>
          <t>ABC 291 SF</t>
        </is>
      </c>
      <c r="I112" s="50" t="inlineStr">
        <is>
          <t>AH 391 SF</t>
        </is>
      </c>
      <c r="J112" s="50" t="inlineStr">
        <is>
          <t>PETRODA</t>
        </is>
      </c>
      <c r="K112" s="50" t="inlineStr">
        <is>
          <t xml:space="preserve">JONE BERNARDO QUIPA </t>
        </is>
      </c>
      <c r="L112" s="49" t="n">
        <v>46145</v>
      </c>
      <c r="M112" s="49" t="n">
        <v>46146</v>
      </c>
      <c r="N112" s="51">
        <f>IF(OR(K112="",L112="" ),"",L112-K112)</f>
        <v/>
      </c>
      <c r="O112" s="51">
        <f>IFERROR(VLOOKUP(B112,Deals[#All],7,FALSE),DEF_LAYTIME)</f>
        <v/>
      </c>
      <c r="P112" s="51">
        <f>IF(N112="","",MAX(0,N112-O112))</f>
        <v/>
      </c>
      <c r="Q112" s="52">
        <f>IFERROR(VLOOKUP(B112,Deals[#All],8,FALSE),DEF_RATE)</f>
        <v/>
      </c>
      <c r="R112" s="52">
        <f>IF(P112="","",P112*Q112)</f>
        <v/>
      </c>
      <c r="S112" s="62">
        <f>IF(N112="","PENDING",IF(P112&gt;0,"DEMURRAGE","ON-TIME"))</f>
        <v/>
      </c>
      <c r="T112" s="62">
        <f>IF(AND(D112&lt;&gt;"",K112&lt;&gt;"",K112&lt;D112),"⚠ Arr&lt;Loaded",IF(AND(K112&lt;&gt;"",L112&lt;&gt;"",L112&lt;K112),"⚠ Off&lt;Arr","OK"))</f>
        <v/>
      </c>
      <c r="U112" s="62">
        <f>IF(D112="","",TEXT(D112,"yyyy-mm"))</f>
        <v/>
      </c>
    </row>
    <row r="113">
      <c r="B113" s="62" t="n">
        <v>191610</v>
      </c>
      <c r="C113" s="50" t="inlineStr">
        <is>
          <t>Rubis Energy Zambia</t>
        </is>
      </c>
      <c r="D113" s="49" t="n">
        <v>46151</v>
      </c>
      <c r="E113" s="50" t="inlineStr">
        <is>
          <t>Beira</t>
        </is>
      </c>
      <c r="F113" s="50" t="inlineStr">
        <is>
          <t>Lusaka</t>
        </is>
      </c>
      <c r="G113" s="50" t="inlineStr">
        <is>
          <t>PMS</t>
        </is>
      </c>
      <c r="H113" s="50" t="n"/>
      <c r="I113" s="50" t="n"/>
      <c r="J113" s="50" t="n"/>
      <c r="K113" s="50" t="n"/>
      <c r="L113" s="49" t="n"/>
      <c r="M113" s="49" t="n"/>
      <c r="N113" s="51">
        <f>IF(OR(K113="",L113="" ),"",L113-K113)</f>
        <v/>
      </c>
      <c r="O113" s="51">
        <f>IFERROR(VLOOKUP(B113,Deals[#All],7,FALSE),DEF_LAYTIME)</f>
        <v/>
      </c>
      <c r="P113" s="51">
        <f>IF(N113="","",MAX(0,N113-O113))</f>
        <v/>
      </c>
      <c r="Q113" s="52">
        <f>IFERROR(VLOOKUP(B113,Deals[#All],8,FALSE),DEF_RATE)</f>
        <v/>
      </c>
      <c r="R113" s="52">
        <f>IF(P113="","",P113*Q113)</f>
        <v/>
      </c>
      <c r="S113" s="62">
        <f>IF(N113="","PENDING",IF(P113&gt;0,"DEMURRAGE","ON-TIME"))</f>
        <v/>
      </c>
      <c r="T113" s="62">
        <f>IF(AND(D113&lt;&gt;"",K113&lt;&gt;"",K113&lt;D113),"⚠ Arr&lt;Loaded",IF(AND(K113&lt;&gt;"",L113&lt;&gt;"",L113&lt;K113),"⚠ Off&lt;Arr","OK"))</f>
        <v/>
      </c>
      <c r="U113" s="62">
        <f>IF(D113="","",TEXT(D113,"yyyy-mm"))</f>
        <v/>
      </c>
    </row>
    <row r="114">
      <c r="B114" s="62" t="n">
        <v>191610</v>
      </c>
      <c r="C114" s="50" t="inlineStr">
        <is>
          <t>Rubis Energy Zambia</t>
        </is>
      </c>
      <c r="D114" s="49" t="n">
        <v>46150</v>
      </c>
      <c r="E114" s="50" t="inlineStr">
        <is>
          <t>Beira</t>
        </is>
      </c>
      <c r="F114" s="50" t="inlineStr">
        <is>
          <t>Lusaka</t>
        </is>
      </c>
      <c r="G114" s="50" t="inlineStr">
        <is>
          <t>PMS</t>
        </is>
      </c>
      <c r="H114" s="50" t="n"/>
      <c r="I114" s="50" t="n"/>
      <c r="J114" s="50" t="n"/>
      <c r="K114" s="50" t="n"/>
      <c r="L114" s="49" t="n"/>
      <c r="M114" s="49" t="n"/>
      <c r="N114" s="51">
        <f>IF(OR(K114="",L114="" ),"",L114-K114)</f>
        <v/>
      </c>
      <c r="O114" s="51">
        <f>IFERROR(VLOOKUP(B114,Deals[#All],7,FALSE),DEF_LAYTIME)</f>
        <v/>
      </c>
      <c r="P114" s="51">
        <f>IF(N114="","",MAX(0,N114-O114))</f>
        <v/>
      </c>
      <c r="Q114" s="52">
        <f>IFERROR(VLOOKUP(B114,Deals[#All],8,FALSE),DEF_RATE)</f>
        <v/>
      </c>
      <c r="R114" s="52">
        <f>IF(P114="","",P114*Q114)</f>
        <v/>
      </c>
      <c r="S114" s="62">
        <f>IF(N114="","PENDING",IF(P114&gt;0,"DEMURRAGE","ON-TIME"))</f>
        <v/>
      </c>
      <c r="T114" s="62">
        <f>IF(AND(D114&lt;&gt;"",K114&lt;&gt;"",K114&lt;D114),"⚠ Arr&lt;Loaded",IF(AND(K114&lt;&gt;"",L114&lt;&gt;"",L114&lt;K114),"⚠ Off&lt;Arr","OK"))</f>
        <v/>
      </c>
      <c r="U114" s="62">
        <f>IF(D114="","",TEXT(D114,"yyyy-mm"))</f>
        <v/>
      </c>
    </row>
    <row r="115">
      <c r="B115" s="62" t="n">
        <v>191610</v>
      </c>
      <c r="C115" s="50" t="inlineStr">
        <is>
          <t>Rubis Energy Zambia</t>
        </is>
      </c>
      <c r="D115" s="49" t="n">
        <v>46151</v>
      </c>
      <c r="E115" s="50" t="inlineStr">
        <is>
          <t>Beira</t>
        </is>
      </c>
      <c r="F115" s="50" t="inlineStr">
        <is>
          <t>Lusaka</t>
        </is>
      </c>
      <c r="G115" s="50" t="inlineStr">
        <is>
          <t>PMS</t>
        </is>
      </c>
      <c r="H115" s="50" t="n"/>
      <c r="I115" s="50" t="n"/>
      <c r="J115" s="50" t="n"/>
      <c r="K115" s="50" t="n"/>
      <c r="L115" s="49" t="n"/>
      <c r="M115" s="49" t="n"/>
      <c r="N115" s="51">
        <f>IF(OR(K115="",L115="" ),"",L115-K115)</f>
        <v/>
      </c>
      <c r="O115" s="51">
        <f>IFERROR(VLOOKUP(B115,Deals[#All],7,FALSE),DEF_LAYTIME)</f>
        <v/>
      </c>
      <c r="P115" s="51">
        <f>IF(N115="","",MAX(0,N115-O115))</f>
        <v/>
      </c>
      <c r="Q115" s="52">
        <f>IFERROR(VLOOKUP(B115,Deals[#All],8,FALSE),DEF_RATE)</f>
        <v/>
      </c>
      <c r="R115" s="52">
        <f>IF(P115="","",P115*Q115)</f>
        <v/>
      </c>
      <c r="S115" s="62">
        <f>IF(N115="","PENDING",IF(P115&gt;0,"DEMURRAGE","ON-TIME"))</f>
        <v/>
      </c>
      <c r="T115" s="62">
        <f>IF(AND(D115&lt;&gt;"",K115&lt;&gt;"",K115&lt;D115),"⚠ Arr&lt;Loaded",IF(AND(K115&lt;&gt;"",L115&lt;&gt;"",L115&lt;K115),"⚠ Off&lt;Arr","OK"))</f>
        <v/>
      </c>
      <c r="U115" s="62">
        <f>IF(D115="","",TEXT(D115,"yyyy-mm"))</f>
        <v/>
      </c>
    </row>
    <row r="116">
      <c r="B116" s="62" t="n">
        <v>191610</v>
      </c>
      <c r="C116" s="50" t="inlineStr">
        <is>
          <t>Rubis Energy Zambia</t>
        </is>
      </c>
      <c r="D116" s="49" t="n">
        <v>46151</v>
      </c>
      <c r="E116" s="50" t="inlineStr">
        <is>
          <t>Beira</t>
        </is>
      </c>
      <c r="F116" s="50" t="inlineStr">
        <is>
          <t>Lusaka</t>
        </is>
      </c>
      <c r="G116" s="50" t="inlineStr">
        <is>
          <t>PMS</t>
        </is>
      </c>
      <c r="H116" s="50" t="n"/>
      <c r="I116" s="50" t="n"/>
      <c r="J116" s="50" t="n"/>
      <c r="K116" s="50" t="n"/>
      <c r="L116" s="49" t="n"/>
      <c r="M116" s="49" t="n"/>
      <c r="N116" s="51">
        <f>IF(OR(K116="",L116="" ),"",L116-K116)</f>
        <v/>
      </c>
      <c r="O116" s="51">
        <f>IFERROR(VLOOKUP(B116,Deals[#All],7,FALSE),DEF_LAYTIME)</f>
        <v/>
      </c>
      <c r="P116" s="51">
        <f>IF(N116="","",MAX(0,N116-O116))</f>
        <v/>
      </c>
      <c r="Q116" s="52">
        <f>IFERROR(VLOOKUP(B116,Deals[#All],8,FALSE),DEF_RATE)</f>
        <v/>
      </c>
      <c r="R116" s="52">
        <f>IF(P116="","",P116*Q116)</f>
        <v/>
      </c>
      <c r="S116" s="62">
        <f>IF(N116="","PENDING",IF(P116&gt;0,"DEMURRAGE","ON-TIME"))</f>
        <v/>
      </c>
      <c r="T116" s="62">
        <f>IF(AND(D116&lt;&gt;"",K116&lt;&gt;"",K116&lt;D116),"⚠ Arr&lt;Loaded",IF(AND(K116&lt;&gt;"",L116&lt;&gt;"",L116&lt;K116),"⚠ Off&lt;Arr","OK"))</f>
        <v/>
      </c>
      <c r="U116" s="62">
        <f>IF(D116="","",TEXT(D116,"yyyy-mm"))</f>
        <v/>
      </c>
    </row>
    <row r="117">
      <c r="B117" s="62" t="n">
        <v>191610</v>
      </c>
      <c r="C117" s="50" t="inlineStr">
        <is>
          <t>Rubis Energy Zambia</t>
        </is>
      </c>
      <c r="D117" s="49" t="n">
        <v>46151</v>
      </c>
      <c r="E117" s="50" t="inlineStr">
        <is>
          <t>Beira</t>
        </is>
      </c>
      <c r="F117" s="50" t="inlineStr">
        <is>
          <t>Lusaka</t>
        </is>
      </c>
      <c r="G117" s="50" t="inlineStr">
        <is>
          <t>PMS</t>
        </is>
      </c>
      <c r="H117" s="50" t="n"/>
      <c r="I117" s="50" t="n"/>
      <c r="J117" s="50" t="n"/>
      <c r="K117" s="50" t="n"/>
      <c r="L117" s="49" t="n"/>
      <c r="M117" s="49" t="n"/>
      <c r="N117" s="51">
        <f>IF(OR(K117="",L117="" ),"",L117-K117)</f>
        <v/>
      </c>
      <c r="O117" s="51">
        <f>IFERROR(VLOOKUP(B117,Deals[#All],7,FALSE),DEF_LAYTIME)</f>
        <v/>
      </c>
      <c r="P117" s="51">
        <f>IF(N117="","",MAX(0,N117-O117))</f>
        <v/>
      </c>
      <c r="Q117" s="52">
        <f>IFERROR(VLOOKUP(B117,Deals[#All],8,FALSE),DEF_RATE)</f>
        <v/>
      </c>
      <c r="R117" s="52">
        <f>IF(P117="","",P117*Q117)</f>
        <v/>
      </c>
      <c r="S117" s="62">
        <f>IF(N117="","PENDING",IF(P117&gt;0,"DEMURRAGE","ON-TIME"))</f>
        <v/>
      </c>
      <c r="T117" s="62">
        <f>IF(AND(D117&lt;&gt;"",K117&lt;&gt;"",K117&lt;D117),"⚠ Arr&lt;Loaded",IF(AND(K117&lt;&gt;"",L117&lt;&gt;"",L117&lt;K117),"⚠ Off&lt;Arr","OK"))</f>
        <v/>
      </c>
      <c r="U117" s="62">
        <f>IF(D117="","",TEXT(D117,"yyyy-mm"))</f>
        <v/>
      </c>
    </row>
    <row r="118">
      <c r="B118" s="62" t="n">
        <v>191610</v>
      </c>
      <c r="C118" s="50" t="inlineStr">
        <is>
          <t>Rubis Energy Zambia</t>
        </is>
      </c>
      <c r="D118" s="49" t="n">
        <v>46150</v>
      </c>
      <c r="E118" s="50" t="inlineStr">
        <is>
          <t>Beira</t>
        </is>
      </c>
      <c r="F118" s="50" t="inlineStr">
        <is>
          <t>Lusaka</t>
        </is>
      </c>
      <c r="G118" s="50" t="inlineStr">
        <is>
          <t>PMS</t>
        </is>
      </c>
      <c r="H118" s="50" t="n"/>
      <c r="I118" s="50" t="n"/>
      <c r="J118" s="50" t="n"/>
      <c r="K118" s="50" t="n"/>
      <c r="L118" s="49" t="n"/>
      <c r="M118" s="49" t="n"/>
      <c r="N118" s="51">
        <f>IF(OR(K118="",L118="" ),"",L118-K118)</f>
        <v/>
      </c>
      <c r="O118" s="51">
        <f>IFERROR(VLOOKUP(B118,Deals[#All],7,FALSE),DEF_LAYTIME)</f>
        <v/>
      </c>
      <c r="P118" s="51">
        <f>IF(N118="","",MAX(0,N118-O118))</f>
        <v/>
      </c>
      <c r="Q118" s="52">
        <f>IFERROR(VLOOKUP(B118,Deals[#All],8,FALSE),DEF_RATE)</f>
        <v/>
      </c>
      <c r="R118" s="52">
        <f>IF(P118="","",P118*Q118)</f>
        <v/>
      </c>
      <c r="S118" s="62">
        <f>IF(N118="","PENDING",IF(P118&gt;0,"DEMURRAGE","ON-TIME"))</f>
        <v/>
      </c>
      <c r="T118" s="62">
        <f>IF(AND(D118&lt;&gt;"",K118&lt;&gt;"",K118&lt;D118),"⚠ Arr&lt;Loaded",IF(AND(K118&lt;&gt;"",L118&lt;&gt;"",L118&lt;K118),"⚠ Off&lt;Arr","OK"))</f>
        <v/>
      </c>
      <c r="U118" s="62">
        <f>IF(D118="","",TEXT(D118,"yyyy-mm"))</f>
        <v/>
      </c>
    </row>
    <row r="119">
      <c r="B119" s="62" t="n">
        <v>191610</v>
      </c>
      <c r="C119" s="50" t="inlineStr">
        <is>
          <t>Rubis Energy Zambia</t>
        </is>
      </c>
      <c r="D119" s="49" t="n">
        <v>46150</v>
      </c>
      <c r="E119" s="50" t="inlineStr">
        <is>
          <t>Beira</t>
        </is>
      </c>
      <c r="F119" s="50" t="inlineStr">
        <is>
          <t>Lusaka</t>
        </is>
      </c>
      <c r="G119" s="50" t="inlineStr">
        <is>
          <t>PMS</t>
        </is>
      </c>
      <c r="H119" s="50" t="n"/>
      <c r="I119" s="50" t="n"/>
      <c r="J119" s="50" t="n"/>
      <c r="K119" s="50" t="n"/>
      <c r="L119" s="49" t="n"/>
      <c r="M119" s="49" t="n"/>
      <c r="N119" s="51">
        <f>IF(OR(K119="",L119="" ),"",L119-K119)</f>
        <v/>
      </c>
      <c r="O119" s="51">
        <f>IFERROR(VLOOKUP(B119,Deals[#All],7,FALSE),DEF_LAYTIME)</f>
        <v/>
      </c>
      <c r="P119" s="51">
        <f>IF(N119="","",MAX(0,N119-O119))</f>
        <v/>
      </c>
      <c r="Q119" s="52">
        <f>IFERROR(VLOOKUP(B119,Deals[#All],8,FALSE),DEF_RATE)</f>
        <v/>
      </c>
      <c r="R119" s="52">
        <f>IF(P119="","",P119*Q119)</f>
        <v/>
      </c>
      <c r="S119" s="62">
        <f>IF(N119="","PENDING",IF(P119&gt;0,"DEMURRAGE","ON-TIME"))</f>
        <v/>
      </c>
      <c r="T119" s="62">
        <f>IF(AND(D119&lt;&gt;"",K119&lt;&gt;"",K119&lt;D119),"⚠ Arr&lt;Loaded",IF(AND(K119&lt;&gt;"",L119&lt;&gt;"",L119&lt;K119),"⚠ Off&lt;Arr","OK"))</f>
        <v/>
      </c>
      <c r="U119" s="62">
        <f>IF(D119="","",TEXT(D119,"yyyy-mm"))</f>
        <v/>
      </c>
    </row>
    <row r="120">
      <c r="B120" s="62" t="n">
        <v>191610</v>
      </c>
      <c r="C120" s="50" t="inlineStr">
        <is>
          <t>Rubis Energy Zambia</t>
        </is>
      </c>
      <c r="D120" s="49" t="n">
        <v>46150</v>
      </c>
      <c r="E120" s="50" t="inlineStr">
        <is>
          <t>Beira</t>
        </is>
      </c>
      <c r="F120" s="50" t="inlineStr">
        <is>
          <t>Lusaka</t>
        </is>
      </c>
      <c r="G120" s="50" t="inlineStr">
        <is>
          <t>PMS</t>
        </is>
      </c>
      <c r="H120" s="50" t="n"/>
      <c r="I120" s="50" t="n"/>
      <c r="J120" s="50" t="n"/>
      <c r="K120" s="50" t="n"/>
      <c r="L120" s="49" t="n"/>
      <c r="M120" s="49" t="n"/>
      <c r="N120" s="51">
        <f>IF(OR(K120="",L120="" ),"",L120-K120)</f>
        <v/>
      </c>
      <c r="O120" s="51">
        <f>IFERROR(VLOOKUP(B120,Deals[#All],7,FALSE),DEF_LAYTIME)</f>
        <v/>
      </c>
      <c r="P120" s="51">
        <f>IF(N120="","",MAX(0,N120-O120))</f>
        <v/>
      </c>
      <c r="Q120" s="52">
        <f>IFERROR(VLOOKUP(B120,Deals[#All],8,FALSE),DEF_RATE)</f>
        <v/>
      </c>
      <c r="R120" s="52">
        <f>IF(P120="","",P120*Q120)</f>
        <v/>
      </c>
      <c r="S120" s="62">
        <f>IF(N120="","PENDING",IF(P120&gt;0,"DEMURRAGE","ON-TIME"))</f>
        <v/>
      </c>
      <c r="T120" s="62">
        <f>IF(AND(D120&lt;&gt;"",K120&lt;&gt;"",K120&lt;D120),"⚠ Arr&lt;Loaded",IF(AND(K120&lt;&gt;"",L120&lt;&gt;"",L120&lt;K120),"⚠ Off&lt;Arr","OK"))</f>
        <v/>
      </c>
      <c r="U120" s="62">
        <f>IF(D120="","",TEXT(D120,"yyyy-mm"))</f>
        <v/>
      </c>
    </row>
    <row r="121">
      <c r="B121" s="62" t="n">
        <v>191610</v>
      </c>
      <c r="C121" s="50" t="inlineStr">
        <is>
          <t>Rubis Energy Zambia</t>
        </is>
      </c>
      <c r="D121" s="49" t="n">
        <v>46151</v>
      </c>
      <c r="E121" s="50" t="inlineStr">
        <is>
          <t>Beira</t>
        </is>
      </c>
      <c r="F121" s="50" t="inlineStr">
        <is>
          <t>Lusaka</t>
        </is>
      </c>
      <c r="G121" s="50" t="inlineStr">
        <is>
          <t>PMS</t>
        </is>
      </c>
      <c r="H121" s="50" t="n"/>
      <c r="I121" s="50" t="n"/>
      <c r="J121" s="50" t="n"/>
      <c r="K121" s="50" t="n"/>
      <c r="L121" s="49" t="n"/>
      <c r="M121" s="49" t="n"/>
      <c r="N121" s="51">
        <f>IF(OR(K121="",L121="" ),"",L121-K121)</f>
        <v/>
      </c>
      <c r="O121" s="51">
        <f>IFERROR(VLOOKUP(B121,Deals[#All],7,FALSE),DEF_LAYTIME)</f>
        <v/>
      </c>
      <c r="P121" s="51">
        <f>IF(N121="","",MAX(0,N121-O121))</f>
        <v/>
      </c>
      <c r="Q121" s="52">
        <f>IFERROR(VLOOKUP(B121,Deals[#All],8,FALSE),DEF_RATE)</f>
        <v/>
      </c>
      <c r="R121" s="52">
        <f>IF(P121="","",P121*Q121)</f>
        <v/>
      </c>
      <c r="S121" s="62">
        <f>IF(N121="","PENDING",IF(P121&gt;0,"DEMURRAGE","ON-TIME"))</f>
        <v/>
      </c>
      <c r="T121" s="62">
        <f>IF(AND(D121&lt;&gt;"",K121&lt;&gt;"",K121&lt;D121),"⚠ Arr&lt;Loaded",IF(AND(K121&lt;&gt;"",L121&lt;&gt;"",L121&lt;K121),"⚠ Off&lt;Arr","OK"))</f>
        <v/>
      </c>
      <c r="U121" s="62">
        <f>IF(D121="","",TEXT(D121,"yyyy-mm"))</f>
        <v/>
      </c>
    </row>
    <row r="122">
      <c r="B122" s="62" t="n">
        <v>191610</v>
      </c>
      <c r="C122" s="50" t="inlineStr">
        <is>
          <t>Rubis Energy Zambia</t>
        </is>
      </c>
      <c r="D122" s="49" t="n">
        <v>46151</v>
      </c>
      <c r="E122" s="50" t="inlineStr">
        <is>
          <t>Beira</t>
        </is>
      </c>
      <c r="F122" s="50" t="inlineStr">
        <is>
          <t>Lusaka</t>
        </is>
      </c>
      <c r="G122" s="50" t="inlineStr">
        <is>
          <t>PMS</t>
        </is>
      </c>
      <c r="H122" s="50" t="n"/>
      <c r="I122" s="50" t="n"/>
      <c r="J122" s="50" t="n"/>
      <c r="K122" s="50" t="n"/>
      <c r="L122" s="49" t="n"/>
      <c r="M122" s="49" t="n"/>
      <c r="N122" s="51">
        <f>IF(OR(K122="",L122="" ),"",L122-K122)</f>
        <v/>
      </c>
      <c r="O122" s="51">
        <f>IFERROR(VLOOKUP(B122,Deals[#All],7,FALSE),DEF_LAYTIME)</f>
        <v/>
      </c>
      <c r="P122" s="51">
        <f>IF(N122="","",MAX(0,N122-O122))</f>
        <v/>
      </c>
      <c r="Q122" s="52">
        <f>IFERROR(VLOOKUP(B122,Deals[#All],8,FALSE),DEF_RATE)</f>
        <v/>
      </c>
      <c r="R122" s="52">
        <f>IF(P122="","",P122*Q122)</f>
        <v/>
      </c>
      <c r="S122" s="62">
        <f>IF(N122="","PENDING",IF(P122&gt;0,"DEMURRAGE","ON-TIME"))</f>
        <v/>
      </c>
      <c r="T122" s="62">
        <f>IF(AND(D122&lt;&gt;"",K122&lt;&gt;"",K122&lt;D122),"⚠ Arr&lt;Loaded",IF(AND(K122&lt;&gt;"",L122&lt;&gt;"",L122&lt;K122),"⚠ Off&lt;Arr","OK"))</f>
        <v/>
      </c>
      <c r="U122" s="62">
        <f>IF(D122="","",TEXT(D122,"yyyy-mm"))</f>
        <v/>
      </c>
    </row>
    <row r="123">
      <c r="B123" s="62" t="n">
        <v>191610</v>
      </c>
      <c r="C123" s="50" t="inlineStr">
        <is>
          <t>Rubis Energy Zambia</t>
        </is>
      </c>
      <c r="D123" s="49" t="n">
        <v>46150</v>
      </c>
      <c r="E123" s="50" t="inlineStr">
        <is>
          <t>Beira</t>
        </is>
      </c>
      <c r="F123" s="50" t="inlineStr">
        <is>
          <t>Lusaka</t>
        </is>
      </c>
      <c r="G123" s="50" t="inlineStr">
        <is>
          <t>PMS</t>
        </is>
      </c>
      <c r="H123" s="50" t="n"/>
      <c r="I123" s="50" t="n"/>
      <c r="J123" s="50" t="n"/>
      <c r="K123" s="50" t="n"/>
      <c r="L123" s="49" t="n"/>
      <c r="M123" s="49" t="n"/>
      <c r="N123" s="51">
        <f>IF(OR(K123="",L123="" ),"",L123-K123)</f>
        <v/>
      </c>
      <c r="O123" s="51">
        <f>IFERROR(VLOOKUP(B123,Deals[#All],7,FALSE),DEF_LAYTIME)</f>
        <v/>
      </c>
      <c r="P123" s="51">
        <f>IF(N123="","",MAX(0,N123-O123))</f>
        <v/>
      </c>
      <c r="Q123" s="52">
        <f>IFERROR(VLOOKUP(B123,Deals[#All],8,FALSE),DEF_RATE)</f>
        <v/>
      </c>
      <c r="R123" s="52">
        <f>IF(P123="","",P123*Q123)</f>
        <v/>
      </c>
      <c r="S123" s="62">
        <f>IF(N123="","PENDING",IF(P123&gt;0,"DEMURRAGE","ON-TIME"))</f>
        <v/>
      </c>
      <c r="T123" s="62">
        <f>IF(AND(D123&lt;&gt;"",K123&lt;&gt;"",K123&lt;D123),"⚠ Arr&lt;Loaded",IF(AND(K123&lt;&gt;"",L123&lt;&gt;"",L123&lt;K123),"⚠ Off&lt;Arr","OK"))</f>
        <v/>
      </c>
      <c r="U123" s="62">
        <f>IF(D123="","",TEXT(D123,"yyyy-mm"))</f>
        <v/>
      </c>
    </row>
    <row r="124">
      <c r="B124" s="62" t="n">
        <v>191610</v>
      </c>
      <c r="C124" s="50" t="inlineStr">
        <is>
          <t>Rubis Energy Zambia</t>
        </is>
      </c>
      <c r="D124" s="49" t="n">
        <v>46150</v>
      </c>
      <c r="E124" s="50" t="inlineStr">
        <is>
          <t>Beira</t>
        </is>
      </c>
      <c r="F124" s="50" t="inlineStr">
        <is>
          <t>Lusaka</t>
        </is>
      </c>
      <c r="G124" s="50" t="inlineStr">
        <is>
          <t>PMS</t>
        </is>
      </c>
      <c r="H124" s="50" t="n"/>
      <c r="I124" s="50" t="n"/>
      <c r="J124" s="50" t="n"/>
      <c r="K124" s="50" t="n"/>
      <c r="L124" s="49" t="n"/>
      <c r="M124" s="49" t="n"/>
      <c r="N124" s="51">
        <f>IF(OR(K124="",L124="" ),"",L124-K124)</f>
        <v/>
      </c>
      <c r="O124" s="51">
        <f>IFERROR(VLOOKUP(B124,Deals[#All],7,FALSE),DEF_LAYTIME)</f>
        <v/>
      </c>
      <c r="P124" s="51">
        <f>IF(N124="","",MAX(0,N124-O124))</f>
        <v/>
      </c>
      <c r="Q124" s="52">
        <f>IFERROR(VLOOKUP(B124,Deals[#All],8,FALSE),DEF_RATE)</f>
        <v/>
      </c>
      <c r="R124" s="52">
        <f>IF(P124="","",P124*Q124)</f>
        <v/>
      </c>
      <c r="S124" s="62">
        <f>IF(N124="","PENDING",IF(P124&gt;0,"DEMURRAGE","ON-TIME"))</f>
        <v/>
      </c>
      <c r="T124" s="62">
        <f>IF(AND(D124&lt;&gt;"",K124&lt;&gt;"",K124&lt;D124),"⚠ Arr&lt;Loaded",IF(AND(K124&lt;&gt;"",L124&lt;&gt;"",L124&lt;K124),"⚠ Off&lt;Arr","OK"))</f>
        <v/>
      </c>
      <c r="U124" s="62">
        <f>IF(D124="","",TEXT(D124,"yyyy-mm"))</f>
        <v/>
      </c>
    </row>
    <row r="125">
      <c r="B125" s="62" t="n">
        <v>184182</v>
      </c>
      <c r="C125" s="50" t="inlineStr">
        <is>
          <t>Rubis Energy Zambia</t>
        </is>
      </c>
      <c r="D125" s="49" t="n">
        <v>45994</v>
      </c>
      <c r="E125" s="50" t="inlineStr">
        <is>
          <t>Beira</t>
        </is>
      </c>
      <c r="F125" s="50" t="inlineStr">
        <is>
          <t>Lusaka</t>
        </is>
      </c>
      <c r="G125" s="50" t="inlineStr">
        <is>
          <t>AGO</t>
        </is>
      </c>
      <c r="H125" s="50" t="inlineStr">
        <is>
          <t>AGZ4447</t>
        </is>
      </c>
      <c r="I125" s="50" t="inlineStr">
        <is>
          <t>AHD0019</t>
        </is>
      </c>
      <c r="J125" s="50" t="inlineStr">
        <is>
          <t>TRUCKEAZE</t>
        </is>
      </c>
      <c r="K125" s="50" t="inlineStr">
        <is>
          <t>Solomon Mudondiro</t>
        </is>
      </c>
      <c r="L125" s="49" t="n">
        <v>46002</v>
      </c>
      <c r="M125" s="49" t="n">
        <v>46004</v>
      </c>
      <c r="N125" s="51">
        <f>IF(OR(K125="",L125="" ),"",L125-K125)</f>
        <v/>
      </c>
      <c r="O125" s="51">
        <f>IFERROR(VLOOKUP(B125,Deals[#All],7,FALSE),DEF_LAYTIME)</f>
        <v/>
      </c>
      <c r="P125" s="51">
        <f>IF(N125="","",MAX(0,N125-O125))</f>
        <v/>
      </c>
      <c r="Q125" s="52">
        <f>IFERROR(VLOOKUP(B125,Deals[#All],8,FALSE),DEF_RATE)</f>
        <v/>
      </c>
      <c r="R125" s="52">
        <f>IF(P125="","",P125*Q125)</f>
        <v/>
      </c>
      <c r="S125" s="62">
        <f>IF(N125="","PENDING",IF(P125&gt;0,"DEMURRAGE","ON-TIME"))</f>
        <v/>
      </c>
      <c r="T125" s="62">
        <f>IF(AND(D125&lt;&gt;"",K125&lt;&gt;"",K125&lt;D125),"⚠ Arr&lt;Loaded",IF(AND(K125&lt;&gt;"",L125&lt;&gt;"",L125&lt;K125),"⚠ Off&lt;Arr","OK"))</f>
        <v/>
      </c>
      <c r="U125" s="62">
        <f>IF(D125="","",TEXT(D125,"yyyy-mm"))</f>
        <v/>
      </c>
    </row>
    <row r="126">
      <c r="B126" s="62" t="n">
        <v>184182</v>
      </c>
      <c r="C126" s="50" t="inlineStr">
        <is>
          <t>Rubis Energy Zambia</t>
        </is>
      </c>
      <c r="D126" s="49" t="n">
        <v>45992</v>
      </c>
      <c r="E126" s="50" t="inlineStr">
        <is>
          <t>Beira</t>
        </is>
      </c>
      <c r="F126" s="50" t="inlineStr">
        <is>
          <t>Lusaka</t>
        </is>
      </c>
      <c r="G126" s="50" t="inlineStr">
        <is>
          <t>AGO</t>
        </is>
      </c>
      <c r="H126" s="50" t="inlineStr">
        <is>
          <t>AHA2259</t>
        </is>
      </c>
      <c r="I126" s="50" t="inlineStr">
        <is>
          <t>AHD0551</t>
        </is>
      </c>
      <c r="J126" s="50" t="inlineStr">
        <is>
          <t>TRUCKEAZE</t>
        </is>
      </c>
      <c r="K126" s="50" t="inlineStr">
        <is>
          <t>Daniel Ndabaningi</t>
        </is>
      </c>
      <c r="L126" s="49" t="n">
        <v>45999</v>
      </c>
      <c r="M126" s="49" t="n">
        <v>46000</v>
      </c>
      <c r="N126" s="51">
        <f>IF(OR(K126="",L126="" ),"",L126-K126)</f>
        <v/>
      </c>
      <c r="O126" s="51">
        <f>IFERROR(VLOOKUP(B126,Deals[#All],7,FALSE),DEF_LAYTIME)</f>
        <v/>
      </c>
      <c r="P126" s="51">
        <f>IF(N126="","",MAX(0,N126-O126))</f>
        <v/>
      </c>
      <c r="Q126" s="52">
        <f>IFERROR(VLOOKUP(B126,Deals[#All],8,FALSE),DEF_RATE)</f>
        <v/>
      </c>
      <c r="R126" s="52">
        <f>IF(P126="","",P126*Q126)</f>
        <v/>
      </c>
      <c r="S126" s="62">
        <f>IF(N126="","PENDING",IF(P126&gt;0,"DEMURRAGE","ON-TIME"))</f>
        <v/>
      </c>
      <c r="T126" s="62">
        <f>IF(AND(D126&lt;&gt;"",K126&lt;&gt;"",K126&lt;D126),"⚠ Arr&lt;Loaded",IF(AND(K126&lt;&gt;"",L126&lt;&gt;"",L126&lt;K126),"⚠ Off&lt;Arr","OK"))</f>
        <v/>
      </c>
      <c r="U126" s="62">
        <f>IF(D126="","",TEXT(D126,"yyyy-mm"))</f>
        <v/>
      </c>
    </row>
    <row r="127">
      <c r="B127" s="62" t="n">
        <v>184182</v>
      </c>
      <c r="C127" s="50" t="inlineStr">
        <is>
          <t>Rubis Energy Zambia</t>
        </is>
      </c>
      <c r="D127" s="49" t="n">
        <v>45995</v>
      </c>
      <c r="E127" s="50" t="inlineStr">
        <is>
          <t>Beira</t>
        </is>
      </c>
      <c r="F127" s="50" t="inlineStr">
        <is>
          <t>Lusaka</t>
        </is>
      </c>
      <c r="G127" s="50" t="inlineStr">
        <is>
          <t>AGO</t>
        </is>
      </c>
      <c r="H127" s="50" t="inlineStr">
        <is>
          <t>AGZ4446</t>
        </is>
      </c>
      <c r="I127" s="50" t="inlineStr">
        <is>
          <t>AHD0018</t>
        </is>
      </c>
      <c r="J127" s="50" t="inlineStr">
        <is>
          <t>TRUCKEAZE</t>
        </is>
      </c>
      <c r="K127" s="50" t="inlineStr">
        <is>
          <t>Artwell Billiat</t>
        </is>
      </c>
      <c r="L127" s="49" t="n">
        <v>46007</v>
      </c>
      <c r="M127" s="49" t="n">
        <v>46008</v>
      </c>
      <c r="N127" s="51">
        <f>IF(OR(K127="",L127="" ),"",L127-K127)</f>
        <v/>
      </c>
      <c r="O127" s="51">
        <f>IFERROR(VLOOKUP(B127,Deals[#All],7,FALSE),DEF_LAYTIME)</f>
        <v/>
      </c>
      <c r="P127" s="51">
        <f>IF(N127="","",MAX(0,N127-O127))</f>
        <v/>
      </c>
      <c r="Q127" s="52">
        <f>IFERROR(VLOOKUP(B127,Deals[#All],8,FALSE),DEF_RATE)</f>
        <v/>
      </c>
      <c r="R127" s="52">
        <f>IF(P127="","",P127*Q127)</f>
        <v/>
      </c>
      <c r="S127" s="62">
        <f>IF(N127="","PENDING",IF(P127&gt;0,"DEMURRAGE","ON-TIME"))</f>
        <v/>
      </c>
      <c r="T127" s="62">
        <f>IF(AND(D127&lt;&gt;"",K127&lt;&gt;"",K127&lt;D127),"⚠ Arr&lt;Loaded",IF(AND(K127&lt;&gt;"",L127&lt;&gt;"",L127&lt;K127),"⚠ Off&lt;Arr","OK"))</f>
        <v/>
      </c>
      <c r="U127" s="62">
        <f>IF(D127="","",TEXT(D127,"yyyy-mm"))</f>
        <v/>
      </c>
    </row>
    <row r="128">
      <c r="B128" s="62" t="n">
        <v>184182</v>
      </c>
      <c r="C128" s="50" t="inlineStr">
        <is>
          <t>Rubis Energy Zambia</t>
        </is>
      </c>
      <c r="D128" s="49" t="n">
        <v>45994</v>
      </c>
      <c r="E128" s="50" t="inlineStr">
        <is>
          <t>Beira</t>
        </is>
      </c>
      <c r="F128" s="50" t="inlineStr">
        <is>
          <t>Lusaka</t>
        </is>
      </c>
      <c r="G128" s="50" t="inlineStr">
        <is>
          <t>AGO</t>
        </is>
      </c>
      <c r="H128" s="50" t="inlineStr">
        <is>
          <t>AGZ3864</t>
        </is>
      </c>
      <c r="I128" s="50" t="inlineStr">
        <is>
          <t>AGK6600</t>
        </is>
      </c>
      <c r="J128" s="50" t="inlineStr">
        <is>
          <t>TRUCKEAZE</t>
        </is>
      </c>
      <c r="K128" s="50" t="inlineStr">
        <is>
          <t>Alban Onismo</t>
        </is>
      </c>
      <c r="L128" s="49" t="n">
        <v>46002</v>
      </c>
      <c r="M128" s="49" t="n">
        <v>46007</v>
      </c>
      <c r="N128" s="51">
        <f>IF(OR(K128="",L128="" ),"",L128-K128)</f>
        <v/>
      </c>
      <c r="O128" s="51">
        <f>IFERROR(VLOOKUP(B128,Deals[#All],7,FALSE),DEF_LAYTIME)</f>
        <v/>
      </c>
      <c r="P128" s="51">
        <f>IF(N128="","",MAX(0,N128-O128))</f>
        <v/>
      </c>
      <c r="Q128" s="52">
        <f>IFERROR(VLOOKUP(B128,Deals[#All],8,FALSE),DEF_RATE)</f>
        <v/>
      </c>
      <c r="R128" s="52">
        <f>IF(P128="","",P128*Q128)</f>
        <v/>
      </c>
      <c r="S128" s="62">
        <f>IF(N128="","PENDING",IF(P128&gt;0,"DEMURRAGE","ON-TIME"))</f>
        <v/>
      </c>
      <c r="T128" s="62">
        <f>IF(AND(D128&lt;&gt;"",K128&lt;&gt;"",K128&lt;D128),"⚠ Arr&lt;Loaded",IF(AND(K128&lt;&gt;"",L128&lt;&gt;"",L128&lt;K128),"⚠ Off&lt;Arr","OK"))</f>
        <v/>
      </c>
      <c r="U128" s="62">
        <f>IF(D128="","",TEXT(D128,"yyyy-mm"))</f>
        <v/>
      </c>
    </row>
    <row r="129">
      <c r="B129" s="62" t="n">
        <v>184182</v>
      </c>
      <c r="C129" s="50" t="inlineStr">
        <is>
          <t>Rubis Energy Zambia</t>
        </is>
      </c>
      <c r="D129" s="49" t="n">
        <v>45994</v>
      </c>
      <c r="E129" s="50" t="inlineStr">
        <is>
          <t>Beira</t>
        </is>
      </c>
      <c r="F129" s="50" t="inlineStr">
        <is>
          <t>Lusaka</t>
        </is>
      </c>
      <c r="G129" s="50" t="inlineStr">
        <is>
          <t>AGO</t>
        </is>
      </c>
      <c r="H129" s="50" t="inlineStr">
        <is>
          <t>AHA2260</t>
        </is>
      </c>
      <c r="I129" s="50" t="inlineStr">
        <is>
          <t>AHD0552</t>
        </is>
      </c>
      <c r="J129" s="50" t="inlineStr">
        <is>
          <t>TRUCKEAZE</t>
        </is>
      </c>
      <c r="K129" s="50" t="inlineStr">
        <is>
          <t>Blessing Manimanzi</t>
        </is>
      </c>
      <c r="L129" s="49" t="n">
        <v>46000</v>
      </c>
      <c r="M129" s="49" t="n">
        <v>46002</v>
      </c>
      <c r="N129" s="51">
        <f>IF(OR(K129="",L129="" ),"",L129-K129)</f>
        <v/>
      </c>
      <c r="O129" s="51">
        <f>IFERROR(VLOOKUP(B129,Deals[#All],7,FALSE),DEF_LAYTIME)</f>
        <v/>
      </c>
      <c r="P129" s="51">
        <f>IF(N129="","",MAX(0,N129-O129))</f>
        <v/>
      </c>
      <c r="Q129" s="52">
        <f>IFERROR(VLOOKUP(B129,Deals[#All],8,FALSE),DEF_RATE)</f>
        <v/>
      </c>
      <c r="R129" s="52">
        <f>IF(P129="","",P129*Q129)</f>
        <v/>
      </c>
      <c r="S129" s="62">
        <f>IF(N129="","PENDING",IF(P129&gt;0,"DEMURRAGE","ON-TIME"))</f>
        <v/>
      </c>
      <c r="T129" s="62">
        <f>IF(AND(D129&lt;&gt;"",K129&lt;&gt;"",K129&lt;D129),"⚠ Arr&lt;Loaded",IF(AND(K129&lt;&gt;"",L129&lt;&gt;"",L129&lt;K129),"⚠ Off&lt;Arr","OK"))</f>
        <v/>
      </c>
      <c r="U129" s="62">
        <f>IF(D129="","",TEXT(D129,"yyyy-mm"))</f>
        <v/>
      </c>
    </row>
    <row r="130">
      <c r="B130" s="62" t="n">
        <v>184182</v>
      </c>
      <c r="C130" s="50" t="inlineStr">
        <is>
          <t>Rubis Energy Zambia</t>
        </is>
      </c>
      <c r="D130" s="49" t="n">
        <v>45994</v>
      </c>
      <c r="E130" s="50" t="inlineStr">
        <is>
          <t>Beira</t>
        </is>
      </c>
      <c r="F130" s="50" t="inlineStr">
        <is>
          <t>Lusaka</t>
        </is>
      </c>
      <c r="G130" s="50" t="inlineStr">
        <is>
          <t>AGO</t>
        </is>
      </c>
      <c r="H130" s="50" t="inlineStr">
        <is>
          <t>AGL7682</t>
        </is>
      </c>
      <c r="I130" s="50" t="inlineStr">
        <is>
          <t>AHD0567</t>
        </is>
      </c>
      <c r="J130" s="50" t="inlineStr">
        <is>
          <t>TRUCKEAZE</t>
        </is>
      </c>
      <c r="K130" s="50" t="inlineStr">
        <is>
          <t>Masotsha Nyoni</t>
        </is>
      </c>
      <c r="L130" s="49" t="n">
        <v>46002</v>
      </c>
      <c r="M130" s="49" t="n">
        <v>46007</v>
      </c>
      <c r="N130" s="51">
        <f>IF(OR(K130="",L130="" ),"",L130-K130)</f>
        <v/>
      </c>
      <c r="O130" s="51">
        <f>IFERROR(VLOOKUP(B130,Deals[#All],7,FALSE),DEF_LAYTIME)</f>
        <v/>
      </c>
      <c r="P130" s="51">
        <f>IF(N130="","",MAX(0,N130-O130))</f>
        <v/>
      </c>
      <c r="Q130" s="52">
        <f>IFERROR(VLOOKUP(B130,Deals[#All],8,FALSE),DEF_RATE)</f>
        <v/>
      </c>
      <c r="R130" s="52">
        <f>IF(P130="","",P130*Q130)</f>
        <v/>
      </c>
      <c r="S130" s="62">
        <f>IF(N130="","PENDING",IF(P130&gt;0,"DEMURRAGE","ON-TIME"))</f>
        <v/>
      </c>
      <c r="T130" s="62">
        <f>IF(AND(D130&lt;&gt;"",K130&lt;&gt;"",K130&lt;D130),"⚠ Arr&lt;Loaded",IF(AND(K130&lt;&gt;"",L130&lt;&gt;"",L130&lt;K130),"⚠ Off&lt;Arr","OK"))</f>
        <v/>
      </c>
      <c r="U130" s="62">
        <f>IF(D130="","",TEXT(D130,"yyyy-mm"))</f>
        <v/>
      </c>
    </row>
    <row r="131">
      <c r="B131" s="62" t="n">
        <v>184182</v>
      </c>
      <c r="C131" s="50" t="inlineStr">
        <is>
          <t>Rubis Energy Zambia</t>
        </is>
      </c>
      <c r="D131" s="49" t="n">
        <v>45994</v>
      </c>
      <c r="E131" s="50" t="inlineStr">
        <is>
          <t>Beira</t>
        </is>
      </c>
      <c r="F131" s="50" t="inlineStr">
        <is>
          <t>Lusaka</t>
        </is>
      </c>
      <c r="G131" s="50" t="inlineStr">
        <is>
          <t>AGO</t>
        </is>
      </c>
      <c r="H131" s="50" t="inlineStr">
        <is>
          <t>AGJ9268</t>
        </is>
      </c>
      <c r="I131" s="50" t="inlineStr">
        <is>
          <t>AGK3620</t>
        </is>
      </c>
      <c r="J131" s="50" t="inlineStr">
        <is>
          <t>TRUCKEAZE</t>
        </is>
      </c>
      <c r="K131" s="50" t="inlineStr">
        <is>
          <t>Talkmore Ngonidzashe Gumbwa</t>
        </is>
      </c>
      <c r="L131" s="49" t="n">
        <v>46002</v>
      </c>
      <c r="M131" s="49" t="n">
        <v>46007</v>
      </c>
      <c r="N131" s="51">
        <f>IF(OR(K131="",L131="" ),"",L131-K131)</f>
        <v/>
      </c>
      <c r="O131" s="51">
        <f>IFERROR(VLOOKUP(B131,Deals[#All],7,FALSE),DEF_LAYTIME)</f>
        <v/>
      </c>
      <c r="P131" s="51">
        <f>IF(N131="","",MAX(0,N131-O131))</f>
        <v/>
      </c>
      <c r="Q131" s="52">
        <f>IFERROR(VLOOKUP(B131,Deals[#All],8,FALSE),DEF_RATE)</f>
        <v/>
      </c>
      <c r="R131" s="52">
        <f>IF(P131="","",P131*Q131)</f>
        <v/>
      </c>
      <c r="S131" s="62">
        <f>IF(N131="","PENDING",IF(P131&gt;0,"DEMURRAGE","ON-TIME"))</f>
        <v/>
      </c>
      <c r="T131" s="62">
        <f>IF(AND(D131&lt;&gt;"",K131&lt;&gt;"",K131&lt;D131),"⚠ Arr&lt;Loaded",IF(AND(K131&lt;&gt;"",L131&lt;&gt;"",L131&lt;K131),"⚠ Off&lt;Arr","OK"))</f>
        <v/>
      </c>
      <c r="U131" s="62">
        <f>IF(D131="","",TEXT(D131,"yyyy-mm"))</f>
        <v/>
      </c>
    </row>
    <row r="132">
      <c r="B132" s="62" t="n">
        <v>184182</v>
      </c>
      <c r="C132" s="50" t="inlineStr">
        <is>
          <t>Rubis Energy Zambia</t>
        </is>
      </c>
      <c r="D132" s="49" t="n">
        <v>45995</v>
      </c>
      <c r="E132" s="50" t="inlineStr">
        <is>
          <t>Beira</t>
        </is>
      </c>
      <c r="F132" s="50" t="inlineStr">
        <is>
          <t>Lusaka</t>
        </is>
      </c>
      <c r="G132" s="50" t="inlineStr">
        <is>
          <t>AGO</t>
        </is>
      </c>
      <c r="H132" s="50" t="inlineStr">
        <is>
          <t>AGJ9269</t>
        </is>
      </c>
      <c r="I132" s="50" t="inlineStr">
        <is>
          <t>AGK3385</t>
        </is>
      </c>
      <c r="J132" s="50" t="inlineStr">
        <is>
          <t>TRUCKEAZE</t>
        </is>
      </c>
      <c r="K132" s="50" t="inlineStr">
        <is>
          <t>Trevor Shambare</t>
        </is>
      </c>
      <c r="L132" s="49" t="n">
        <v>46007</v>
      </c>
      <c r="M132" s="49" t="n">
        <v>46009</v>
      </c>
      <c r="N132" s="51">
        <f>IF(OR(K132="",L132="" ),"",L132-K132)</f>
        <v/>
      </c>
      <c r="O132" s="51">
        <f>IFERROR(VLOOKUP(B132,Deals[#All],7,FALSE),DEF_LAYTIME)</f>
        <v/>
      </c>
      <c r="P132" s="51">
        <f>IF(N132="","",MAX(0,N132-O132))</f>
        <v/>
      </c>
      <c r="Q132" s="52">
        <f>IFERROR(VLOOKUP(B132,Deals[#All],8,FALSE),DEF_RATE)</f>
        <v/>
      </c>
      <c r="R132" s="52">
        <f>IF(P132="","",P132*Q132)</f>
        <v/>
      </c>
      <c r="S132" s="62">
        <f>IF(N132="","PENDING",IF(P132&gt;0,"DEMURRAGE","ON-TIME"))</f>
        <v/>
      </c>
      <c r="T132" s="62">
        <f>IF(AND(D132&lt;&gt;"",K132&lt;&gt;"",K132&lt;D132),"⚠ Arr&lt;Loaded",IF(AND(K132&lt;&gt;"",L132&lt;&gt;"",L132&lt;K132),"⚠ Off&lt;Arr","OK"))</f>
        <v/>
      </c>
      <c r="U132" s="62">
        <f>IF(D132="","",TEXT(D132,"yyyy-mm"))</f>
        <v/>
      </c>
    </row>
    <row r="133">
      <c r="B133" s="62" t="n">
        <v>184182</v>
      </c>
      <c r="C133" s="50" t="inlineStr">
        <is>
          <t>Rubis Energy Zambia</t>
        </is>
      </c>
      <c r="D133" s="49" t="n">
        <v>45994</v>
      </c>
      <c r="E133" s="50" t="inlineStr">
        <is>
          <t>Beira</t>
        </is>
      </c>
      <c r="F133" s="50" t="inlineStr">
        <is>
          <t>Lusaka</t>
        </is>
      </c>
      <c r="G133" s="50" t="inlineStr">
        <is>
          <t>AGO</t>
        </is>
      </c>
      <c r="H133" s="50" t="inlineStr">
        <is>
          <t>AGZ4444</t>
        </is>
      </c>
      <c r="I133" s="50" t="inlineStr">
        <is>
          <t>AHD0020</t>
        </is>
      </c>
      <c r="J133" s="50" t="inlineStr">
        <is>
          <t>TRUCKEAZE</t>
        </is>
      </c>
      <c r="K133" s="50" t="inlineStr">
        <is>
          <t>Noah Murenje</t>
        </is>
      </c>
      <c r="L133" s="49" t="n">
        <v>46001</v>
      </c>
      <c r="M133" s="49" t="n">
        <v>46002</v>
      </c>
      <c r="N133" s="51">
        <f>IF(OR(K133="",L133="" ),"",L133-K133)</f>
        <v/>
      </c>
      <c r="O133" s="51">
        <f>IFERROR(VLOOKUP(B133,Deals[#All],7,FALSE),DEF_LAYTIME)</f>
        <v/>
      </c>
      <c r="P133" s="51">
        <f>IF(N133="","",MAX(0,N133-O133))</f>
        <v/>
      </c>
      <c r="Q133" s="52">
        <f>IFERROR(VLOOKUP(B133,Deals[#All],8,FALSE),DEF_RATE)</f>
        <v/>
      </c>
      <c r="R133" s="52">
        <f>IF(P133="","",P133*Q133)</f>
        <v/>
      </c>
      <c r="S133" s="62">
        <f>IF(N133="","PENDING",IF(P133&gt;0,"DEMURRAGE","ON-TIME"))</f>
        <v/>
      </c>
      <c r="T133" s="62">
        <f>IF(AND(D133&lt;&gt;"",K133&lt;&gt;"",K133&lt;D133),"⚠ Arr&lt;Loaded",IF(AND(K133&lt;&gt;"",L133&lt;&gt;"",L133&lt;K133),"⚠ Off&lt;Arr","OK"))</f>
        <v/>
      </c>
      <c r="U133" s="62">
        <f>IF(D133="","",TEXT(D133,"yyyy-mm"))</f>
        <v/>
      </c>
    </row>
    <row r="134">
      <c r="B134" s="62" t="n">
        <v>184182</v>
      </c>
      <c r="C134" s="50" t="inlineStr">
        <is>
          <t>Rubis Energy Zambia</t>
        </is>
      </c>
      <c r="D134" s="49" t="n">
        <v>45992</v>
      </c>
      <c r="E134" s="50" t="inlineStr">
        <is>
          <t>Beira</t>
        </is>
      </c>
      <c r="F134" s="50" t="inlineStr">
        <is>
          <t>Lusaka</t>
        </is>
      </c>
      <c r="G134" s="50" t="inlineStr">
        <is>
          <t>AGO</t>
        </is>
      </c>
      <c r="H134" s="50" t="inlineStr">
        <is>
          <t>AGL5522</t>
        </is>
      </c>
      <c r="I134" s="50" t="inlineStr">
        <is>
          <t>AGK6549</t>
        </is>
      </c>
      <c r="J134" s="50" t="inlineStr">
        <is>
          <t>TRUCKEAZE</t>
        </is>
      </c>
      <c r="K134" s="50" t="inlineStr">
        <is>
          <t>Neville Robson Kaukonde</t>
        </is>
      </c>
      <c r="L134" s="49" t="n">
        <v>45999</v>
      </c>
      <c r="M134" s="49" t="n">
        <v>46000</v>
      </c>
      <c r="N134" s="51">
        <f>IF(OR(K134="",L134="" ),"",L134-K134)</f>
        <v/>
      </c>
      <c r="O134" s="51">
        <f>IFERROR(VLOOKUP(B134,Deals[#All],7,FALSE),DEF_LAYTIME)</f>
        <v/>
      </c>
      <c r="P134" s="51">
        <f>IF(N134="","",MAX(0,N134-O134))</f>
        <v/>
      </c>
      <c r="Q134" s="52">
        <f>IFERROR(VLOOKUP(B134,Deals[#All],8,FALSE),DEF_RATE)</f>
        <v/>
      </c>
      <c r="R134" s="52">
        <f>IF(P134="","",P134*Q134)</f>
        <v/>
      </c>
      <c r="S134" s="62">
        <f>IF(N134="","PENDING",IF(P134&gt;0,"DEMURRAGE","ON-TIME"))</f>
        <v/>
      </c>
      <c r="T134" s="62">
        <f>IF(AND(D134&lt;&gt;"",K134&lt;&gt;"",K134&lt;D134),"⚠ Arr&lt;Loaded",IF(AND(K134&lt;&gt;"",L134&lt;&gt;"",L134&lt;K134),"⚠ Off&lt;Arr","OK"))</f>
        <v/>
      </c>
      <c r="U134" s="62">
        <f>IF(D134="","",TEXT(D134,"yyyy-mm"))</f>
        <v/>
      </c>
    </row>
    <row r="135">
      <c r="B135" s="62" t="n">
        <v>184182</v>
      </c>
      <c r="C135" s="50" t="inlineStr">
        <is>
          <t>Rubis Energy Zambia</t>
        </is>
      </c>
      <c r="D135" s="49" t="n">
        <v>45992</v>
      </c>
      <c r="E135" s="50" t="inlineStr">
        <is>
          <t>Beira</t>
        </is>
      </c>
      <c r="F135" s="50" t="inlineStr">
        <is>
          <t>Lusaka</t>
        </is>
      </c>
      <c r="G135" s="50" t="inlineStr">
        <is>
          <t>AGO</t>
        </is>
      </c>
      <c r="H135" s="50" t="inlineStr">
        <is>
          <t>AFQ9753</t>
        </is>
      </c>
      <c r="I135" s="50" t="inlineStr">
        <is>
          <t>ABN8077</t>
        </is>
      </c>
      <c r="J135" s="50" t="inlineStr">
        <is>
          <t>TRUCKEAZE</t>
        </is>
      </c>
      <c r="K135" s="50" t="inlineStr">
        <is>
          <t>Bernard Dhinda</t>
        </is>
      </c>
      <c r="L135" s="49" t="n">
        <v>46004</v>
      </c>
      <c r="M135" s="49" t="n">
        <v>46008</v>
      </c>
      <c r="N135" s="51">
        <f>IF(OR(K135="",L135="" ),"",L135-K135)</f>
        <v/>
      </c>
      <c r="O135" s="51">
        <f>IFERROR(VLOOKUP(B135,Deals[#All],7,FALSE),DEF_LAYTIME)</f>
        <v/>
      </c>
      <c r="P135" s="51">
        <f>IF(N135="","",MAX(0,N135-O135))</f>
        <v/>
      </c>
      <c r="Q135" s="52">
        <f>IFERROR(VLOOKUP(B135,Deals[#All],8,FALSE),DEF_RATE)</f>
        <v/>
      </c>
      <c r="R135" s="52">
        <f>IF(P135="","",P135*Q135)</f>
        <v/>
      </c>
      <c r="S135" s="62">
        <f>IF(N135="","PENDING",IF(P135&gt;0,"DEMURRAGE","ON-TIME"))</f>
        <v/>
      </c>
      <c r="T135" s="62">
        <f>IF(AND(D135&lt;&gt;"",K135&lt;&gt;"",K135&lt;D135),"⚠ Arr&lt;Loaded",IF(AND(K135&lt;&gt;"",L135&lt;&gt;"",L135&lt;K135),"⚠ Off&lt;Arr","OK"))</f>
        <v/>
      </c>
      <c r="U135" s="62">
        <f>IF(D135="","",TEXT(D135,"yyyy-mm"))</f>
        <v/>
      </c>
    </row>
    <row r="136">
      <c r="B136" s="62" t="n">
        <v>184182</v>
      </c>
      <c r="C136" s="50" t="inlineStr">
        <is>
          <t>Rubis Energy Zambia</t>
        </is>
      </c>
      <c r="D136" s="49" t="n">
        <v>45992</v>
      </c>
      <c r="E136" s="50" t="inlineStr">
        <is>
          <t>Beira</t>
        </is>
      </c>
      <c r="F136" s="50" t="inlineStr">
        <is>
          <t>Lusaka</t>
        </is>
      </c>
      <c r="G136" s="50" t="inlineStr">
        <is>
          <t>AGO</t>
        </is>
      </c>
      <c r="H136" s="50" t="inlineStr">
        <is>
          <t>AGJ0464</t>
        </is>
      </c>
      <c r="I136" s="50" t="inlineStr">
        <is>
          <t>AHD0382</t>
        </is>
      </c>
      <c r="J136" s="50" t="inlineStr">
        <is>
          <t>TRUCKEAZE</t>
        </is>
      </c>
      <c r="K136" s="50" t="inlineStr">
        <is>
          <t xml:space="preserve">Ranganai Tarasizio Kabanya </t>
        </is>
      </c>
      <c r="L136" s="49" t="n">
        <v>46004</v>
      </c>
      <c r="M136" s="49" t="n">
        <v>46008</v>
      </c>
      <c r="N136" s="51">
        <f>IF(OR(K136="",L136="" ),"",L136-K136)</f>
        <v/>
      </c>
      <c r="O136" s="51">
        <f>IFERROR(VLOOKUP(B136,Deals[#All],7,FALSE),DEF_LAYTIME)</f>
        <v/>
      </c>
      <c r="P136" s="51">
        <f>IF(N136="","",MAX(0,N136-O136))</f>
        <v/>
      </c>
      <c r="Q136" s="52">
        <f>IFERROR(VLOOKUP(B136,Deals[#All],8,FALSE),DEF_RATE)</f>
        <v/>
      </c>
      <c r="R136" s="52">
        <f>IF(P136="","",P136*Q136)</f>
        <v/>
      </c>
      <c r="S136" s="62">
        <f>IF(N136="","PENDING",IF(P136&gt;0,"DEMURRAGE","ON-TIME"))</f>
        <v/>
      </c>
      <c r="T136" s="62">
        <f>IF(AND(D136&lt;&gt;"",K136&lt;&gt;"",K136&lt;D136),"⚠ Arr&lt;Loaded",IF(AND(K136&lt;&gt;"",L136&lt;&gt;"",L136&lt;K136),"⚠ Off&lt;Arr","OK"))</f>
        <v/>
      </c>
      <c r="U136" s="62">
        <f>IF(D136="","",TEXT(D136,"yyyy-mm"))</f>
        <v/>
      </c>
    </row>
    <row r="137">
      <c r="B137" s="62" t="n">
        <v>184182</v>
      </c>
      <c r="C137" s="50" t="inlineStr">
        <is>
          <t>Rubis Energy Zambia</t>
        </is>
      </c>
      <c r="D137" s="49" t="n">
        <v>45993</v>
      </c>
      <c r="E137" s="50" t="inlineStr">
        <is>
          <t>Beira</t>
        </is>
      </c>
      <c r="F137" s="50" t="inlineStr">
        <is>
          <t>Lusaka</t>
        </is>
      </c>
      <c r="G137" s="50" t="inlineStr">
        <is>
          <t>AGO</t>
        </is>
      </c>
      <c r="H137" s="50" t="inlineStr">
        <is>
          <t>AEZ9150</t>
        </is>
      </c>
      <c r="I137" s="50" t="inlineStr">
        <is>
          <t>AGK6758</t>
        </is>
      </c>
      <c r="J137" s="50" t="inlineStr">
        <is>
          <t>TRUCKEAZE</t>
        </is>
      </c>
      <c r="K137" s="50" t="inlineStr">
        <is>
          <t>Stanley Munyebvu</t>
        </is>
      </c>
      <c r="L137" s="49" t="n">
        <v>45999</v>
      </c>
      <c r="M137" s="49" t="n">
        <v>46001</v>
      </c>
      <c r="N137" s="51">
        <f>IF(OR(K137="",L137="" ),"",L137-K137)</f>
        <v/>
      </c>
      <c r="O137" s="51">
        <f>IFERROR(VLOOKUP(B137,Deals[#All],7,FALSE),DEF_LAYTIME)</f>
        <v/>
      </c>
      <c r="P137" s="51">
        <f>IF(N137="","",MAX(0,N137-O137))</f>
        <v/>
      </c>
      <c r="Q137" s="52">
        <f>IFERROR(VLOOKUP(B137,Deals[#All],8,FALSE),DEF_RATE)</f>
        <v/>
      </c>
      <c r="R137" s="52">
        <f>IF(P137="","",P137*Q137)</f>
        <v/>
      </c>
      <c r="S137" s="62">
        <f>IF(N137="","PENDING",IF(P137&gt;0,"DEMURRAGE","ON-TIME"))</f>
        <v/>
      </c>
      <c r="T137" s="62">
        <f>IF(AND(D137&lt;&gt;"",K137&lt;&gt;"",K137&lt;D137),"⚠ Arr&lt;Loaded",IF(AND(K137&lt;&gt;"",L137&lt;&gt;"",L137&lt;K137),"⚠ Off&lt;Arr","OK"))</f>
        <v/>
      </c>
      <c r="U137" s="62">
        <f>IF(D137="","",TEXT(D137,"yyyy-mm"))</f>
        <v/>
      </c>
    </row>
    <row r="139">
      <c r="B139" s="63" t="inlineStr">
        <is>
          <t>TOTAL</t>
        </is>
      </c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5">
        <f>SUBTOTAL(109,Trips[Waiting (d)])</f>
        <v/>
      </c>
      <c r="O139" s="64" t="n"/>
      <c r="P139" s="65">
        <f>SUBTOTAL(109,Trips[Excess (d)])</f>
        <v/>
      </c>
      <c r="Q139" s="64" t="n"/>
      <c r="R139" s="66">
        <f>SUBTOTAL(109,Trips[Demurrage (USD)])</f>
        <v/>
      </c>
      <c r="S139" s="64" t="n"/>
      <c r="T139" s="64" t="n"/>
      <c r="U139" s="64" t="n"/>
    </row>
  </sheetData>
  <mergeCells count="2">
    <mergeCell ref="B3:U3"/>
    <mergeCell ref="B2:U2"/>
  </mergeCells>
  <conditionalFormatting sqref="S7:S137">
    <cfRule type="cellIs" priority="1" operator="equal" dxfId="0">
      <formula>"DEMURRAGE"</formula>
    </cfRule>
    <cfRule type="cellIs" priority="2" operator="equal" dxfId="1">
      <formula>"ON-TIME"</formula>
    </cfRule>
    <cfRule type="cellIs" priority="3" operator="equal" dxfId="2">
      <formula>"PENDING"</formula>
    </cfRule>
  </conditionalFormatting>
  <conditionalFormatting sqref="N7:N137">
    <cfRule type="colorScale" priority="4">
      <colorScale>
        <cfvo type="num" val="0"/>
        <cfvo type="num" val="7"/>
        <cfvo type="num" val="15"/>
        <color rgb="00DCFCE7"/>
        <color rgb="00FEF3C7"/>
        <color rgb="00FCA5A5"/>
      </colorScale>
    </cfRule>
  </conditionalFormatting>
  <conditionalFormatting sqref="T7:T137">
    <cfRule type="expression" priority="5" dxfId="0">
      <formula>LEFT(T7,1)="⚠"</formula>
    </cfRule>
  </conditionalFormatting>
  <printOptions horizontalCentered="1"/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9376D"/>
    <outlinePr summaryBelow="1" summaryRight="1"/>
    <pageSetUpPr/>
  </sheetPr>
  <dimension ref="B2:K3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0" customWidth="1" min="4" max="4"/>
    <col width="16" customWidth="1" min="5" max="5"/>
    <col width="16" customWidth="1" min="6" max="6"/>
    <col width="12" customWidth="1" min="7" max="7"/>
    <col width="12" customWidth="1" min="8" max="8"/>
    <col width="18" customWidth="1" min="9" max="9"/>
    <col width="18" customWidth="1" min="10" max="10"/>
    <col width="16" customWidth="1" min="11" max="11"/>
  </cols>
  <sheetData>
    <row r="2" ht="32" customHeight="1">
      <c r="B2" s="61" t="inlineStr">
        <is>
          <t>DEALS MASTER</t>
        </is>
      </c>
    </row>
    <row r="3">
      <c r="B3" s="17" t="inlineStr">
        <is>
          <t>Central register of all demurrage deals. Edit here; the Trips Ledger and Dashboard refresh automatically.</t>
        </is>
      </c>
    </row>
    <row r="4">
      <c r="B4" s="18" t="n"/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</row>
    <row r="6" ht="36" customHeight="1">
      <c r="B6" s="48" t="inlineStr">
        <is>
          <t>Deal No.</t>
        </is>
      </c>
      <c r="C6" s="48" t="inlineStr">
        <is>
          <t>Consignee</t>
        </is>
      </c>
      <c r="D6" s="48" t="inlineStr">
        <is>
          <t>Route</t>
        </is>
      </c>
      <c r="E6" s="48" t="inlineStr">
        <is>
          <t>Loading Port</t>
        </is>
      </c>
      <c r="F6" s="48" t="inlineStr">
        <is>
          <t>Destination</t>
        </is>
      </c>
      <c r="G6" s="48" t="inlineStr">
        <is>
          <t>Product</t>
        </is>
      </c>
      <c r="H6" s="48" t="inlineStr">
        <is>
          <t>Laytime (days)</t>
        </is>
      </c>
      <c r="I6" s="48" t="inlineStr">
        <is>
          <t>Rate (USD/day)</t>
        </is>
      </c>
      <c r="J6" s="48" t="inlineStr">
        <is>
          <t>Transport (USD/m³)</t>
        </is>
      </c>
      <c r="K6" s="48" t="inlineStr">
        <is>
          <t>Transporter</t>
        </is>
      </c>
    </row>
    <row r="7">
      <c r="B7" s="67" t="n">
        <v>183574</v>
      </c>
      <c r="C7" s="54" t="inlineStr">
        <is>
          <t>Rubis Energy Zambia</t>
        </is>
      </c>
      <c r="D7" s="54" t="inlineStr">
        <is>
          <t>Beira → Lusaka</t>
        </is>
      </c>
      <c r="E7" s="54" t="inlineStr">
        <is>
          <t>Beira</t>
        </is>
      </c>
      <c r="F7" s="54" t="inlineStr">
        <is>
          <t>Lusaka</t>
        </is>
      </c>
      <c r="G7" s="54" t="inlineStr">
        <is>
          <t>PMS</t>
        </is>
      </c>
      <c r="H7" s="55" t="n">
        <v>2</v>
      </c>
      <c r="I7" s="68" t="n">
        <v>250</v>
      </c>
      <c r="J7" s="69" t="n"/>
      <c r="K7" s="54" t="n"/>
    </row>
    <row r="8">
      <c r="B8" s="62" t="n">
        <v>184119</v>
      </c>
      <c r="C8" s="50" t="inlineStr">
        <is>
          <t>Rubis Energy Zambia</t>
        </is>
      </c>
      <c r="D8" s="50" t="inlineStr">
        <is>
          <t>Beira → Lusaka</t>
        </is>
      </c>
      <c r="E8" s="50" t="inlineStr">
        <is>
          <t>Beira</t>
        </is>
      </c>
      <c r="F8" s="50" t="inlineStr">
        <is>
          <t>Lusaka</t>
        </is>
      </c>
      <c r="G8" s="50" t="inlineStr">
        <is>
          <t>PMS</t>
        </is>
      </c>
      <c r="H8" s="51" t="n">
        <v>2</v>
      </c>
      <c r="I8" s="70" t="n">
        <v>250</v>
      </c>
      <c r="J8" s="71" t="n"/>
      <c r="K8" s="50" t="n"/>
    </row>
    <row r="9">
      <c r="B9" s="67" t="n">
        <v>184752</v>
      </c>
      <c r="C9" s="54" t="inlineStr">
        <is>
          <t>Rubis Energy Zambia</t>
        </is>
      </c>
      <c r="D9" s="54" t="inlineStr">
        <is>
          <t>Beira → Lusaka</t>
        </is>
      </c>
      <c r="E9" s="54" t="inlineStr">
        <is>
          <t>Beira</t>
        </is>
      </c>
      <c r="F9" s="54" t="inlineStr">
        <is>
          <t>Lusaka</t>
        </is>
      </c>
      <c r="G9" s="54" t="inlineStr">
        <is>
          <t>PMS</t>
        </is>
      </c>
      <c r="H9" s="55" t="n">
        <v>2</v>
      </c>
      <c r="I9" s="68" t="n">
        <v>250</v>
      </c>
      <c r="J9" s="69" t="n"/>
      <c r="K9" s="54" t="n"/>
    </row>
    <row r="10">
      <c r="B10" s="62" t="n">
        <v>184834</v>
      </c>
      <c r="C10" s="50" t="inlineStr">
        <is>
          <t>Reliance Energy Zambia</t>
        </is>
      </c>
      <c r="D10" s="50" t="inlineStr">
        <is>
          <t>Beira → Lusaka</t>
        </is>
      </c>
      <c r="E10" s="50" t="inlineStr">
        <is>
          <t>Beira</t>
        </is>
      </c>
      <c r="F10" s="50" t="inlineStr">
        <is>
          <t>Lusaka</t>
        </is>
      </c>
      <c r="G10" s="50" t="inlineStr">
        <is>
          <t>PMS</t>
        </is>
      </c>
      <c r="H10" s="51" t="n">
        <v>2</v>
      </c>
      <c r="I10" s="70" t="n">
        <v>250</v>
      </c>
      <c r="J10" s="71" t="n"/>
      <c r="K10" s="50" t="n"/>
    </row>
    <row r="11">
      <c r="B11" s="67" t="n">
        <v>185260</v>
      </c>
      <c r="C11" s="54" t="inlineStr">
        <is>
          <t>Rubis Energy Zambia</t>
        </is>
      </c>
      <c r="D11" s="54" t="inlineStr">
        <is>
          <t>Beira → Lusaka</t>
        </is>
      </c>
      <c r="E11" s="54" t="inlineStr">
        <is>
          <t>Beira</t>
        </is>
      </c>
      <c r="F11" s="54" t="inlineStr">
        <is>
          <t>Lusaka</t>
        </is>
      </c>
      <c r="G11" s="54" t="inlineStr">
        <is>
          <t>PMS</t>
        </is>
      </c>
      <c r="H11" s="55" t="n">
        <v>2</v>
      </c>
      <c r="I11" s="68" t="n">
        <v>250</v>
      </c>
      <c r="J11" s="69" t="n"/>
      <c r="K11" s="54" t="n"/>
    </row>
    <row r="12">
      <c r="B12" s="62" t="n">
        <v>185732</v>
      </c>
      <c r="C12" s="50" t="inlineStr">
        <is>
          <t>Rubis Energy Zambia</t>
        </is>
      </c>
      <c r="D12" s="50" t="inlineStr">
        <is>
          <t>Beira → Lusaka</t>
        </is>
      </c>
      <c r="E12" s="50" t="inlineStr">
        <is>
          <t>Beira</t>
        </is>
      </c>
      <c r="F12" s="50" t="inlineStr">
        <is>
          <t>Lusaka</t>
        </is>
      </c>
      <c r="G12" s="50" t="inlineStr">
        <is>
          <t>PMS</t>
        </is>
      </c>
      <c r="H12" s="51" t="n">
        <v>2</v>
      </c>
      <c r="I12" s="70" t="n">
        <v>250</v>
      </c>
      <c r="J12" s="71" t="n"/>
      <c r="K12" s="50" t="n"/>
    </row>
    <row r="13">
      <c r="B13" s="67" t="n">
        <v>186216</v>
      </c>
      <c r="C13" s="54" t="inlineStr">
        <is>
          <t>Rubis Energy Zambia</t>
        </is>
      </c>
      <c r="D13" s="54" t="inlineStr">
        <is>
          <t>Beira → Lusaka</t>
        </is>
      </c>
      <c r="E13" s="54" t="inlineStr">
        <is>
          <t>Beira</t>
        </is>
      </c>
      <c r="F13" s="54" t="inlineStr">
        <is>
          <t>Lusaka</t>
        </is>
      </c>
      <c r="G13" s="54" t="inlineStr">
        <is>
          <t>PMS</t>
        </is>
      </c>
      <c r="H13" s="55" t="n">
        <v>2</v>
      </c>
      <c r="I13" s="68" t="n">
        <v>250</v>
      </c>
      <c r="J13" s="69" t="n"/>
      <c r="K13" s="54" t="n"/>
    </row>
    <row r="14">
      <c r="B14" s="62" t="n">
        <v>186326</v>
      </c>
      <c r="C14" s="50" t="inlineStr">
        <is>
          <t>La Grace De Dieu Avec Nous Sarl</t>
        </is>
      </c>
      <c r="D14" s="50" t="inlineStr">
        <is>
          <t>Beira → Lusaka</t>
        </is>
      </c>
      <c r="E14" s="50" t="inlineStr">
        <is>
          <t>Beira</t>
        </is>
      </c>
      <c r="F14" s="50" t="inlineStr">
        <is>
          <t>Lusaka</t>
        </is>
      </c>
      <c r="G14" s="50" t="inlineStr">
        <is>
          <t>PMS</t>
        </is>
      </c>
      <c r="H14" s="51" t="n">
        <v>2</v>
      </c>
      <c r="I14" s="70" t="n">
        <v>250</v>
      </c>
      <c r="J14" s="71" t="n"/>
      <c r="K14" s="50" t="n"/>
    </row>
    <row r="15">
      <c r="B15" s="67" t="n">
        <v>187293</v>
      </c>
      <c r="C15" s="54" t="inlineStr">
        <is>
          <t>Lake Petroleum Zambia</t>
        </is>
      </c>
      <c r="D15" s="54" t="inlineStr">
        <is>
          <t>Beira → Lusaka</t>
        </is>
      </c>
      <c r="E15" s="54" t="inlineStr">
        <is>
          <t>Beira</t>
        </is>
      </c>
      <c r="F15" s="54" t="inlineStr">
        <is>
          <t>Lusaka</t>
        </is>
      </c>
      <c r="G15" s="54" t="inlineStr">
        <is>
          <t>PMS</t>
        </is>
      </c>
      <c r="H15" s="55" t="n">
        <v>2</v>
      </c>
      <c r="I15" s="68" t="n">
        <v>250</v>
      </c>
      <c r="J15" s="69" t="n">
        <v>122</v>
      </c>
      <c r="K15" s="54" t="inlineStr">
        <is>
          <t>Truckeaze</t>
        </is>
      </c>
    </row>
    <row r="16">
      <c r="B16" s="62" t="n">
        <v>187296</v>
      </c>
      <c r="C16" s="50" t="inlineStr">
        <is>
          <t>Rubis Energy Zambia</t>
        </is>
      </c>
      <c r="D16" s="50" t="inlineStr">
        <is>
          <t>Beira → Lusaka</t>
        </is>
      </c>
      <c r="E16" s="50" t="inlineStr">
        <is>
          <t>Beira</t>
        </is>
      </c>
      <c r="F16" s="50" t="inlineStr">
        <is>
          <t>Lusaka</t>
        </is>
      </c>
      <c r="G16" s="50" t="inlineStr">
        <is>
          <t>PMS</t>
        </is>
      </c>
      <c r="H16" s="51" t="n">
        <v>2</v>
      </c>
      <c r="I16" s="70" t="n">
        <v>250</v>
      </c>
      <c r="J16" s="71" t="n"/>
      <c r="K16" s="50" t="n"/>
    </row>
    <row r="17">
      <c r="B17" s="67" t="n">
        <v>189084</v>
      </c>
      <c r="C17" s="54" t="inlineStr">
        <is>
          <t>Rubis Energy Zambia</t>
        </is>
      </c>
      <c r="D17" s="54" t="inlineStr">
        <is>
          <t>Beira → Lusaka</t>
        </is>
      </c>
      <c r="E17" s="54" t="inlineStr">
        <is>
          <t>Beira</t>
        </is>
      </c>
      <c r="F17" s="54" t="inlineStr">
        <is>
          <t>Lusaka</t>
        </is>
      </c>
      <c r="G17" s="54" t="inlineStr">
        <is>
          <t>PMS</t>
        </is>
      </c>
      <c r="H17" s="55" t="n">
        <v>2</v>
      </c>
      <c r="I17" s="68" t="n">
        <v>250</v>
      </c>
      <c r="J17" s="69" t="n"/>
      <c r="K17" s="54" t="n"/>
    </row>
    <row r="18">
      <c r="B18" s="62" t="n">
        <v>190261</v>
      </c>
      <c r="C18" s="50" t="inlineStr">
        <is>
          <t>Lake Petroleum Zambia</t>
        </is>
      </c>
      <c r="D18" s="50" t="inlineStr">
        <is>
          <t>Beira → Lusaka</t>
        </is>
      </c>
      <c r="E18" s="50" t="inlineStr">
        <is>
          <t>Beira</t>
        </is>
      </c>
      <c r="F18" s="50" t="inlineStr">
        <is>
          <t>Lusaka</t>
        </is>
      </c>
      <c r="G18" s="50" t="inlineStr">
        <is>
          <t>PMS</t>
        </is>
      </c>
      <c r="H18" s="51" t="n">
        <v>2</v>
      </c>
      <c r="I18" s="70" t="n">
        <v>250</v>
      </c>
      <c r="J18" s="71" t="n"/>
      <c r="K18" s="50" t="n"/>
    </row>
    <row r="19">
      <c r="B19" s="67" t="n">
        <v>190664</v>
      </c>
      <c r="C19" s="54" t="inlineStr">
        <is>
          <t>Rubis Energy Zambia</t>
        </is>
      </c>
      <c r="D19" s="54" t="inlineStr">
        <is>
          <t>Beira → Lusaka</t>
        </is>
      </c>
      <c r="E19" s="54" t="inlineStr">
        <is>
          <t>Beira</t>
        </is>
      </c>
      <c r="F19" s="54" t="inlineStr">
        <is>
          <t>Lusaka</t>
        </is>
      </c>
      <c r="G19" s="54" t="inlineStr">
        <is>
          <t>PMS</t>
        </is>
      </c>
      <c r="H19" s="55" t="n">
        <v>2</v>
      </c>
      <c r="I19" s="68" t="n">
        <v>250</v>
      </c>
      <c r="J19" s="69" t="n"/>
      <c r="K19" s="54" t="n"/>
    </row>
    <row r="20">
      <c r="B20" s="62" t="n">
        <v>191609</v>
      </c>
      <c r="C20" s="50" t="inlineStr">
        <is>
          <t>Rubis Energy Zambia</t>
        </is>
      </c>
      <c r="D20" s="50" t="inlineStr">
        <is>
          <t>Beira → Lusaka</t>
        </is>
      </c>
      <c r="E20" s="50" t="inlineStr">
        <is>
          <t>Beira</t>
        </is>
      </c>
      <c r="F20" s="50" t="inlineStr">
        <is>
          <t>Lusaka</t>
        </is>
      </c>
      <c r="G20" s="50" t="inlineStr">
        <is>
          <t>PMS</t>
        </is>
      </c>
      <c r="H20" s="51" t="n">
        <v>2</v>
      </c>
      <c r="I20" s="70" t="n">
        <v>250</v>
      </c>
      <c r="J20" s="71" t="n"/>
      <c r="K20" s="50" t="n"/>
    </row>
    <row r="21">
      <c r="B21" s="67" t="n">
        <v>191610</v>
      </c>
      <c r="C21" s="54" t="inlineStr">
        <is>
          <t>Rubis Energy Zambia</t>
        </is>
      </c>
      <c r="D21" s="54" t="inlineStr">
        <is>
          <t>Beira → Lusaka</t>
        </is>
      </c>
      <c r="E21" s="54" t="inlineStr">
        <is>
          <t>Beira</t>
        </is>
      </c>
      <c r="F21" s="54" t="inlineStr">
        <is>
          <t>Lusaka</t>
        </is>
      </c>
      <c r="G21" s="54" t="inlineStr">
        <is>
          <t>PMS</t>
        </is>
      </c>
      <c r="H21" s="55" t="n">
        <v>2</v>
      </c>
      <c r="I21" s="68" t="n">
        <v>250</v>
      </c>
      <c r="J21" s="69" t="n"/>
      <c r="K21" s="54" t="n"/>
    </row>
    <row r="22">
      <c r="B22" s="62" t="n">
        <v>184182</v>
      </c>
      <c r="C22" s="50" t="inlineStr">
        <is>
          <t>Rubis Energy Zambia</t>
        </is>
      </c>
      <c r="D22" s="50" t="inlineStr">
        <is>
          <t>Beira → Lusaka</t>
        </is>
      </c>
      <c r="E22" s="50" t="inlineStr">
        <is>
          <t>Beira</t>
        </is>
      </c>
      <c r="F22" s="50" t="inlineStr">
        <is>
          <t>Lusaka</t>
        </is>
      </c>
      <c r="G22" s="50" t="inlineStr">
        <is>
          <t>AGO</t>
        </is>
      </c>
      <c r="H22" s="51" t="n">
        <v>2</v>
      </c>
      <c r="I22" s="70" t="n">
        <v>250</v>
      </c>
      <c r="J22" s="71" t="n"/>
      <c r="K22" s="50" t="n"/>
    </row>
    <row r="23">
      <c r="B23" s="67" t="n">
        <v>184663</v>
      </c>
      <c r="C23" s="54" t="inlineStr">
        <is>
          <t>Reliance Energy Zambia</t>
        </is>
      </c>
      <c r="D23" s="54" t="inlineStr">
        <is>
          <t>Beira → Lusaka</t>
        </is>
      </c>
      <c r="E23" s="54" t="inlineStr">
        <is>
          <t>Beira</t>
        </is>
      </c>
      <c r="F23" s="54" t="inlineStr">
        <is>
          <t>Lusaka</t>
        </is>
      </c>
      <c r="G23" s="54" t="inlineStr">
        <is>
          <t>AGO</t>
        </is>
      </c>
      <c r="H23" s="55" t="n">
        <v>2</v>
      </c>
      <c r="I23" s="68" t="n">
        <v>250</v>
      </c>
      <c r="J23" s="69" t="n"/>
      <c r="K23" s="54" t="n"/>
    </row>
    <row r="24">
      <c r="B24" s="62" t="n">
        <v>184978</v>
      </c>
      <c r="C24" s="50" t="inlineStr">
        <is>
          <t>Reliance Energy Zambia</t>
        </is>
      </c>
      <c r="D24" s="50" t="inlineStr">
        <is>
          <t>Beira → Lusaka</t>
        </is>
      </c>
      <c r="E24" s="50" t="inlineStr">
        <is>
          <t>Beira</t>
        </is>
      </c>
      <c r="F24" s="50" t="inlineStr">
        <is>
          <t>Lusaka</t>
        </is>
      </c>
      <c r="G24" s="50" t="inlineStr">
        <is>
          <t>AGO</t>
        </is>
      </c>
      <c r="H24" s="51" t="n">
        <v>2</v>
      </c>
      <c r="I24" s="70" t="n">
        <v>250</v>
      </c>
      <c r="J24" s="71" t="n"/>
      <c r="K24" s="50" t="n"/>
    </row>
    <row r="25">
      <c r="B25" s="67" t="n">
        <v>185350</v>
      </c>
      <c r="C25" s="54" t="inlineStr">
        <is>
          <t>ARV Energy</t>
        </is>
      </c>
      <c r="D25" s="54" t="inlineStr">
        <is>
          <t>Beira → Lusaka</t>
        </is>
      </c>
      <c r="E25" s="54" t="inlineStr">
        <is>
          <t>Beira</t>
        </is>
      </c>
      <c r="F25" s="54" t="inlineStr">
        <is>
          <t>Lusaka</t>
        </is>
      </c>
      <c r="G25" s="54" t="inlineStr">
        <is>
          <t>AGO</t>
        </is>
      </c>
      <c r="H25" s="55" t="n">
        <v>2</v>
      </c>
      <c r="I25" s="68" t="n">
        <v>250</v>
      </c>
      <c r="J25" s="69" t="n"/>
      <c r="K25" s="54" t="n"/>
    </row>
    <row r="26">
      <c r="B26" s="62" t="n">
        <v>189548</v>
      </c>
      <c r="C26" s="50" t="inlineStr">
        <is>
          <t>La Grace De Dieu Avec Nous Sarl</t>
        </is>
      </c>
      <c r="D26" s="50" t="inlineStr">
        <is>
          <t>Beira → Lusaka</t>
        </is>
      </c>
      <c r="E26" s="50" t="inlineStr">
        <is>
          <t>Beira</t>
        </is>
      </c>
      <c r="F26" s="50" t="inlineStr">
        <is>
          <t>Lusaka</t>
        </is>
      </c>
      <c r="G26" s="50" t="inlineStr">
        <is>
          <t>AGO</t>
        </is>
      </c>
      <c r="H26" s="51" t="n">
        <v>2</v>
      </c>
      <c r="I26" s="70" t="n">
        <v>250</v>
      </c>
      <c r="J26" s="71" t="n"/>
      <c r="K26" s="50" t="n"/>
    </row>
    <row r="27">
      <c r="B27" s="67" t="n">
        <v>190666</v>
      </c>
      <c r="C27" s="54" t="inlineStr">
        <is>
          <t>Rubis Energy Zambia</t>
        </is>
      </c>
      <c r="D27" s="54" t="inlineStr">
        <is>
          <t>Beira → Lusaka</t>
        </is>
      </c>
      <c r="E27" s="54" t="inlineStr">
        <is>
          <t>Beira</t>
        </is>
      </c>
      <c r="F27" s="54" t="inlineStr">
        <is>
          <t>Lusaka</t>
        </is>
      </c>
      <c r="G27" s="54" t="inlineStr">
        <is>
          <t>AGO</t>
        </is>
      </c>
      <c r="H27" s="55" t="n">
        <v>2</v>
      </c>
      <c r="I27" s="68" t="n">
        <v>250</v>
      </c>
      <c r="J27" s="69" t="n"/>
      <c r="K27" s="54" t="n"/>
    </row>
    <row r="28">
      <c r="B28" s="62" t="n">
        <v>190778</v>
      </c>
      <c r="C28" s="50" t="inlineStr">
        <is>
          <t>Lake Petroleum Zambia</t>
        </is>
      </c>
      <c r="D28" s="50" t="inlineStr">
        <is>
          <t>Beira → Lusaka</t>
        </is>
      </c>
      <c r="E28" s="50" t="inlineStr">
        <is>
          <t>Beira</t>
        </is>
      </c>
      <c r="F28" s="50" t="inlineStr">
        <is>
          <t>Lusaka</t>
        </is>
      </c>
      <c r="G28" s="50" t="inlineStr">
        <is>
          <t>AGO</t>
        </is>
      </c>
      <c r="H28" s="51" t="n">
        <v>2</v>
      </c>
      <c r="I28" s="70" t="n">
        <v>250</v>
      </c>
      <c r="J28" s="71" t="n">
        <v>135</v>
      </c>
      <c r="K28" s="50" t="inlineStr">
        <is>
          <t>Petroda</t>
        </is>
      </c>
    </row>
    <row r="29">
      <c r="B29" s="67" t="n">
        <v>190839</v>
      </c>
      <c r="C29" s="54" t="inlineStr">
        <is>
          <t>La Grace De Dieu Avec Nous Sarl</t>
        </is>
      </c>
      <c r="D29" s="54" t="inlineStr">
        <is>
          <t>Beira → Lusaka</t>
        </is>
      </c>
      <c r="E29" s="54" t="inlineStr">
        <is>
          <t>Beira</t>
        </is>
      </c>
      <c r="F29" s="54" t="inlineStr">
        <is>
          <t>Lusaka</t>
        </is>
      </c>
      <c r="G29" s="54" t="inlineStr">
        <is>
          <t>AGO</t>
        </is>
      </c>
      <c r="H29" s="55" t="n">
        <v>2</v>
      </c>
      <c r="I29" s="68" t="n">
        <v>250</v>
      </c>
      <c r="J29" s="69" t="n"/>
      <c r="K29" s="54" t="n"/>
    </row>
    <row r="30">
      <c r="B30" s="62" t="n">
        <v>191685</v>
      </c>
      <c r="C30" s="50" t="inlineStr">
        <is>
          <t>Monaluxe</t>
        </is>
      </c>
      <c r="D30" s="50" t="inlineStr">
        <is>
          <t>Beira → Lusaka</t>
        </is>
      </c>
      <c r="E30" s="50" t="inlineStr">
        <is>
          <t>Beira</t>
        </is>
      </c>
      <c r="F30" s="50" t="inlineStr">
        <is>
          <t>Lusaka</t>
        </is>
      </c>
      <c r="G30" s="50" t="inlineStr">
        <is>
          <t>AGO</t>
        </is>
      </c>
      <c r="H30" s="51" t="n">
        <v>2</v>
      </c>
      <c r="I30" s="70" t="n">
        <v>250</v>
      </c>
      <c r="J30" s="71" t="n"/>
      <c r="K30" s="50" t="n"/>
    </row>
  </sheetData>
  <mergeCells count="2">
    <mergeCell ref="B3:K3"/>
    <mergeCell ref="B2:K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6B7280"/>
    <outlinePr summaryBelow="1" summaryRight="1"/>
    <pageSetUpPr/>
  </sheetPr>
  <dimension ref="B2:D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50" customWidth="1" min="4" max="4"/>
  </cols>
  <sheetData>
    <row r="2" ht="32" customHeight="1">
      <c r="B2" s="61" t="inlineStr">
        <is>
          <t>ASSUMPTIONS &amp; DEFAULTS</t>
        </is>
      </c>
    </row>
    <row r="3">
      <c r="B3" s="17" t="inlineStr">
        <is>
          <t>Edit yellow cells to update the entire workbook.</t>
        </is>
      </c>
    </row>
    <row r="4" ht="6" customHeight="1">
      <c r="B4" s="18" t="n"/>
      <c r="C4" s="18" t="n"/>
      <c r="D4" s="18" t="n"/>
    </row>
    <row r="6" ht="22" customHeight="1">
      <c r="B6" s="72" t="inlineStr">
        <is>
          <t>COMMERCIAL DEFAULTS</t>
        </is>
      </c>
    </row>
    <row r="7" ht="20" customHeight="1">
      <c r="B7" s="73" t="inlineStr">
        <is>
          <t>Default laytime (days)</t>
        </is>
      </c>
      <c r="C7" s="74" t="n">
        <v>2</v>
      </c>
      <c r="D7" s="75" t="inlineStr">
        <is>
          <t>Free time at offloading site before demurrage accrues.</t>
        </is>
      </c>
    </row>
    <row r="8" ht="20" customHeight="1">
      <c r="B8" s="73" t="inlineStr">
        <is>
          <t>Default demurrage rate (USD/day)</t>
        </is>
      </c>
      <c r="C8" s="74" t="n">
        <v>250</v>
      </c>
      <c r="D8" s="75" t="inlineStr">
        <is>
          <t>Per-truck per-day charge once laytime is exceeded.</t>
        </is>
      </c>
    </row>
    <row r="9" ht="20" customHeight="1">
      <c r="B9" s="73" t="inlineStr">
        <is>
          <t>Currency</t>
        </is>
      </c>
      <c r="C9" s="74" t="inlineStr">
        <is>
          <t>USD</t>
        </is>
      </c>
      <c r="D9" s="75" t="inlineStr">
        <is>
          <t>Reporting currency for all amounts.</t>
        </is>
      </c>
    </row>
    <row r="10" ht="20" customHeight="1">
      <c r="B10" s="73" t="inlineStr">
        <is>
          <t>FX rate (local → USD)</t>
        </is>
      </c>
      <c r="C10" s="76" t="n">
        <v>1</v>
      </c>
      <c r="D10" s="75" t="inlineStr">
        <is>
          <t>Set to 1.00 if invoices are already in USD.</t>
        </is>
      </c>
    </row>
    <row r="12" ht="22" customHeight="1">
      <c r="B12" s="72" t="inlineStr">
        <is>
          <t>REPORTING PERIOD</t>
        </is>
      </c>
    </row>
    <row r="13" ht="20" customHeight="1">
      <c r="B13" s="73" t="inlineStr">
        <is>
          <t>Period start</t>
        </is>
      </c>
      <c r="C13" s="77" t="n">
        <v>46023</v>
      </c>
      <c r="D13" s="75" t="inlineStr">
        <is>
          <t>Inclusive.</t>
        </is>
      </c>
    </row>
    <row r="14" ht="20" customHeight="1">
      <c r="B14" s="73" t="inlineStr">
        <is>
          <t>Period end</t>
        </is>
      </c>
      <c r="C14" s="77" t="n">
        <v>46142</v>
      </c>
      <c r="D14" s="75" t="inlineStr">
        <is>
          <t>Inclusive.</t>
        </is>
      </c>
    </row>
    <row r="15" ht="20" customHeight="1">
      <c r="B15" s="73" t="inlineStr">
        <is>
          <t>Report issued</t>
        </is>
      </c>
      <c r="C15" s="77" t="n">
        <v>46157</v>
      </c>
      <c r="D15" s="75" t="inlineStr"/>
    </row>
    <row r="17" ht="22" customHeight="1">
      <c r="B17" s="72" t="inlineStr">
        <is>
          <t>TOLERANCES &amp; FLAGS</t>
        </is>
      </c>
    </row>
    <row r="18" ht="20" customHeight="1">
      <c r="B18" s="73" t="inlineStr">
        <is>
          <t>Min. waiting days to flag review</t>
        </is>
      </c>
      <c r="C18" s="74" t="n">
        <v>7</v>
      </c>
      <c r="D18" s="75" t="inlineStr">
        <is>
          <t>Trips above this are highlighted as outliers.</t>
        </is>
      </c>
    </row>
    <row r="19" ht="20" customHeight="1">
      <c r="B19" s="73" t="inlineStr">
        <is>
          <t>Sanity tolerance (days)</t>
        </is>
      </c>
      <c r="C19" s="74" t="n">
        <v>0</v>
      </c>
      <c r="D19" s="75" t="inlineStr">
        <is>
          <t>Days of grace before flagging a date inconsistency.</t>
        </is>
      </c>
    </row>
  </sheetData>
  <mergeCells count="5">
    <mergeCell ref="B3:D3"/>
    <mergeCell ref="B17:D17"/>
    <mergeCell ref="B12:D12"/>
    <mergeCell ref="B6:D6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2026-05-15T19:29:39Z</dcterms:created>
  <dcterms:modified xsi:type="dcterms:W3CDTF">2026-05-15T19:29:39Z</dcterms:modified>
</cp:coreProperties>
</file>