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Dashboard" sheetId="2" state="visible" r:id="rId2"/>
    <sheet name="Invoice" sheetId="3" state="visible" r:id="rId3"/>
    <sheet name="Claims" sheetId="4" state="visible" r:id="rId4"/>
    <sheet name="Trips Ledger" sheetId="5" state="visible" r:id="rId5"/>
    <sheet name="Deals" sheetId="6" state="visible" r:id="rId6"/>
    <sheet name="Assumptions" sheetId="7" state="visible" r:id="rId7"/>
    <sheet name="Company" sheetId="8" state="visible" r:id="rId8"/>
  </sheets>
  <definedNames>
    <definedName name="COMPANY_NAME">Company!$C$7</definedName>
    <definedName name="COMPANY_TRADING">Company!$C$8</definedName>
    <definedName name="COMPANY_ADDR">Company!$C$9</definedName>
    <definedName name="COMPANY_VAT">Company!$C$10</definedName>
    <definedName name="COMPANY_PHONE">Company!$C$11</definedName>
    <definedName name="COMPANY_EMAIL">Company!$C$12</definedName>
    <definedName name="BANK_NAME">Company!$C$15</definedName>
    <definedName name="BANK_HOLDER">Company!$C$16</definedName>
    <definedName name="BANK_ACCT">Company!$C$17</definedName>
    <definedName name="BANK_IBAN">Company!$C$18</definedName>
    <definedName name="BANK_SWIFT">Company!$C$19</definedName>
    <definedName name="BANK_CORR">Company!$C$20</definedName>
    <definedName name="INV_PREFIX">Company!$C$23</definedName>
    <definedName name="INV_NEXT">Company!$C$24</definedName>
    <definedName name="PAY_TERMS">Company!$C$25</definedName>
    <definedName name="VAT_RATE">Company!$C$26</definedName>
    <definedName name="INV_FOOTER">Company!$C$27</definedName>
    <definedName name="DEF_LAYTIME">Assumptions!$C$7</definedName>
    <definedName name="DEF_RATE">Assumptions!$C$8</definedName>
    <definedName name="CCY">Assumptions!$C$9</definedName>
    <definedName name="FX">Assumptions!$C$10</definedName>
    <definedName name="PERIOD_START">Assumptions!$C$13</definedName>
    <definedName name="PERIOD_END">Assumptions!$C$14</definedName>
    <definedName name="OUTLIER_DAYS">Assumptions!$C$18</definedName>
    <definedName name="_xlnm.Print_Area" localSheetId="2">'Invoice'!$A$1:$L$73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_-[$$-409]* #,##0_-;[Red]-[$$-409]* #,##0_-;_-[$$-409]* &quot;-&quot;??_-;_-@_-"/>
    <numFmt numFmtId="165" formatCode="#,##0;[Red]-#,##0;&quot;-&quot;"/>
    <numFmt numFmtId="166" formatCode="0.0%"/>
    <numFmt numFmtId="167" formatCode="0.0000"/>
    <numFmt numFmtId="168" formatCode="yyyy-mm-dd h:mm:ss"/>
    <numFmt numFmtId="169" formatCode="dd-mmm-yyyy"/>
    <numFmt numFmtId="170" formatCode="#,##0.00;&quot;-&quot;"/>
    <numFmt numFmtId="171" formatCode="_-[$$-409]* #,##0.00_-;[Red]-[$$-409]* #,##0.00_-"/>
  </numFmts>
  <fonts count="28">
    <font>
      <name val="Calibri"/>
      <family val="2"/>
      <color theme="1"/>
      <sz val="11"/>
      <scheme val="minor"/>
    </font>
    <font>
      <name val="Calibri"/>
      <b val="1"/>
      <color rgb="00FFFFFF"/>
      <sz val="32"/>
    </font>
    <font>
      <name val="Calibri"/>
      <b val="1"/>
      <color rgb="00F4E1A4"/>
      <sz val="12"/>
    </font>
    <font>
      <name val="Calibri"/>
      <b val="1"/>
      <color rgb="000B2447"/>
      <sz val="12"/>
    </font>
    <font>
      <name val="Calibri"/>
      <b val="1"/>
      <color rgb="00FFFFFF"/>
      <sz val="18"/>
    </font>
    <font>
      <name val="Calibri"/>
      <color rgb="00111827"/>
      <sz val="12"/>
    </font>
    <font>
      <name val="Calibri"/>
      <b val="1"/>
      <color rgb="00FFFFFF"/>
      <sz val="9"/>
    </font>
    <font>
      <name val="Calibri"/>
      <b val="1"/>
      <color rgb="000B2447"/>
      <sz val="18"/>
    </font>
    <font>
      <name val="Calibri"/>
      <i val="1"/>
      <color rgb="006B7280"/>
      <sz val="9"/>
    </font>
    <font>
      <name val="Calibri"/>
      <b val="1"/>
      <color rgb="000B2447"/>
      <sz val="20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color rgb="00111827"/>
      <sz val="11"/>
    </font>
    <font>
      <name val="Calibri"/>
      <b val="1"/>
      <color rgb="000B2447"/>
      <sz val="11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color rgb="00F4E1A4"/>
      <sz val="9"/>
    </font>
    <font>
      <name val="Calibri"/>
      <b val="1"/>
      <color rgb="00F4E1A4"/>
      <sz val="32"/>
    </font>
    <font>
      <name val="Calibri"/>
      <i val="1"/>
      <color rgb="00FFFFFF"/>
      <sz val="10"/>
    </font>
    <font>
      <name val="Calibri"/>
      <b val="1"/>
      <color rgb="006B7280"/>
      <sz val="10"/>
    </font>
    <font>
      <name val="Calibri"/>
      <b val="1"/>
      <color rgb="006B7280"/>
      <sz val="9"/>
    </font>
    <font>
      <name val="Calibri"/>
      <b val="1"/>
      <color rgb="000B2447"/>
      <sz val="13"/>
    </font>
    <font>
      <name val="Calibri"/>
      <b val="1"/>
      <color rgb="00111827"/>
      <sz val="11"/>
    </font>
    <font>
      <name val="Calibri"/>
      <b val="1"/>
      <color rgb="00FFFFFF"/>
      <sz val="14"/>
    </font>
    <font>
      <name val="Calibri"/>
      <b val="1"/>
      <color rgb="000B2447"/>
      <sz val="10"/>
    </font>
    <font>
      <name val="Calibri"/>
      <color rgb="006B7280"/>
      <sz val="9"/>
    </font>
    <font>
      <name val="Calibri"/>
      <b val="1"/>
      <color rgb="000B2447"/>
      <sz val="24"/>
    </font>
    <font>
      <name val="Calibri"/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0B2447"/>
      </patternFill>
    </fill>
    <fill>
      <patternFill patternType="solid">
        <fgColor rgb="00C9A227"/>
      </patternFill>
    </fill>
    <fill>
      <patternFill patternType="solid">
        <fgColor rgb="0019376D"/>
      </patternFill>
    </fill>
    <fill>
      <patternFill patternType="solid">
        <fgColor rgb="00FDFBF7"/>
      </patternFill>
    </fill>
    <fill>
      <patternFill patternType="solid">
        <fgColor rgb="00FDF4D4"/>
      </patternFill>
    </fill>
    <fill>
      <patternFill patternType="solid">
        <fgColor rgb="00FFFFFF"/>
      </patternFill>
    </fill>
  </fills>
  <borders count="10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bottom style="dotted">
        <color rgb="00E5E7EB"/>
      </bottom>
    </border>
    <border>
      <left style="thin">
        <color rgb="00C9A227"/>
      </left>
      <right style="thin">
        <color rgb="00C9A227"/>
      </right>
      <top style="thin">
        <color rgb="00C9A227"/>
      </top>
      <bottom style="thin">
        <color rgb="00C9A227"/>
      </bottom>
    </border>
    <border>
      <top style="medium">
        <color rgb="00C9A227"/>
      </top>
    </border>
    <border>
      <left style="medium">
        <color rgb="00C9A227"/>
      </left>
      <right style="medium">
        <color rgb="00C9A227"/>
      </right>
      <top style="medium">
        <color rgb="00C9A227"/>
      </top>
      <bottom style="medium">
        <color rgb="00C9A227"/>
      </bottom>
    </border>
    <border>
      <top style="thin">
        <color rgb="00E5E7EB"/>
      </top>
    </border>
    <border>
      <bottom style="thin">
        <color rgb="00C9A227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medium">
        <color rgb="00C9A227"/>
      </bottom>
    </border>
    <border>
      <left style="thin">
        <color rgb="00E5E7EB"/>
      </left>
      <right style="thin">
        <color rgb="00E5E7EB"/>
      </right>
      <top style="dotted">
        <color rgb="00E5E7EB"/>
      </top>
      <bottom style="dotted">
        <color rgb="00E5E7EB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6" fillId="4" borderId="3" applyAlignment="1" pivotButton="0" quotePrefix="0" xfId="0">
      <alignment horizontal="center" vertical="center"/>
    </xf>
    <xf numFmtId="0" fontId="0" fillId="0" borderId="3" pivotButton="0" quotePrefix="0" xfId="0"/>
    <xf numFmtId="164" fontId="7" fillId="5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 vertical="center"/>
    </xf>
    <xf numFmtId="0" fontId="10" fillId="0" borderId="0" pivotButton="0" quotePrefix="0" xfId="0"/>
    <xf numFmtId="0" fontId="0" fillId="0" borderId="4" pivotButton="0" quotePrefix="0" xfId="0"/>
    <xf numFmtId="0" fontId="14" fillId="4" borderId="3" applyAlignment="1" pivotButton="0" quotePrefix="0" xfId="0">
      <alignment horizontal="center" vertical="center"/>
    </xf>
    <xf numFmtId="164" fontId="9" fillId="7" borderId="3" applyAlignment="1" pivotButton="0" quotePrefix="0" xfId="0">
      <alignment horizontal="center" vertical="center"/>
    </xf>
    <xf numFmtId="165" fontId="9" fillId="7" borderId="3" applyAlignment="1" pivotButton="0" quotePrefix="0" xfId="0">
      <alignment horizontal="center" vertical="center"/>
    </xf>
    <xf numFmtId="0" fontId="27" fillId="2" borderId="0" applyAlignment="1" pivotButton="0" quotePrefix="0" xfId="0">
      <alignment horizontal="left" vertical="center" indent="1"/>
    </xf>
    <xf numFmtId="0" fontId="24" fillId="6" borderId="8" applyAlignment="1" pivotButton="0" quotePrefix="0" xfId="0">
      <alignment horizontal="left" vertical="center" indent="1"/>
    </xf>
    <xf numFmtId="0" fontId="24" fillId="6" borderId="8" applyAlignment="1" pivotButton="0" quotePrefix="0" xfId="0">
      <alignment horizontal="center" vertical="center"/>
    </xf>
    <xf numFmtId="0" fontId="15" fillId="0" borderId="9" applyAlignment="1" pivotButton="0" quotePrefix="0" xfId="0">
      <alignment horizontal="left" vertical="center" indent="1"/>
    </xf>
    <xf numFmtId="165" fontId="15" fillId="0" borderId="9" applyAlignment="1" pivotButton="0" quotePrefix="0" xfId="0">
      <alignment horizontal="right" vertical="center"/>
    </xf>
    <xf numFmtId="164" fontId="15" fillId="0" borderId="9" applyAlignment="1" pivotButton="0" quotePrefix="0" xfId="0">
      <alignment horizontal="right" vertical="center"/>
    </xf>
    <xf numFmtId="0" fontId="15" fillId="5" borderId="9" applyAlignment="1" pivotButton="0" quotePrefix="0" xfId="0">
      <alignment horizontal="left" vertical="center" indent="1"/>
    </xf>
    <xf numFmtId="165" fontId="15" fillId="5" borderId="9" applyAlignment="1" pivotButton="0" quotePrefix="0" xfId="0">
      <alignment horizontal="right" vertical="center"/>
    </xf>
    <xf numFmtId="164" fontId="15" fillId="5" borderId="9" applyAlignment="1" pivotButton="0" quotePrefix="0" xfId="0">
      <alignment horizontal="right" vertical="center"/>
    </xf>
    <xf numFmtId="0" fontId="14" fillId="2" borderId="4" applyAlignment="1" pivotButton="0" quotePrefix="0" xfId="0">
      <alignment horizontal="left" vertical="center" indent="1"/>
    </xf>
    <xf numFmtId="165" fontId="14" fillId="2" borderId="4" applyAlignment="1" pivotButton="0" quotePrefix="0" xfId="0">
      <alignment horizontal="right" vertical="center"/>
    </xf>
    <xf numFmtId="164" fontId="14" fillId="2" borderId="4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right" vertical="center"/>
    </xf>
    <xf numFmtId="0" fontId="16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right" vertical="center"/>
    </xf>
    <xf numFmtId="0" fontId="13" fillId="0" borderId="2" applyAlignment="1" pivotButton="0" quotePrefix="0" xfId="0">
      <alignment horizontal="right" vertical="center"/>
    </xf>
    <xf numFmtId="0" fontId="9" fillId="6" borderId="5" applyAlignment="1" pivotButton="0" quotePrefix="0" xfId="0">
      <alignment horizontal="center" vertical="center"/>
    </xf>
    <xf numFmtId="0" fontId="0" fillId="0" borderId="5" pivotButton="0" quotePrefix="0" xfId="0"/>
    <xf numFmtId="169" fontId="13" fillId="0" borderId="2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/>
    </xf>
    <xf numFmtId="0" fontId="22" fillId="6" borderId="3" applyAlignment="1" pivotButton="0" quotePrefix="0" xfId="0">
      <alignment horizontal="left" vertical="center"/>
    </xf>
    <xf numFmtId="0" fontId="14" fillId="2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/>
    </xf>
    <xf numFmtId="169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 indent="1"/>
    </xf>
    <xf numFmtId="165" fontId="15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/>
    </xf>
    <xf numFmtId="169" fontId="15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 indent="1"/>
    </xf>
    <xf numFmtId="165" fontId="15" fillId="5" borderId="1" applyAlignment="1" pivotButton="0" quotePrefix="0" xfId="0">
      <alignment horizontal="center" vertical="center"/>
    </xf>
    <xf numFmtId="164" fontId="15" fillId="5" borderId="1" applyAlignment="1" pivotButton="0" quotePrefix="0" xfId="0">
      <alignment horizontal="right" vertical="center"/>
    </xf>
    <xf numFmtId="0" fontId="22" fillId="0" borderId="0" applyAlignment="1" pivotButton="0" quotePrefix="0" xfId="0">
      <alignment horizontal="right" vertical="center"/>
    </xf>
    <xf numFmtId="164" fontId="13" fillId="0" borderId="6" applyAlignment="1" pivotButton="0" quotePrefix="0" xfId="0">
      <alignment horizontal="right" vertical="center"/>
    </xf>
    <xf numFmtId="0" fontId="23" fillId="2" borderId="0" applyAlignment="1" pivotButton="0" quotePrefix="0" xfId="0">
      <alignment horizontal="right" vertical="center"/>
    </xf>
    <xf numFmtId="171" fontId="23" fillId="2" borderId="0" applyAlignment="1" pivotButton="0" quotePrefix="0" xfId="0">
      <alignment horizontal="right" vertical="center"/>
    </xf>
    <xf numFmtId="0" fontId="24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1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25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15" fillId="0" borderId="1" applyAlignment="1" pivotButton="0" quotePrefix="0" xfId="0">
      <alignment horizontal="left" vertical="center" wrapText="1" indent="1"/>
    </xf>
    <xf numFmtId="0" fontId="11" fillId="2" borderId="0" applyAlignment="1" pivotButton="0" quotePrefix="0" xfId="0">
      <alignment horizontal="center" vertical="center"/>
    </xf>
    <xf numFmtId="0" fontId="11" fillId="2" borderId="0" pivotButton="0" quotePrefix="0" xfId="0"/>
    <xf numFmtId="165" fontId="11" fillId="2" borderId="0" applyAlignment="1" pivotButton="0" quotePrefix="0" xfId="0">
      <alignment horizontal="center" vertical="center"/>
    </xf>
    <xf numFmtId="164" fontId="11" fillId="2" borderId="0" applyAlignment="1" pivotButton="0" quotePrefix="0" xfId="0">
      <alignment horizontal="right" vertical="center"/>
    </xf>
    <xf numFmtId="164" fontId="15" fillId="5" borderId="1" applyAlignment="1" pivotButton="0" quotePrefix="0" xfId="0">
      <alignment horizontal="center" vertical="center"/>
    </xf>
    <xf numFmtId="170" fontId="15" fillId="5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70" fontId="15" fillId="0" borderId="1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 indent="1"/>
    </xf>
    <xf numFmtId="0" fontId="12" fillId="0" borderId="2" applyAlignment="1" pivotButton="0" quotePrefix="0" xfId="0">
      <alignment horizontal="left" vertical="center" indent="1"/>
    </xf>
    <xf numFmtId="0" fontId="13" fillId="6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indent="1"/>
    </xf>
    <xf numFmtId="167" fontId="13" fillId="6" borderId="1" applyAlignment="1" pivotButton="0" quotePrefix="0" xfId="0">
      <alignment horizontal="center" vertical="center"/>
    </xf>
    <xf numFmtId="169" fontId="13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 indent="1"/>
    </xf>
    <xf numFmtId="0" fontId="13" fillId="6" borderId="1" applyAlignment="1" pivotButton="0" quotePrefix="0" xfId="0">
      <alignment horizontal="left" vertical="center" wrapText="1" indent="1"/>
    </xf>
    <xf numFmtId="165" fontId="13" fillId="6" borderId="1" applyAlignment="1" pivotButton="0" quotePrefix="0" xfId="0">
      <alignment horizontal="left" vertical="center" indent="1"/>
    </xf>
    <xf numFmtId="166" fontId="13" fillId="6" borderId="1" applyAlignment="1" pivotButton="0" quotePrefix="0" xfId="0">
      <alignment horizontal="left" vertical="center" indent="1"/>
    </xf>
  </cellXfs>
  <cellStyles count="1">
    <cellStyle name="Normal" xfId="0" builtinId="0" hidden="0"/>
  </cellStyles>
  <dxfs count="6">
    <dxf>
      <font>
        <name val="Calibri"/>
        <b val="1"/>
        <color rgb="00166534"/>
        <sz val="11"/>
      </font>
      <fill>
        <patternFill patternType="solid">
          <fgColor rgb="00DCFCE7"/>
        </patternFill>
      </fill>
    </dxf>
    <dxf>
      <font>
        <name val="Calibri"/>
        <b val="1"/>
        <color rgb="0092400E"/>
        <sz val="11"/>
      </font>
      <fill>
        <patternFill patternType="solid">
          <fgColor rgb="00FEF3C7"/>
        </patternFill>
      </fill>
    </dxf>
    <dxf>
      <font>
        <name val="Calibri"/>
        <b val="1"/>
        <color rgb="000B2447"/>
        <sz val="11"/>
      </font>
      <fill>
        <patternFill patternType="solid">
          <fgColor rgb="00FDF4D4"/>
        </patternFill>
      </fill>
    </dxf>
    <dxf>
      <font>
        <name val="Calibri"/>
        <i val="1"/>
        <color rgb="006B7280"/>
        <sz val="11"/>
      </font>
      <fill>
        <patternFill patternType="solid">
          <fgColor rgb="00F3F4F6"/>
        </patternFill>
      </fill>
    </dxf>
    <dxf>
      <font>
        <name val="Calibri"/>
        <b val="1"/>
        <color rgb="008B4513"/>
        <sz val="11"/>
      </font>
      <fill>
        <patternFill patternType="solid">
          <fgColor rgb="00FFE0B2"/>
        </patternFill>
      </fill>
    </dxf>
    <dxf>
      <font>
        <name val="Calibri"/>
        <b val="1"/>
        <color rgb="00991B1B"/>
        <sz val="11"/>
      </font>
      <fill>
        <patternFill patternType="solid">
          <f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Claims" displayName="Claims" ref="B6:Q15" headerRowCount="1">
  <autoFilter ref="B6:Q15"/>
  <tableColumns count="16">
    <tableColumn id="2" name="Claim No."/>
    <tableColumn id="3" name="Issue Date"/>
    <tableColumn id="4" name="Deal No."/>
    <tableColumn id="5" name="Consignee"/>
    <tableColumn id="6" name="Bill-To Address"/>
    <tableColumn id="7" name="Period From"/>
    <tableColumn id="8" name="Period To"/>
    <tableColumn id="9" name="# Trips"/>
    <tableColumn id="10" name="Amount (USD)"/>
    <tableColumn id="11" name="Currency"/>
    <tableColumn id="12" name="Status"/>
    <tableColumn id="13" name="Due Date"/>
    <tableColumn id="14" name="Paid Date"/>
    <tableColumn id="15" name="Days Overdue"/>
    <tableColumn id="16" name="Aging"/>
    <tableColumn id="17" name="Notes"/>
  </tableColumns>
  <tableStyleInfo name="TableStyleLight1" showRowStripes="1"/>
</table>
</file>

<file path=xl/tables/table2.xml><?xml version="1.0" encoding="utf-8"?>
<table xmlns="http://schemas.openxmlformats.org/spreadsheetml/2006/main" id="2" name="Trips" displayName="Trips" ref="B6:V137" headerRowCount="1">
  <autoFilter ref="B6:V137"/>
  <tableColumns count="21">
    <tableColumn id="2" name="Deal No."/>
    <tableColumn id="3" name="Claim No."/>
    <tableColumn id="4" name="Consignee"/>
    <tableColumn id="5" name="Date Loaded"/>
    <tableColumn id="6" name="Loading Port"/>
    <tableColumn id="7" name="Destination"/>
    <tableColumn id="8" name="Product"/>
    <tableColumn id="9" name="Truck No."/>
    <tableColumn id="10" name="Trailer Reg."/>
    <tableColumn id="11" name="Transporter"/>
    <tableColumn id="12" name="Driver"/>
    <tableColumn id="13" name="Arrival"/>
    <tableColumn id="14" name="Offloaded"/>
    <tableColumn id="15" name="Waiting (d)"/>
    <tableColumn id="16" name="Laytime (d)"/>
    <tableColumn id="17" name="Excess (d)"/>
    <tableColumn id="18" name="Rate (USD)"/>
    <tableColumn id="19" name="Demurrage (USD)"/>
    <tableColumn id="20" name="Status"/>
    <tableColumn id="21" name="Sanity"/>
    <tableColumn id="22" name="Month"/>
  </tableColumns>
  <tableStyleInfo name="TableStyleLight1" showRowStripes="1" showColumnStripes="0"/>
</table>
</file>

<file path=xl/tables/table3.xml><?xml version="1.0" encoding="utf-8"?>
<table xmlns="http://schemas.openxmlformats.org/spreadsheetml/2006/main" id="3" name="Deals" displayName="Deals" ref="B6:K30" headerRowCount="1">
  <autoFilter ref="B6:K30"/>
  <tableColumns count="10">
    <tableColumn id="2" name="Deal No."/>
    <tableColumn id="3" name="Consignee"/>
    <tableColumn id="4" name="Route"/>
    <tableColumn id="5" name="Loading Port"/>
    <tableColumn id="6" name="Destination"/>
    <tableColumn id="7" name="Product"/>
    <tableColumn id="8" name="Laytime (days)"/>
    <tableColumn id="9" name="Rate (USD/day)"/>
    <tableColumn id="10" name="Transport (USD/m³)"/>
    <tableColumn id="11" name="Transporter"/>
  </tableColumns>
  <tableStyleInfo name="TableStyleLight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tabColor rgb="000B2447"/>
    <outlinePr summaryBelow="1" summaryRight="1"/>
    <pageSetUpPr/>
  </sheetPr>
  <dimension ref="A2:J36"/>
  <sheetViews>
    <sheetView showGridLines="0" showRowColHeader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3" customWidth="1" min="10" max="10"/>
  </cols>
  <sheetData>
    <row r="1" ht="18" customHeight="1"/>
    <row r="2" ht="18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18" customHeight="1">
      <c r="A3" s="1" t="n"/>
      <c r="B3" s="2" t="inlineStr">
        <is>
          <t>DEMURRAGE MANAGEMENT</t>
        </is>
      </c>
      <c r="J3" s="1" t="n"/>
    </row>
    <row r="4" ht="18" customHeight="1">
      <c r="A4" s="1" t="n"/>
      <c r="J4" s="1" t="n"/>
    </row>
    <row r="5" ht="18" customHeight="1">
      <c r="A5" s="1" t="n"/>
      <c r="B5" s="3" t="inlineStr">
        <is>
          <t>TRUCKING  •  BEIRA → LUSAKA CORRIDOR  •  2026</t>
        </is>
      </c>
      <c r="J5" s="1" t="n"/>
    </row>
    <row r="6" ht="18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 ht="4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 ht="18" customHeight="1"/>
    <row r="9" ht="18" customHeight="1"/>
    <row r="10" ht="18" customHeight="1">
      <c r="B10" s="5" t="inlineStr">
        <is>
          <t>WORKFLOW</t>
        </is>
      </c>
    </row>
    <row r="11" ht="18" customHeight="1"/>
    <row r="12" ht="30" customHeight="1">
      <c r="B12" s="6" t="inlineStr">
        <is>
          <t>1</t>
        </is>
      </c>
      <c r="C12" s="7" t="inlineStr">
        <is>
          <t>CAPTURE  —  Add trips to the Trips Ledger as they happen.</t>
        </is>
      </c>
    </row>
    <row r="13" ht="30" customHeight="1">
      <c r="B13" s="6" t="inlineStr">
        <is>
          <t>2</t>
        </is>
      </c>
      <c r="C13" s="7" t="inlineStr">
        <is>
          <t>CLAIM  —  Open the Claims register, add a row, assign trips.</t>
        </is>
      </c>
    </row>
    <row r="14" ht="30" customHeight="1">
      <c r="B14" s="6" t="inlineStr">
        <is>
          <t>3</t>
        </is>
      </c>
      <c r="C14" s="7" t="inlineStr">
        <is>
          <t>INVOICE  —  Pick the claim on the Invoice tab — print or PDF.</t>
        </is>
      </c>
    </row>
    <row r="15" ht="30" customHeight="1">
      <c r="B15" s="6" t="inlineStr">
        <is>
          <t>4</t>
        </is>
      </c>
      <c r="C15" s="7" t="inlineStr">
        <is>
          <t>TRACK  —  Update status / paid date — Dashboard reflects it.</t>
        </is>
      </c>
    </row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>
      <c r="B22" s="5" t="inlineStr">
        <is>
          <t>PORTFOLIO AT A GLANCE</t>
        </is>
      </c>
    </row>
    <row r="23" ht="18" customHeight="1"/>
    <row r="24" ht="18" customHeight="1">
      <c r="B24" s="8" t="inlineStr">
        <is>
          <t>TOTAL DEMURRAGE</t>
        </is>
      </c>
      <c r="C24" s="9" t="n"/>
      <c r="D24" s="8" t="inlineStr">
        <is>
          <t>INVOICED</t>
        </is>
      </c>
      <c r="E24" s="9" t="n"/>
      <c r="F24" s="8" t="inlineStr">
        <is>
          <t>PAID</t>
        </is>
      </c>
      <c r="G24" s="9" t="n"/>
      <c r="H24" s="8" t="inlineStr">
        <is>
          <t>OUTSTANDING</t>
        </is>
      </c>
      <c r="I24" s="9" t="n"/>
    </row>
    <row r="25" ht="18" customHeight="1">
      <c r="B25" s="10">
        <f>SUM(Trips[Demurrage (USD)])</f>
        <v/>
      </c>
      <c r="C25" s="9" t="n"/>
      <c r="D25" s="10">
        <f>SUMIFS(Claims[Amount (USD)],Claims[Status],"Sent")+SUMIFS(Claims[Amount (USD)],Claims[Status],"Paid")</f>
        <v/>
      </c>
      <c r="E25" s="9" t="n"/>
      <c r="F25" s="10">
        <f>SUMIF(Claims[Status],"Paid",Claims[Amount (USD)])</f>
        <v/>
      </c>
      <c r="G25" s="9" t="n"/>
      <c r="H25" s="10">
        <f>SUMIF(Claims[Status],"Sent",Claims[Amount (USD)])</f>
        <v/>
      </c>
      <c r="I25" s="9" t="n"/>
    </row>
    <row r="26" ht="18" customHeight="1">
      <c r="B26" s="9" t="n"/>
      <c r="C26" s="9" t="n"/>
      <c r="D26" s="9" t="n"/>
      <c r="E26" s="9" t="n"/>
      <c r="F26" s="9" t="n"/>
      <c r="G26" s="9" t="n"/>
      <c r="H26" s="9" t="n"/>
      <c r="I26" s="9" t="n"/>
    </row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>
      <c r="B36" s="11" t="inlineStr">
        <is>
          <t>CONFIDENTIAL  •  Internal use only</t>
        </is>
      </c>
    </row>
    <row r="37" ht="18" customHeight="1"/>
    <row r="38" ht="18" customHeight="1"/>
    <row r="39" ht="18" customHeight="1"/>
  </sheetData>
  <mergeCells count="15">
    <mergeCell ref="C14:I14"/>
    <mergeCell ref="D25:E26"/>
    <mergeCell ref="B24:C24"/>
    <mergeCell ref="C13:I13"/>
    <mergeCell ref="F24:G24"/>
    <mergeCell ref="B3:I4"/>
    <mergeCell ref="D24:E24"/>
    <mergeCell ref="F25:G26"/>
    <mergeCell ref="B25:C26"/>
    <mergeCell ref="H24:I24"/>
    <mergeCell ref="C12:I12"/>
    <mergeCell ref="B5:I5"/>
    <mergeCell ref="H25:I26"/>
    <mergeCell ref="B36:I36"/>
    <mergeCell ref="C15:I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B2:I42"/>
  <sheetViews>
    <sheetView showGridLines="0" showRowColHeader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" customWidth="1" min="10" max="10"/>
  </cols>
  <sheetData>
    <row r="2" ht="36" customHeight="1">
      <c r="B2" s="12" t="inlineStr">
        <is>
          <t>DEMURRAGE DASHBOARD</t>
        </is>
      </c>
    </row>
    <row r="3">
      <c r="B3" s="13" t="inlineStr">
        <is>
          <t>Live KPIs across trips, claims and invoices.</t>
        </is>
      </c>
    </row>
    <row r="4" ht="6" customHeight="1">
      <c r="B4" s="14" t="n"/>
      <c r="C4" s="14" t="n"/>
      <c r="D4" s="14" t="n"/>
      <c r="E4" s="14" t="n"/>
      <c r="F4" s="14" t="n"/>
      <c r="G4" s="14" t="n"/>
      <c r="H4" s="14" t="n"/>
      <c r="I4" s="14" t="n"/>
    </row>
    <row r="6" ht="22" customHeight="1">
      <c r="B6" s="15" t="inlineStr">
        <is>
          <t>TOTAL DEMURRAGE</t>
        </is>
      </c>
      <c r="C6" s="9" t="n"/>
      <c r="D6" s="15" t="inlineStr">
        <is>
          <t>TRIPS</t>
        </is>
      </c>
      <c r="E6" s="9" t="n"/>
      <c r="F6" s="15" t="inlineStr">
        <is>
          <t>IN DEMURRAGE</t>
        </is>
      </c>
      <c r="G6" s="9" t="n"/>
      <c r="H6" s="15" t="inlineStr">
        <is>
          <t>AVG / TRIP</t>
        </is>
      </c>
      <c r="I6" s="9" t="n"/>
    </row>
    <row r="7">
      <c r="B7" s="16">
        <f>SUM(Trips[Demurrage (USD)])</f>
        <v/>
      </c>
      <c r="C7" s="9" t="n"/>
      <c r="D7" s="17">
        <f>ROWS(Trips[Deal No.])</f>
        <v/>
      </c>
      <c r="E7" s="9" t="n"/>
      <c r="F7" s="17">
        <f>COUNTIF(Trips[Status],"DEMURRAGE")</f>
        <v/>
      </c>
      <c r="G7" s="9" t="n"/>
      <c r="H7" s="16">
        <f>IFERROR(SUM(Trips[Demurrage (USD)])/ROWS(Trips[Deal No.]),0)</f>
        <v/>
      </c>
      <c r="I7" s="9" t="n"/>
    </row>
    <row r="8">
      <c r="B8" s="9" t="n"/>
      <c r="C8" s="9" t="n"/>
      <c r="D8" s="9" t="n"/>
      <c r="E8" s="9" t="n"/>
      <c r="F8" s="9" t="n"/>
      <c r="G8" s="9" t="n"/>
      <c r="H8" s="9" t="n"/>
      <c r="I8" s="9" t="n"/>
    </row>
    <row r="10" ht="22" customHeight="1">
      <c r="B10" s="15" t="inlineStr">
        <is>
          <t>INVOICED</t>
        </is>
      </c>
      <c r="C10" s="9" t="n"/>
      <c r="D10" s="15" t="inlineStr">
        <is>
          <t>PAID</t>
        </is>
      </c>
      <c r="E10" s="9" t="n"/>
      <c r="F10" s="15" t="inlineStr">
        <is>
          <t>OUTSTANDING</t>
        </is>
      </c>
      <c r="G10" s="9" t="n"/>
      <c r="H10" s="15" t="inlineStr">
        <is>
          <t>OVERDUE</t>
        </is>
      </c>
      <c r="I10" s="9" t="n"/>
    </row>
    <row r="11">
      <c r="B11" s="16">
        <f>SUMIFS(Claims[Amount (USD)],Claims[Status],"Sent")+SUMIFS(Claims[Amount (USD)],Claims[Status],"Paid")</f>
        <v/>
      </c>
      <c r="C11" s="9" t="n"/>
      <c r="D11" s="16">
        <f>SUMIF(Claims[Status],"Paid",Claims[Amount (USD)])</f>
        <v/>
      </c>
      <c r="E11" s="9" t="n"/>
      <c r="F11" s="16">
        <f>SUMIF(Claims[Status],"Sent",Claims[Amount (USD)])</f>
        <v/>
      </c>
      <c r="G11" s="9" t="n"/>
      <c r="H11" s="16">
        <f>SUMIFS(Claims[Amount (USD)],Claims[Status],"Sent",Claims[Days Overdue],"&gt;0")</f>
        <v/>
      </c>
      <c r="I11" s="9" t="n"/>
    </row>
    <row r="12">
      <c r="B12" s="9" t="n"/>
      <c r="C12" s="9" t="n"/>
      <c r="D12" s="9" t="n"/>
      <c r="E12" s="9" t="n"/>
      <c r="F12" s="9" t="n"/>
      <c r="G12" s="9" t="n"/>
      <c r="H12" s="9" t="n"/>
      <c r="I12" s="9" t="n"/>
    </row>
    <row r="14" ht="24" customHeight="1">
      <c r="B14" s="18" t="inlineStr">
        <is>
          <t>BY CONSIGNEE</t>
        </is>
      </c>
      <c r="F14" s="18" t="inlineStr">
        <is>
          <t>TOP DEALS BY DEMURRAGE</t>
        </is>
      </c>
    </row>
    <row r="15" ht="22" customHeight="1">
      <c r="B15" s="19" t="inlineStr">
        <is>
          <t>Consignee</t>
        </is>
      </c>
      <c r="C15" s="20" t="inlineStr">
        <is>
          <t>Trips</t>
        </is>
      </c>
      <c r="D15" s="20" t="inlineStr">
        <is>
          <t>Total Demurrage</t>
        </is>
      </c>
      <c r="E15" s="20" t="inlineStr">
        <is>
          <t>Avg / Trip</t>
        </is>
      </c>
      <c r="F15" s="19" t="inlineStr">
        <is>
          <t>Deal No.</t>
        </is>
      </c>
      <c r="G15" s="20" t="inlineStr">
        <is>
          <t>Trips</t>
        </is>
      </c>
      <c r="H15" s="20" t="inlineStr">
        <is>
          <t>Total Demurrage</t>
        </is>
      </c>
      <c r="I15" s="20" t="inlineStr">
        <is>
          <t>Avg / Trip</t>
        </is>
      </c>
    </row>
    <row r="16">
      <c r="B16" s="21" t="inlineStr">
        <is>
          <t>ARV Energy</t>
        </is>
      </c>
      <c r="C16" s="22">
        <f>COUNTIF(Trips[Consignee],"ARV Energy")</f>
        <v/>
      </c>
      <c r="D16" s="23">
        <f>SUMIF(Trips[Consignee],"ARV Energy",Trips[Demurrage (USD)])</f>
        <v/>
      </c>
      <c r="E16" s="23">
        <f>IFERROR(SUMIF(Trips[Consignee],"ARV Energy",Trips[Demurrage (USD)])/COUNTIF(Trips[Consignee],"ARV Energy"),0)</f>
        <v/>
      </c>
      <c r="F16" s="21" t="n">
        <v>187293</v>
      </c>
      <c r="G16" s="22">
        <f>COUNTIF(Trips[Deal No.],187293)</f>
        <v/>
      </c>
      <c r="H16" s="23">
        <f>SUMIF(Trips[Deal No.],187293,Trips[Demurrage (USD)])</f>
        <v/>
      </c>
      <c r="I16" s="23">
        <f>IFERROR(SUMIF(Trips[Deal No.],187293,Trips[Demurrage (USD)])/COUNTIF(Trips[Deal No.],187293),0)</f>
        <v/>
      </c>
    </row>
    <row r="17">
      <c r="B17" s="24" t="inlineStr">
        <is>
          <t>La Grace De Dieu Avec Nous Sarl</t>
        </is>
      </c>
      <c r="C17" s="25">
        <f>COUNTIF(Trips[Consignee],"La Grace De Dieu Avec Nous Sarl")</f>
        <v/>
      </c>
      <c r="D17" s="26">
        <f>SUMIF(Trips[Consignee],"La Grace De Dieu Avec Nous Sarl",Trips[Demurrage (USD)])</f>
        <v/>
      </c>
      <c r="E17" s="26">
        <f>IFERROR(SUMIF(Trips[Consignee],"La Grace De Dieu Avec Nous Sarl",Trips[Demurrage (USD)])/COUNTIF(Trips[Consignee],"La Grace De Dieu Avec Nous Sarl"),0)</f>
        <v/>
      </c>
      <c r="F17" s="24" t="n">
        <v>190664</v>
      </c>
      <c r="G17" s="25">
        <f>COUNTIF(Trips[Deal No.],190664)</f>
        <v/>
      </c>
      <c r="H17" s="26">
        <f>SUMIF(Trips[Deal No.],190664,Trips[Demurrage (USD)])</f>
        <v/>
      </c>
      <c r="I17" s="26">
        <f>IFERROR(SUMIF(Trips[Deal No.],190664,Trips[Demurrage (USD)])/COUNTIF(Trips[Deal No.],190664),0)</f>
        <v/>
      </c>
    </row>
    <row r="18">
      <c r="B18" s="21" t="inlineStr">
        <is>
          <t>Lake Petroleum Zambia</t>
        </is>
      </c>
      <c r="C18" s="22">
        <f>COUNTIF(Trips[Consignee],"Lake Petroleum Zambia")</f>
        <v/>
      </c>
      <c r="D18" s="23">
        <f>SUMIF(Trips[Consignee],"Lake Petroleum Zambia",Trips[Demurrage (USD)])</f>
        <v/>
      </c>
      <c r="E18" s="23">
        <f>IFERROR(SUMIF(Trips[Consignee],"Lake Petroleum Zambia",Trips[Demurrage (USD)])/COUNTIF(Trips[Consignee],"Lake Petroleum Zambia"),0)</f>
        <v/>
      </c>
      <c r="F18" s="21" t="n">
        <v>187296</v>
      </c>
      <c r="G18" s="22">
        <f>COUNTIF(Trips[Deal No.],187296)</f>
        <v/>
      </c>
      <c r="H18" s="23">
        <f>SUMIF(Trips[Deal No.],187296,Trips[Demurrage (USD)])</f>
        <v/>
      </c>
      <c r="I18" s="23">
        <f>IFERROR(SUMIF(Trips[Deal No.],187296,Trips[Demurrage (USD)])/COUNTIF(Trips[Deal No.],187296),0)</f>
        <v/>
      </c>
    </row>
    <row r="19">
      <c r="B19" s="24" t="inlineStr">
        <is>
          <t>Monaluxe</t>
        </is>
      </c>
      <c r="C19" s="25">
        <f>COUNTIF(Trips[Consignee],"Monaluxe")</f>
        <v/>
      </c>
      <c r="D19" s="26">
        <f>SUMIF(Trips[Consignee],"Monaluxe",Trips[Demurrage (USD)])</f>
        <v/>
      </c>
      <c r="E19" s="26">
        <f>IFERROR(SUMIF(Trips[Consignee],"Monaluxe",Trips[Demurrage (USD)])/COUNTIF(Trips[Consignee],"Monaluxe"),0)</f>
        <v/>
      </c>
      <c r="F19" s="24" t="n">
        <v>184752</v>
      </c>
      <c r="G19" s="25">
        <f>COUNTIF(Trips[Deal No.],184752)</f>
        <v/>
      </c>
      <c r="H19" s="26">
        <f>SUMIF(Trips[Deal No.],184752,Trips[Demurrage (USD)])</f>
        <v/>
      </c>
      <c r="I19" s="26">
        <f>IFERROR(SUMIF(Trips[Deal No.],184752,Trips[Demurrage (USD)])/COUNTIF(Trips[Deal No.],184752),0)</f>
        <v/>
      </c>
    </row>
    <row r="20">
      <c r="B20" s="21" t="inlineStr">
        <is>
          <t>Reliance Energy Zambia</t>
        </is>
      </c>
      <c r="C20" s="22">
        <f>COUNTIF(Trips[Consignee],"Reliance Energy Zambia")</f>
        <v/>
      </c>
      <c r="D20" s="23">
        <f>SUMIF(Trips[Consignee],"Reliance Energy Zambia",Trips[Demurrage (USD)])</f>
        <v/>
      </c>
      <c r="E20" s="23">
        <f>IFERROR(SUMIF(Trips[Consignee],"Reliance Energy Zambia",Trips[Demurrage (USD)])/COUNTIF(Trips[Consignee],"Reliance Energy Zambia"),0)</f>
        <v/>
      </c>
      <c r="F20" s="21" t="n">
        <v>184182</v>
      </c>
      <c r="G20" s="22">
        <f>COUNTIF(Trips[Deal No.],184182)</f>
        <v/>
      </c>
      <c r="H20" s="23">
        <f>SUMIF(Trips[Deal No.],184182,Trips[Demurrage (USD)])</f>
        <v/>
      </c>
      <c r="I20" s="23">
        <f>IFERROR(SUMIF(Trips[Deal No.],184182,Trips[Demurrage (USD)])/COUNTIF(Trips[Deal No.],184182),0)</f>
        <v/>
      </c>
    </row>
    <row r="21">
      <c r="B21" s="24" t="inlineStr">
        <is>
          <t>Rubis Energy Zambia</t>
        </is>
      </c>
      <c r="C21" s="25">
        <f>COUNTIF(Trips[Consignee],"Rubis Energy Zambia")</f>
        <v/>
      </c>
      <c r="D21" s="26">
        <f>SUMIF(Trips[Consignee],"Rubis Energy Zambia",Trips[Demurrage (USD)])</f>
        <v/>
      </c>
      <c r="E21" s="26">
        <f>IFERROR(SUMIF(Trips[Consignee],"Rubis Energy Zambia",Trips[Demurrage (USD)])/COUNTIF(Trips[Consignee],"Rubis Energy Zambia"),0)</f>
        <v/>
      </c>
      <c r="F21" s="24" t="n">
        <v>189084</v>
      </c>
      <c r="G21" s="25">
        <f>COUNTIF(Trips[Deal No.],189084)</f>
        <v/>
      </c>
      <c r="H21" s="26">
        <f>SUMIF(Trips[Deal No.],189084,Trips[Demurrage (USD)])</f>
        <v/>
      </c>
      <c r="I21" s="26">
        <f>IFERROR(SUMIF(Trips[Deal No.],189084,Trips[Demurrage (USD)])/COUNTIF(Trips[Deal No.],189084),0)</f>
        <v/>
      </c>
    </row>
    <row r="22">
      <c r="B22" s="27" t="inlineStr">
        <is>
          <t>TOTAL</t>
        </is>
      </c>
      <c r="C22" s="28">
        <f>ROWS(Trips[Deal No.])</f>
        <v/>
      </c>
      <c r="D22" s="29">
        <f>SUM(Trips[Demurrage (USD)])</f>
        <v/>
      </c>
      <c r="E22" s="29">
        <f>IFERROR(SUM(Trips[Demurrage (USD)])/ROWS(Trips[Deal No.]),0)</f>
        <v/>
      </c>
      <c r="F22" s="21" t="n">
        <v>184834</v>
      </c>
      <c r="G22" s="22">
        <f>COUNTIF(Trips[Deal No.],184834)</f>
        <v/>
      </c>
      <c r="H22" s="23">
        <f>SUMIF(Trips[Deal No.],184834,Trips[Demurrage (USD)])</f>
        <v/>
      </c>
      <c r="I22" s="23">
        <f>IFERROR(SUMIF(Trips[Deal No.],184834,Trips[Demurrage (USD)])/COUNTIF(Trips[Deal No.],184834),0)</f>
        <v/>
      </c>
    </row>
    <row r="23">
      <c r="F23" s="24" t="n">
        <v>190261</v>
      </c>
      <c r="G23" s="25">
        <f>COUNTIF(Trips[Deal No.],190261)</f>
        <v/>
      </c>
      <c r="H23" s="26">
        <f>SUMIF(Trips[Deal No.],190261,Trips[Demurrage (USD)])</f>
        <v/>
      </c>
      <c r="I23" s="26">
        <f>IFERROR(SUMIF(Trips[Deal No.],190261,Trips[Demurrage (USD)])/COUNTIF(Trips[Deal No.],190261),0)</f>
        <v/>
      </c>
    </row>
    <row r="24">
      <c r="F24" s="21" t="n">
        <v>191610</v>
      </c>
      <c r="G24" s="22">
        <f>COUNTIF(Trips[Deal No.],191610)</f>
        <v/>
      </c>
      <c r="H24" s="23">
        <f>SUMIF(Trips[Deal No.],191610,Trips[Demurrage (USD)])</f>
        <v/>
      </c>
      <c r="I24" s="23">
        <f>IFERROR(SUMIF(Trips[Deal No.],191610,Trips[Demurrage (USD)])/COUNTIF(Trips[Deal No.],191610),0)</f>
        <v/>
      </c>
    </row>
    <row r="25" ht="24" customHeight="1">
      <c r="B25" s="18" t="inlineStr">
        <is>
          <t>BY TRANSPORTER</t>
        </is>
      </c>
      <c r="F25" s="27" t="inlineStr">
        <is>
          <t>TOTAL</t>
        </is>
      </c>
      <c r="G25" s="28">
        <f>SUM(G16:G24)</f>
        <v/>
      </c>
      <c r="H25" s="29">
        <f>SUM(H16:H24)</f>
        <v/>
      </c>
      <c r="I25" s="29">
        <f>IFERROR(H25/G25,0)</f>
        <v/>
      </c>
    </row>
    <row r="26" ht="22" customHeight="1">
      <c r="B26" s="19" t="inlineStr">
        <is>
          <t>Transporter</t>
        </is>
      </c>
      <c r="C26" s="20" t="inlineStr">
        <is>
          <t>Trips</t>
        </is>
      </c>
      <c r="D26" s="20" t="inlineStr">
        <is>
          <t>Total Demurrage</t>
        </is>
      </c>
      <c r="E26" s="20" t="inlineStr">
        <is>
          <t>Avg / Trip</t>
        </is>
      </c>
    </row>
    <row r="27">
      <c r="B27" s="21" t="inlineStr">
        <is>
          <t>OASIS</t>
        </is>
      </c>
      <c r="C27" s="22">
        <f>COUNTIF(Trips[Transporter],"OASIS")</f>
        <v/>
      </c>
      <c r="D27" s="23">
        <f>SUMIF(Trips[Transporter],"OASIS",Trips[Demurrage (USD)])</f>
        <v/>
      </c>
      <c r="E27" s="23">
        <f>IFERROR(SUMIF(Trips[Transporter],"OASIS",Trips[Demurrage (USD)])/COUNTIF(Trips[Transporter],"OASIS"),0)</f>
        <v/>
      </c>
    </row>
    <row r="28" ht="24" customHeight="1">
      <c r="B28" s="24" t="inlineStr">
        <is>
          <t>PETRODA</t>
        </is>
      </c>
      <c r="C28" s="25">
        <f>COUNTIF(Trips[Transporter],"PETRODA")</f>
        <v/>
      </c>
      <c r="D28" s="26">
        <f>SUMIF(Trips[Transporter],"PETRODA",Trips[Demurrage (USD)])</f>
        <v/>
      </c>
      <c r="E28" s="26">
        <f>IFERROR(SUMIF(Trips[Transporter],"PETRODA",Trips[Demurrage (USD)])/COUNTIF(Trips[Transporter],"PETRODA"),0)</f>
        <v/>
      </c>
      <c r="F28" s="18" t="inlineStr">
        <is>
          <t>CLAIMS AGING</t>
        </is>
      </c>
    </row>
    <row r="29" ht="22" customHeight="1">
      <c r="B29" s="21" t="inlineStr">
        <is>
          <t>TRANSIR</t>
        </is>
      </c>
      <c r="C29" s="22">
        <f>COUNTIF(Trips[Transporter],"TRANSIR")</f>
        <v/>
      </c>
      <c r="D29" s="23">
        <f>SUMIF(Trips[Transporter],"TRANSIR",Trips[Demurrage (USD)])</f>
        <v/>
      </c>
      <c r="E29" s="23">
        <f>IFERROR(SUMIF(Trips[Transporter],"TRANSIR",Trips[Demurrage (USD)])/COUNTIF(Trips[Transporter],"TRANSIR"),0)</f>
        <v/>
      </c>
      <c r="F29" s="19" t="inlineStr">
        <is>
          <t>Bucket</t>
        </is>
      </c>
      <c r="G29" s="20" t="inlineStr">
        <is>
          <t>Claims</t>
        </is>
      </c>
      <c r="H29" s="20" t="inlineStr">
        <is>
          <t>Amount</t>
        </is>
      </c>
    </row>
    <row r="30">
      <c r="B30" s="24" t="inlineStr">
        <is>
          <t>TRUCKEAZE</t>
        </is>
      </c>
      <c r="C30" s="25">
        <f>COUNTIF(Trips[Transporter],"TRUCKEAZE")</f>
        <v/>
      </c>
      <c r="D30" s="26">
        <f>SUMIF(Trips[Transporter],"TRUCKEAZE",Trips[Demurrage (USD)])</f>
        <v/>
      </c>
      <c r="E30" s="26">
        <f>IFERROR(SUMIF(Trips[Transporter],"TRUCKEAZE",Trips[Demurrage (USD)])/COUNTIF(Trips[Transporter],"TRUCKEAZE"),0)</f>
        <v/>
      </c>
      <c r="F30" s="21" t="inlineStr">
        <is>
          <t>Current (not yet due)</t>
        </is>
      </c>
      <c r="G30" s="22">
        <f>COUNTIF(Claims[Aging],"Current")</f>
        <v/>
      </c>
      <c r="H30" s="23">
        <f>SUMIF(Claims[Aging],"Current",Claims[Amount (USD)])</f>
        <v/>
      </c>
    </row>
    <row r="31">
      <c r="B31" s="21" t="inlineStr">
        <is>
          <t>WHC</t>
        </is>
      </c>
      <c r="C31" s="22">
        <f>COUNTIF(Trips[Transporter],"WHC")</f>
        <v/>
      </c>
      <c r="D31" s="23">
        <f>SUMIF(Trips[Transporter],"WHC",Trips[Demurrage (USD)])</f>
        <v/>
      </c>
      <c r="E31" s="23">
        <f>IFERROR(SUMIF(Trips[Transporter],"WHC",Trips[Demurrage (USD)])/COUNTIF(Trips[Transporter],"WHC"),0)</f>
        <v/>
      </c>
      <c r="F31" s="24" t="inlineStr">
        <is>
          <t>1–30 days overdue</t>
        </is>
      </c>
      <c r="G31" s="25">
        <f>COUNTIF(Claims[Aging],"1-30")</f>
        <v/>
      </c>
      <c r="H31" s="26">
        <f>SUMIF(Claims[Aging],"1-30",Claims[Amount (USD)])</f>
        <v/>
      </c>
    </row>
    <row r="32">
      <c r="B32" s="27" t="inlineStr">
        <is>
          <t>TOTAL</t>
        </is>
      </c>
      <c r="C32" s="28">
        <f>ROWS(Trips[Deal No.])</f>
        <v/>
      </c>
      <c r="D32" s="29">
        <f>SUM(Trips[Demurrage (USD)])</f>
        <v/>
      </c>
      <c r="E32" s="29">
        <f>IFERROR(SUM(Trips[Demurrage (USD)])/ROWS(Trips[Deal No.]),0)</f>
        <v/>
      </c>
      <c r="F32" s="21" t="inlineStr">
        <is>
          <t>31–60 days overdue</t>
        </is>
      </c>
      <c r="G32" s="22">
        <f>COUNTIF(Claims[Aging],"31-60")</f>
        <v/>
      </c>
      <c r="H32" s="23">
        <f>SUMIF(Claims[Aging],"31-60",Claims[Amount (USD)])</f>
        <v/>
      </c>
    </row>
    <row r="33">
      <c r="F33" s="24" t="inlineStr">
        <is>
          <t>60+ days overdue</t>
        </is>
      </c>
      <c r="G33" s="25">
        <f>COUNTIF(Claims[Aging],"60+")</f>
        <v/>
      </c>
      <c r="H33" s="26">
        <f>SUMIF(Claims[Aging],"60+",Claims[Amount (USD)])</f>
        <v/>
      </c>
    </row>
    <row r="34">
      <c r="F34" s="21" t="inlineStr">
        <is>
          <t>Paid</t>
        </is>
      </c>
      <c r="G34" s="22">
        <f>COUNTIF(Claims[Aging],"Paid")</f>
        <v/>
      </c>
      <c r="H34" s="23">
        <f>SUMIF(Claims[Aging],"Paid",Claims[Amount (USD)])</f>
        <v/>
      </c>
    </row>
    <row r="35" ht="24" customHeight="1">
      <c r="B35" s="18" t="inlineStr">
        <is>
          <t>BY MONTH (LOADING)</t>
        </is>
      </c>
      <c r="F35" s="27" t="inlineStr">
        <is>
          <t>TOTAL</t>
        </is>
      </c>
      <c r="G35" s="28">
        <f>ROWS(Claims[Claim No.])</f>
        <v/>
      </c>
      <c r="H35" s="29">
        <f>SUM(Claims[Amount (USD)])</f>
        <v/>
      </c>
    </row>
    <row r="36" ht="22" customHeight="1">
      <c r="B36" s="19" t="inlineStr">
        <is>
          <t>Month</t>
        </is>
      </c>
      <c r="C36" s="20" t="inlineStr">
        <is>
          <t>Trips</t>
        </is>
      </c>
      <c r="D36" s="20" t="inlineStr">
        <is>
          <t>Total Demurrage</t>
        </is>
      </c>
      <c r="E36" s="20" t="inlineStr">
        <is>
          <t>Avg / Trip</t>
        </is>
      </c>
    </row>
    <row r="37">
      <c r="B37" s="21" t="inlineStr">
        <is>
          <t>2025-12</t>
        </is>
      </c>
      <c r="C37" s="22">
        <f>COUNTIF(Trips[Month],"2025-12")</f>
        <v/>
      </c>
      <c r="D37" s="23">
        <f>SUMIF(Trips[Month],"2025-12",Trips[Demurrage (USD)])</f>
        <v/>
      </c>
      <c r="E37" s="23">
        <f>IFERROR(SUMIF(Trips[Month],"2025-12",Trips[Demurrage (USD)])/COUNTIF(Trips[Month],"2025-12"),0)</f>
        <v/>
      </c>
    </row>
    <row r="38">
      <c r="B38" s="24" t="inlineStr">
        <is>
          <t>2026-02</t>
        </is>
      </c>
      <c r="C38" s="25">
        <f>COUNTIF(Trips[Month],"2026-02")</f>
        <v/>
      </c>
      <c r="D38" s="26">
        <f>SUMIF(Trips[Month],"2026-02",Trips[Demurrage (USD)])</f>
        <v/>
      </c>
      <c r="E38" s="26">
        <f>IFERROR(SUMIF(Trips[Month],"2026-02",Trips[Demurrage (USD)])/COUNTIF(Trips[Month],"2026-02"),0)</f>
        <v/>
      </c>
    </row>
    <row r="39">
      <c r="B39" s="21" t="inlineStr">
        <is>
          <t>2026-03</t>
        </is>
      </c>
      <c r="C39" s="22">
        <f>COUNTIF(Trips[Month],"2026-03")</f>
        <v/>
      </c>
      <c r="D39" s="23">
        <f>SUMIF(Trips[Month],"2026-03",Trips[Demurrage (USD)])</f>
        <v/>
      </c>
      <c r="E39" s="23">
        <f>IFERROR(SUMIF(Trips[Month],"2026-03",Trips[Demurrage (USD)])/COUNTIF(Trips[Month],"2026-03"),0)</f>
        <v/>
      </c>
    </row>
    <row r="40">
      <c r="B40" s="24" t="inlineStr">
        <is>
          <t>2026-04</t>
        </is>
      </c>
      <c r="C40" s="25">
        <f>COUNTIF(Trips[Month],"2026-04")</f>
        <v/>
      </c>
      <c r="D40" s="26">
        <f>SUMIF(Trips[Month],"2026-04",Trips[Demurrage (USD)])</f>
        <v/>
      </c>
      <c r="E40" s="26">
        <f>IFERROR(SUMIF(Trips[Month],"2026-04",Trips[Demurrage (USD)])/COUNTIF(Trips[Month],"2026-04"),0)</f>
        <v/>
      </c>
    </row>
    <row r="41">
      <c r="B41" s="21" t="inlineStr">
        <is>
          <t>2026-05</t>
        </is>
      </c>
      <c r="C41" s="22">
        <f>COUNTIF(Trips[Month],"2026-05")</f>
        <v/>
      </c>
      <c r="D41" s="23">
        <f>SUMIF(Trips[Month],"2026-05",Trips[Demurrage (USD)])</f>
        <v/>
      </c>
      <c r="E41" s="23">
        <f>IFERROR(SUMIF(Trips[Month],"2026-05",Trips[Demurrage (USD)])/COUNTIF(Trips[Month],"2026-05"),0)</f>
        <v/>
      </c>
    </row>
    <row r="42">
      <c r="B42" s="27" t="inlineStr">
        <is>
          <t>TOTAL</t>
        </is>
      </c>
      <c r="C42" s="28">
        <f>ROWS(Trips[Deal No.])</f>
        <v/>
      </c>
      <c r="D42" s="29">
        <f>SUM(Trips[Demurrage (USD)])</f>
        <v/>
      </c>
      <c r="E42" s="29">
        <f>IFERROR(SUM(Trips[Demurrage (USD)])/ROWS(Trips[Deal No.]),0)</f>
        <v/>
      </c>
    </row>
  </sheetData>
  <mergeCells count="23">
    <mergeCell ref="D10:E10"/>
    <mergeCell ref="D7:E8"/>
    <mergeCell ref="F10:G10"/>
    <mergeCell ref="H10:I10"/>
    <mergeCell ref="H7:I8"/>
    <mergeCell ref="B3:I3"/>
    <mergeCell ref="F6:G6"/>
    <mergeCell ref="F14:I14"/>
    <mergeCell ref="D6:E6"/>
    <mergeCell ref="H6:I6"/>
    <mergeCell ref="B35:E35"/>
    <mergeCell ref="F28:H28"/>
    <mergeCell ref="B2:I2"/>
    <mergeCell ref="B25:E25"/>
    <mergeCell ref="F11:G12"/>
    <mergeCell ref="B7:C8"/>
    <mergeCell ref="B10:C10"/>
    <mergeCell ref="F7:G8"/>
    <mergeCell ref="B14:E14"/>
    <mergeCell ref="B6:C6"/>
    <mergeCell ref="B11:C12"/>
    <mergeCell ref="D11:E12"/>
    <mergeCell ref="H11:I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2:L72"/>
  <sheetViews>
    <sheetView showGridLines="0" showRowColHeader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16" customWidth="1" min="3" max="3"/>
    <col width="16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16" customWidth="1" min="11" max="11"/>
    <col width="2" customWidth="1" min="12" max="12"/>
  </cols>
  <sheetData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30">
        <f>COMPANY_NAME</f>
        <v/>
      </c>
      <c r="F3" s="1" t="n"/>
      <c r="G3" s="1" t="n"/>
      <c r="H3" s="31" t="inlineStr">
        <is>
          <t>INVOICE</t>
        </is>
      </c>
      <c r="L3" s="1" t="n"/>
    </row>
    <row r="4">
      <c r="A4" s="1" t="n"/>
      <c r="B4" s="32">
        <f>COMPANY_ADDR</f>
        <v/>
      </c>
      <c r="F4" s="1" t="n"/>
      <c r="G4" s="1" t="n"/>
      <c r="H4" s="1" t="n"/>
      <c r="I4" s="1" t="n"/>
      <c r="J4" s="1" t="n"/>
      <c r="K4" s="1" t="n"/>
      <c r="L4" s="1" t="n"/>
    </row>
    <row r="5">
      <c r="A5" s="1" t="n"/>
      <c r="B5" s="32">
        <f>"VAT/TIN: "&amp;COMPANY_VAT&amp;"   •   "&amp;COMPANY_EMAIL&amp;"   •   "&amp;COMPANY_PHONE</f>
        <v/>
      </c>
      <c r="F5" s="1" t="n"/>
      <c r="G5" s="1" t="n"/>
      <c r="H5" s="33">
        <f>COMPANY_TRADING</f>
        <v/>
      </c>
      <c r="L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</row>
    <row r="8" ht="4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10">
      <c r="B10" s="34" t="inlineStr">
        <is>
          <t>CLAIM No.</t>
        </is>
      </c>
      <c r="H10" s="35" t="inlineStr">
        <is>
          <t>Invoice No.</t>
        </is>
      </c>
      <c r="J10" s="36">
        <f>INV_PREFIX &amp; TEXT(INV_NEXT + MATCH($B$11, Claims[Claim No.], 0) - 1, "000")</f>
        <v/>
      </c>
    </row>
    <row r="11">
      <c r="B11" s="37" t="inlineStr">
        <is>
          <t>CLM-2026-001</t>
        </is>
      </c>
      <c r="C11" s="38" t="n"/>
      <c r="H11" s="35" t="inlineStr">
        <is>
          <t>Invoice Date</t>
        </is>
      </c>
      <c r="J11" s="39">
        <f>IFERROR(VLOOKUP($B$11,Claims[#All],2,FALSE),TODAY())</f>
        <v/>
      </c>
    </row>
    <row r="12">
      <c r="H12" s="35" t="inlineStr">
        <is>
          <t>Due Date</t>
        </is>
      </c>
      <c r="J12" s="39">
        <f>IFERROR(VLOOKUP($B$11,Claims[#All],12,FALSE),TODAY()+PAY_TERMS)</f>
        <v/>
      </c>
    </row>
    <row r="13">
      <c r="H13" s="35" t="inlineStr">
        <is>
          <t>Currency</t>
        </is>
      </c>
      <c r="J13" s="36">
        <f>CCY</f>
        <v/>
      </c>
    </row>
    <row r="14">
      <c r="B14" s="40" t="inlineStr">
        <is>
          <t>BILL TO</t>
        </is>
      </c>
      <c r="H14" s="35" t="inlineStr">
        <is>
          <t>Status</t>
        </is>
      </c>
      <c r="J14" s="36">
        <f>IFERROR(VLOOKUP($B$11,Claims[#All],11,FALSE),"")</f>
        <v/>
      </c>
    </row>
    <row r="15">
      <c r="B15" s="41">
        <f>IFERROR(VLOOKUP($B$11,Claims[#All],4,FALSE),"")</f>
        <v/>
      </c>
    </row>
    <row r="16" ht="16" customHeight="1">
      <c r="B16" s="42">
        <f>IFERROR(VLOOKUP($B$11,Claims[#All],5,FALSE),"")</f>
        <v/>
      </c>
    </row>
    <row r="17" ht="16" customHeight="1">
      <c r="H17" s="40" t="inlineStr">
        <is>
          <t>CLAIM REFERENCE</t>
        </is>
      </c>
    </row>
    <row r="18" ht="16" customHeight="1">
      <c r="H18" s="43">
        <f>$B$11</f>
        <v/>
      </c>
    </row>
    <row r="19" ht="16" customHeight="1">
      <c r="H19" s="40" t="inlineStr">
        <is>
          <t>PERIOD</t>
        </is>
      </c>
    </row>
    <row r="20">
      <c r="H20" s="43">
        <f>TEXT(IFERROR(VLOOKUP($B$11,Claims[#All],6,FALSE),""),"dd-mmm-yyyy") &amp;" → "&amp;TEXT(IFERROR(VLOOKUP($B$11,Claims[#All],7,FALSE),""),"dd-mmm-yyyy")</f>
        <v/>
      </c>
    </row>
    <row r="22" ht="24" customHeight="1">
      <c r="B22" s="44">
        <f>"Subject:  Demurrage charges — Deal "&amp;IFERROR(VLOOKUP($B$11,Claims[#All],3,FALSE),"")&amp;" — "&amp;IFERROR(VLOOKUP($B$11,Claims[#All],4,FALSE),"")</f>
        <v/>
      </c>
    </row>
    <row r="25" ht="32" customHeight="1">
      <c r="B25" s="45" t="inlineStr">
        <is>
          <t>#</t>
        </is>
      </c>
      <c r="C25" s="45" t="inlineStr">
        <is>
          <t>Date Loaded</t>
        </is>
      </c>
      <c r="D25" s="45" t="inlineStr">
        <is>
          <t>Truck No.</t>
        </is>
      </c>
      <c r="E25" s="45" t="inlineStr">
        <is>
          <t>Driver</t>
        </is>
      </c>
      <c r="F25" s="45" t="inlineStr">
        <is>
          <t>Waiting (d)</t>
        </is>
      </c>
      <c r="G25" s="45" t="inlineStr">
        <is>
          <t>Laytime (d)</t>
        </is>
      </c>
      <c r="H25" s="45" t="inlineStr">
        <is>
          <t>Excess (d)</t>
        </is>
      </c>
      <c r="I25" s="45" t="inlineStr">
        <is>
          <t>Rate</t>
        </is>
      </c>
      <c r="J25" s="45" t="inlineStr">
        <is>
          <t>Amount (USD)</t>
        </is>
      </c>
    </row>
    <row r="26">
      <c r="B26" s="46">
        <f>IF(J26="","",1)</f>
        <v/>
      </c>
      <c r="C26" s="47">
        <f>IFERROR(INDEX(Trips[Date Loaded],SMALL(IF(Trips[Claim No.]=$B$11,ROW(Trips[Claim No.])-MIN(ROW(Trips[Claim No.]))+1),1)),"")</f>
        <v/>
      </c>
      <c r="D26" s="46">
        <f>IFERROR(INDEX(Trips[Truck No.],SMALL(IF(Trips[Claim No.]=$B$11,ROW(Trips[Claim No.])-MIN(ROW(Trips[Claim No.]))+1),1)),"")</f>
        <v/>
      </c>
      <c r="E26" s="48">
        <f>IFERROR(INDEX(Trips[Driver],SMALL(IF(Trips[Claim No.]=$B$11,ROW(Trips[Claim No.])-MIN(ROW(Trips[Claim No.]))+1),1)),"")</f>
        <v/>
      </c>
      <c r="F26" s="49">
        <f>IFERROR(INDEX(Trips[Waiting (d)],SMALL(IF(Trips[Claim No.]=$B$11,ROW(Trips[Claim No.])-MIN(ROW(Trips[Claim No.]))+1),1)),"")</f>
        <v/>
      </c>
      <c r="G26" s="49">
        <f>IFERROR(INDEX(Trips[Laytime (d)],SMALL(IF(Trips[Claim No.]=$B$11,ROW(Trips[Claim No.])-MIN(ROW(Trips[Claim No.]))+1),1)),"")</f>
        <v/>
      </c>
      <c r="H26" s="49">
        <f>IFERROR(INDEX(Trips[Excess (d)],SMALL(IF(Trips[Claim No.]=$B$11,ROW(Trips[Claim No.])-MIN(ROW(Trips[Claim No.]))+1),1)),"")</f>
        <v/>
      </c>
      <c r="I26" s="50">
        <f>IFERROR(INDEX(Trips[Rate (USD)],SMALL(IF(Trips[Claim No.]=$B$11,ROW(Trips[Claim No.])-MIN(ROW(Trips[Claim No.]))+1),1)),"")</f>
        <v/>
      </c>
      <c r="J26" s="50">
        <f>IFERROR(INDEX(Trips[Demurrage (USD)],SMALL(IF(Trips[Claim No.]=$B$11,ROW(Trips[Claim No.])-MIN(ROW(Trips[Claim No.]))+1),1)),"")</f>
        <v/>
      </c>
    </row>
    <row r="27">
      <c r="B27" s="51">
        <f>IF(J27="","",2)</f>
        <v/>
      </c>
      <c r="C27" s="52">
        <f>IFERROR(INDEX(Trips[Date Loaded],SMALL(IF(Trips[Claim No.]=$B$11,ROW(Trips[Claim No.])-MIN(ROW(Trips[Claim No.]))+1),2)),"")</f>
        <v/>
      </c>
      <c r="D27" s="51">
        <f>IFERROR(INDEX(Trips[Truck No.],SMALL(IF(Trips[Claim No.]=$B$11,ROW(Trips[Claim No.])-MIN(ROW(Trips[Claim No.]))+1),2)),"")</f>
        <v/>
      </c>
      <c r="E27" s="53">
        <f>IFERROR(INDEX(Trips[Driver],SMALL(IF(Trips[Claim No.]=$B$11,ROW(Trips[Claim No.])-MIN(ROW(Trips[Claim No.]))+1),2)),"")</f>
        <v/>
      </c>
      <c r="F27" s="54">
        <f>IFERROR(INDEX(Trips[Waiting (d)],SMALL(IF(Trips[Claim No.]=$B$11,ROW(Trips[Claim No.])-MIN(ROW(Trips[Claim No.]))+1),2)),"")</f>
        <v/>
      </c>
      <c r="G27" s="54">
        <f>IFERROR(INDEX(Trips[Laytime (d)],SMALL(IF(Trips[Claim No.]=$B$11,ROW(Trips[Claim No.])-MIN(ROW(Trips[Claim No.]))+1),2)),"")</f>
        <v/>
      </c>
      <c r="H27" s="54">
        <f>IFERROR(INDEX(Trips[Excess (d)],SMALL(IF(Trips[Claim No.]=$B$11,ROW(Trips[Claim No.])-MIN(ROW(Trips[Claim No.]))+1),2)),"")</f>
        <v/>
      </c>
      <c r="I27" s="55">
        <f>IFERROR(INDEX(Trips[Rate (USD)],SMALL(IF(Trips[Claim No.]=$B$11,ROW(Trips[Claim No.])-MIN(ROW(Trips[Claim No.]))+1),2)),"")</f>
        <v/>
      </c>
      <c r="J27" s="55">
        <f>IFERROR(INDEX(Trips[Demurrage (USD)],SMALL(IF(Trips[Claim No.]=$B$11,ROW(Trips[Claim No.])-MIN(ROW(Trips[Claim No.]))+1),2)),"")</f>
        <v/>
      </c>
    </row>
    <row r="28">
      <c r="B28" s="46">
        <f>IF(J28="","",3)</f>
        <v/>
      </c>
      <c r="C28" s="47">
        <f>IFERROR(INDEX(Trips[Date Loaded],SMALL(IF(Trips[Claim No.]=$B$11,ROW(Trips[Claim No.])-MIN(ROW(Trips[Claim No.]))+1),3)),"")</f>
        <v/>
      </c>
      <c r="D28" s="46">
        <f>IFERROR(INDEX(Trips[Truck No.],SMALL(IF(Trips[Claim No.]=$B$11,ROW(Trips[Claim No.])-MIN(ROW(Trips[Claim No.]))+1),3)),"")</f>
        <v/>
      </c>
      <c r="E28" s="48">
        <f>IFERROR(INDEX(Trips[Driver],SMALL(IF(Trips[Claim No.]=$B$11,ROW(Trips[Claim No.])-MIN(ROW(Trips[Claim No.]))+1),3)),"")</f>
        <v/>
      </c>
      <c r="F28" s="49">
        <f>IFERROR(INDEX(Trips[Waiting (d)],SMALL(IF(Trips[Claim No.]=$B$11,ROW(Trips[Claim No.])-MIN(ROW(Trips[Claim No.]))+1),3)),"")</f>
        <v/>
      </c>
      <c r="G28" s="49">
        <f>IFERROR(INDEX(Trips[Laytime (d)],SMALL(IF(Trips[Claim No.]=$B$11,ROW(Trips[Claim No.])-MIN(ROW(Trips[Claim No.]))+1),3)),"")</f>
        <v/>
      </c>
      <c r="H28" s="49">
        <f>IFERROR(INDEX(Trips[Excess (d)],SMALL(IF(Trips[Claim No.]=$B$11,ROW(Trips[Claim No.])-MIN(ROW(Trips[Claim No.]))+1),3)),"")</f>
        <v/>
      </c>
      <c r="I28" s="50">
        <f>IFERROR(INDEX(Trips[Rate (USD)],SMALL(IF(Trips[Claim No.]=$B$11,ROW(Trips[Claim No.])-MIN(ROW(Trips[Claim No.]))+1),3)),"")</f>
        <v/>
      </c>
      <c r="J28" s="50">
        <f>IFERROR(INDEX(Trips[Demurrage (USD)],SMALL(IF(Trips[Claim No.]=$B$11,ROW(Trips[Claim No.])-MIN(ROW(Trips[Claim No.]))+1),3)),"")</f>
        <v/>
      </c>
    </row>
    <row r="29">
      <c r="B29" s="51">
        <f>IF(J29="","",4)</f>
        <v/>
      </c>
      <c r="C29" s="52">
        <f>IFERROR(INDEX(Trips[Date Loaded],SMALL(IF(Trips[Claim No.]=$B$11,ROW(Trips[Claim No.])-MIN(ROW(Trips[Claim No.]))+1),4)),"")</f>
        <v/>
      </c>
      <c r="D29" s="51">
        <f>IFERROR(INDEX(Trips[Truck No.],SMALL(IF(Trips[Claim No.]=$B$11,ROW(Trips[Claim No.])-MIN(ROW(Trips[Claim No.]))+1),4)),"")</f>
        <v/>
      </c>
      <c r="E29" s="53">
        <f>IFERROR(INDEX(Trips[Driver],SMALL(IF(Trips[Claim No.]=$B$11,ROW(Trips[Claim No.])-MIN(ROW(Trips[Claim No.]))+1),4)),"")</f>
        <v/>
      </c>
      <c r="F29" s="54">
        <f>IFERROR(INDEX(Trips[Waiting (d)],SMALL(IF(Trips[Claim No.]=$B$11,ROW(Trips[Claim No.])-MIN(ROW(Trips[Claim No.]))+1),4)),"")</f>
        <v/>
      </c>
      <c r="G29" s="54">
        <f>IFERROR(INDEX(Trips[Laytime (d)],SMALL(IF(Trips[Claim No.]=$B$11,ROW(Trips[Claim No.])-MIN(ROW(Trips[Claim No.]))+1),4)),"")</f>
        <v/>
      </c>
      <c r="H29" s="54">
        <f>IFERROR(INDEX(Trips[Excess (d)],SMALL(IF(Trips[Claim No.]=$B$11,ROW(Trips[Claim No.])-MIN(ROW(Trips[Claim No.]))+1),4)),"")</f>
        <v/>
      </c>
      <c r="I29" s="55">
        <f>IFERROR(INDEX(Trips[Rate (USD)],SMALL(IF(Trips[Claim No.]=$B$11,ROW(Trips[Claim No.])-MIN(ROW(Trips[Claim No.]))+1),4)),"")</f>
        <v/>
      </c>
      <c r="J29" s="55">
        <f>IFERROR(INDEX(Trips[Demurrage (USD)],SMALL(IF(Trips[Claim No.]=$B$11,ROW(Trips[Claim No.])-MIN(ROW(Trips[Claim No.]))+1),4)),"")</f>
        <v/>
      </c>
    </row>
    <row r="30">
      <c r="B30" s="46">
        <f>IF(J30="","",5)</f>
        <v/>
      </c>
      <c r="C30" s="47">
        <f>IFERROR(INDEX(Trips[Date Loaded],SMALL(IF(Trips[Claim No.]=$B$11,ROW(Trips[Claim No.])-MIN(ROW(Trips[Claim No.]))+1),5)),"")</f>
        <v/>
      </c>
      <c r="D30" s="46">
        <f>IFERROR(INDEX(Trips[Truck No.],SMALL(IF(Trips[Claim No.]=$B$11,ROW(Trips[Claim No.])-MIN(ROW(Trips[Claim No.]))+1),5)),"")</f>
        <v/>
      </c>
      <c r="E30" s="48">
        <f>IFERROR(INDEX(Trips[Driver],SMALL(IF(Trips[Claim No.]=$B$11,ROW(Trips[Claim No.])-MIN(ROW(Trips[Claim No.]))+1),5)),"")</f>
        <v/>
      </c>
      <c r="F30" s="49">
        <f>IFERROR(INDEX(Trips[Waiting (d)],SMALL(IF(Trips[Claim No.]=$B$11,ROW(Trips[Claim No.])-MIN(ROW(Trips[Claim No.]))+1),5)),"")</f>
        <v/>
      </c>
      <c r="G30" s="49">
        <f>IFERROR(INDEX(Trips[Laytime (d)],SMALL(IF(Trips[Claim No.]=$B$11,ROW(Trips[Claim No.])-MIN(ROW(Trips[Claim No.]))+1),5)),"")</f>
        <v/>
      </c>
      <c r="H30" s="49">
        <f>IFERROR(INDEX(Trips[Excess (d)],SMALL(IF(Trips[Claim No.]=$B$11,ROW(Trips[Claim No.])-MIN(ROW(Trips[Claim No.]))+1),5)),"")</f>
        <v/>
      </c>
      <c r="I30" s="50">
        <f>IFERROR(INDEX(Trips[Rate (USD)],SMALL(IF(Trips[Claim No.]=$B$11,ROW(Trips[Claim No.])-MIN(ROW(Trips[Claim No.]))+1),5)),"")</f>
        <v/>
      </c>
      <c r="J30" s="50">
        <f>IFERROR(INDEX(Trips[Demurrage (USD)],SMALL(IF(Trips[Claim No.]=$B$11,ROW(Trips[Claim No.])-MIN(ROW(Trips[Claim No.]))+1),5)),"")</f>
        <v/>
      </c>
    </row>
    <row r="31">
      <c r="B31" s="51">
        <f>IF(J31="","",6)</f>
        <v/>
      </c>
      <c r="C31" s="52">
        <f>IFERROR(INDEX(Trips[Date Loaded],SMALL(IF(Trips[Claim No.]=$B$11,ROW(Trips[Claim No.])-MIN(ROW(Trips[Claim No.]))+1),6)),"")</f>
        <v/>
      </c>
      <c r="D31" s="51">
        <f>IFERROR(INDEX(Trips[Truck No.],SMALL(IF(Trips[Claim No.]=$B$11,ROW(Trips[Claim No.])-MIN(ROW(Trips[Claim No.]))+1),6)),"")</f>
        <v/>
      </c>
      <c r="E31" s="53">
        <f>IFERROR(INDEX(Trips[Driver],SMALL(IF(Trips[Claim No.]=$B$11,ROW(Trips[Claim No.])-MIN(ROW(Trips[Claim No.]))+1),6)),"")</f>
        <v/>
      </c>
      <c r="F31" s="54">
        <f>IFERROR(INDEX(Trips[Waiting (d)],SMALL(IF(Trips[Claim No.]=$B$11,ROW(Trips[Claim No.])-MIN(ROW(Trips[Claim No.]))+1),6)),"")</f>
        <v/>
      </c>
      <c r="G31" s="54">
        <f>IFERROR(INDEX(Trips[Laytime (d)],SMALL(IF(Trips[Claim No.]=$B$11,ROW(Trips[Claim No.])-MIN(ROW(Trips[Claim No.]))+1),6)),"")</f>
        <v/>
      </c>
      <c r="H31" s="54">
        <f>IFERROR(INDEX(Trips[Excess (d)],SMALL(IF(Trips[Claim No.]=$B$11,ROW(Trips[Claim No.])-MIN(ROW(Trips[Claim No.]))+1),6)),"")</f>
        <v/>
      </c>
      <c r="I31" s="55">
        <f>IFERROR(INDEX(Trips[Rate (USD)],SMALL(IF(Trips[Claim No.]=$B$11,ROW(Trips[Claim No.])-MIN(ROW(Trips[Claim No.]))+1),6)),"")</f>
        <v/>
      </c>
      <c r="J31" s="55">
        <f>IFERROR(INDEX(Trips[Demurrage (USD)],SMALL(IF(Trips[Claim No.]=$B$11,ROW(Trips[Claim No.])-MIN(ROW(Trips[Claim No.]))+1),6)),"")</f>
        <v/>
      </c>
    </row>
    <row r="32">
      <c r="B32" s="46">
        <f>IF(J32="","",7)</f>
        <v/>
      </c>
      <c r="C32" s="47">
        <f>IFERROR(INDEX(Trips[Date Loaded],SMALL(IF(Trips[Claim No.]=$B$11,ROW(Trips[Claim No.])-MIN(ROW(Trips[Claim No.]))+1),7)),"")</f>
        <v/>
      </c>
      <c r="D32" s="46">
        <f>IFERROR(INDEX(Trips[Truck No.],SMALL(IF(Trips[Claim No.]=$B$11,ROW(Trips[Claim No.])-MIN(ROW(Trips[Claim No.]))+1),7)),"")</f>
        <v/>
      </c>
      <c r="E32" s="48">
        <f>IFERROR(INDEX(Trips[Driver],SMALL(IF(Trips[Claim No.]=$B$11,ROW(Trips[Claim No.])-MIN(ROW(Trips[Claim No.]))+1),7)),"")</f>
        <v/>
      </c>
      <c r="F32" s="49">
        <f>IFERROR(INDEX(Trips[Waiting (d)],SMALL(IF(Trips[Claim No.]=$B$11,ROW(Trips[Claim No.])-MIN(ROW(Trips[Claim No.]))+1),7)),"")</f>
        <v/>
      </c>
      <c r="G32" s="49">
        <f>IFERROR(INDEX(Trips[Laytime (d)],SMALL(IF(Trips[Claim No.]=$B$11,ROW(Trips[Claim No.])-MIN(ROW(Trips[Claim No.]))+1),7)),"")</f>
        <v/>
      </c>
      <c r="H32" s="49">
        <f>IFERROR(INDEX(Trips[Excess (d)],SMALL(IF(Trips[Claim No.]=$B$11,ROW(Trips[Claim No.])-MIN(ROW(Trips[Claim No.]))+1),7)),"")</f>
        <v/>
      </c>
      <c r="I32" s="50">
        <f>IFERROR(INDEX(Trips[Rate (USD)],SMALL(IF(Trips[Claim No.]=$B$11,ROW(Trips[Claim No.])-MIN(ROW(Trips[Claim No.]))+1),7)),"")</f>
        <v/>
      </c>
      <c r="J32" s="50">
        <f>IFERROR(INDEX(Trips[Demurrage (USD)],SMALL(IF(Trips[Claim No.]=$B$11,ROW(Trips[Claim No.])-MIN(ROW(Trips[Claim No.]))+1),7)),"")</f>
        <v/>
      </c>
    </row>
    <row r="33">
      <c r="B33" s="51">
        <f>IF(J33="","",8)</f>
        <v/>
      </c>
      <c r="C33" s="52">
        <f>IFERROR(INDEX(Trips[Date Loaded],SMALL(IF(Trips[Claim No.]=$B$11,ROW(Trips[Claim No.])-MIN(ROW(Trips[Claim No.]))+1),8)),"")</f>
        <v/>
      </c>
      <c r="D33" s="51">
        <f>IFERROR(INDEX(Trips[Truck No.],SMALL(IF(Trips[Claim No.]=$B$11,ROW(Trips[Claim No.])-MIN(ROW(Trips[Claim No.]))+1),8)),"")</f>
        <v/>
      </c>
      <c r="E33" s="53">
        <f>IFERROR(INDEX(Trips[Driver],SMALL(IF(Trips[Claim No.]=$B$11,ROW(Trips[Claim No.])-MIN(ROW(Trips[Claim No.]))+1),8)),"")</f>
        <v/>
      </c>
      <c r="F33" s="54">
        <f>IFERROR(INDEX(Trips[Waiting (d)],SMALL(IF(Trips[Claim No.]=$B$11,ROW(Trips[Claim No.])-MIN(ROW(Trips[Claim No.]))+1),8)),"")</f>
        <v/>
      </c>
      <c r="G33" s="54">
        <f>IFERROR(INDEX(Trips[Laytime (d)],SMALL(IF(Trips[Claim No.]=$B$11,ROW(Trips[Claim No.])-MIN(ROW(Trips[Claim No.]))+1),8)),"")</f>
        <v/>
      </c>
      <c r="H33" s="54">
        <f>IFERROR(INDEX(Trips[Excess (d)],SMALL(IF(Trips[Claim No.]=$B$11,ROW(Trips[Claim No.])-MIN(ROW(Trips[Claim No.]))+1),8)),"")</f>
        <v/>
      </c>
      <c r="I33" s="55">
        <f>IFERROR(INDEX(Trips[Rate (USD)],SMALL(IF(Trips[Claim No.]=$B$11,ROW(Trips[Claim No.])-MIN(ROW(Trips[Claim No.]))+1),8)),"")</f>
        <v/>
      </c>
      <c r="J33" s="55">
        <f>IFERROR(INDEX(Trips[Demurrage (USD)],SMALL(IF(Trips[Claim No.]=$B$11,ROW(Trips[Claim No.])-MIN(ROW(Trips[Claim No.]))+1),8)),"")</f>
        <v/>
      </c>
    </row>
    <row r="34">
      <c r="B34" s="46">
        <f>IF(J34="","",9)</f>
        <v/>
      </c>
      <c r="C34" s="47">
        <f>IFERROR(INDEX(Trips[Date Loaded],SMALL(IF(Trips[Claim No.]=$B$11,ROW(Trips[Claim No.])-MIN(ROW(Trips[Claim No.]))+1),9)),"")</f>
        <v/>
      </c>
      <c r="D34" s="46">
        <f>IFERROR(INDEX(Trips[Truck No.],SMALL(IF(Trips[Claim No.]=$B$11,ROW(Trips[Claim No.])-MIN(ROW(Trips[Claim No.]))+1),9)),"")</f>
        <v/>
      </c>
      <c r="E34" s="48">
        <f>IFERROR(INDEX(Trips[Driver],SMALL(IF(Trips[Claim No.]=$B$11,ROW(Trips[Claim No.])-MIN(ROW(Trips[Claim No.]))+1),9)),"")</f>
        <v/>
      </c>
      <c r="F34" s="49">
        <f>IFERROR(INDEX(Trips[Waiting (d)],SMALL(IF(Trips[Claim No.]=$B$11,ROW(Trips[Claim No.])-MIN(ROW(Trips[Claim No.]))+1),9)),"")</f>
        <v/>
      </c>
      <c r="G34" s="49">
        <f>IFERROR(INDEX(Trips[Laytime (d)],SMALL(IF(Trips[Claim No.]=$B$11,ROW(Trips[Claim No.])-MIN(ROW(Trips[Claim No.]))+1),9)),"")</f>
        <v/>
      </c>
      <c r="H34" s="49">
        <f>IFERROR(INDEX(Trips[Excess (d)],SMALL(IF(Trips[Claim No.]=$B$11,ROW(Trips[Claim No.])-MIN(ROW(Trips[Claim No.]))+1),9)),"")</f>
        <v/>
      </c>
      <c r="I34" s="50">
        <f>IFERROR(INDEX(Trips[Rate (USD)],SMALL(IF(Trips[Claim No.]=$B$11,ROW(Trips[Claim No.])-MIN(ROW(Trips[Claim No.]))+1),9)),"")</f>
        <v/>
      </c>
      <c r="J34" s="50">
        <f>IFERROR(INDEX(Trips[Demurrage (USD)],SMALL(IF(Trips[Claim No.]=$B$11,ROW(Trips[Claim No.])-MIN(ROW(Trips[Claim No.]))+1),9)),"")</f>
        <v/>
      </c>
    </row>
    <row r="35">
      <c r="B35" s="51">
        <f>IF(J35="","",10)</f>
        <v/>
      </c>
      <c r="C35" s="52">
        <f>IFERROR(INDEX(Trips[Date Loaded],SMALL(IF(Trips[Claim No.]=$B$11,ROW(Trips[Claim No.])-MIN(ROW(Trips[Claim No.]))+1),10)),"")</f>
        <v/>
      </c>
      <c r="D35" s="51">
        <f>IFERROR(INDEX(Trips[Truck No.],SMALL(IF(Trips[Claim No.]=$B$11,ROW(Trips[Claim No.])-MIN(ROW(Trips[Claim No.]))+1),10)),"")</f>
        <v/>
      </c>
      <c r="E35" s="53">
        <f>IFERROR(INDEX(Trips[Driver],SMALL(IF(Trips[Claim No.]=$B$11,ROW(Trips[Claim No.])-MIN(ROW(Trips[Claim No.]))+1),10)),"")</f>
        <v/>
      </c>
      <c r="F35" s="54">
        <f>IFERROR(INDEX(Trips[Waiting (d)],SMALL(IF(Trips[Claim No.]=$B$11,ROW(Trips[Claim No.])-MIN(ROW(Trips[Claim No.]))+1),10)),"")</f>
        <v/>
      </c>
      <c r="G35" s="54">
        <f>IFERROR(INDEX(Trips[Laytime (d)],SMALL(IF(Trips[Claim No.]=$B$11,ROW(Trips[Claim No.])-MIN(ROW(Trips[Claim No.]))+1),10)),"")</f>
        <v/>
      </c>
      <c r="H35" s="54">
        <f>IFERROR(INDEX(Trips[Excess (d)],SMALL(IF(Trips[Claim No.]=$B$11,ROW(Trips[Claim No.])-MIN(ROW(Trips[Claim No.]))+1),10)),"")</f>
        <v/>
      </c>
      <c r="I35" s="55">
        <f>IFERROR(INDEX(Trips[Rate (USD)],SMALL(IF(Trips[Claim No.]=$B$11,ROW(Trips[Claim No.])-MIN(ROW(Trips[Claim No.]))+1),10)),"")</f>
        <v/>
      </c>
      <c r="J35" s="55">
        <f>IFERROR(INDEX(Trips[Demurrage (USD)],SMALL(IF(Trips[Claim No.]=$B$11,ROW(Trips[Claim No.])-MIN(ROW(Trips[Claim No.]))+1),10)),"")</f>
        <v/>
      </c>
    </row>
    <row r="36">
      <c r="B36" s="46">
        <f>IF(J36="","",11)</f>
        <v/>
      </c>
      <c r="C36" s="47">
        <f>IFERROR(INDEX(Trips[Date Loaded],SMALL(IF(Trips[Claim No.]=$B$11,ROW(Trips[Claim No.])-MIN(ROW(Trips[Claim No.]))+1),11)),"")</f>
        <v/>
      </c>
      <c r="D36" s="46">
        <f>IFERROR(INDEX(Trips[Truck No.],SMALL(IF(Trips[Claim No.]=$B$11,ROW(Trips[Claim No.])-MIN(ROW(Trips[Claim No.]))+1),11)),"")</f>
        <v/>
      </c>
      <c r="E36" s="48">
        <f>IFERROR(INDEX(Trips[Driver],SMALL(IF(Trips[Claim No.]=$B$11,ROW(Trips[Claim No.])-MIN(ROW(Trips[Claim No.]))+1),11)),"")</f>
        <v/>
      </c>
      <c r="F36" s="49">
        <f>IFERROR(INDEX(Trips[Waiting (d)],SMALL(IF(Trips[Claim No.]=$B$11,ROW(Trips[Claim No.])-MIN(ROW(Trips[Claim No.]))+1),11)),"")</f>
        <v/>
      </c>
      <c r="G36" s="49">
        <f>IFERROR(INDEX(Trips[Laytime (d)],SMALL(IF(Trips[Claim No.]=$B$11,ROW(Trips[Claim No.])-MIN(ROW(Trips[Claim No.]))+1),11)),"")</f>
        <v/>
      </c>
      <c r="H36" s="49">
        <f>IFERROR(INDEX(Trips[Excess (d)],SMALL(IF(Trips[Claim No.]=$B$11,ROW(Trips[Claim No.])-MIN(ROW(Trips[Claim No.]))+1),11)),"")</f>
        <v/>
      </c>
      <c r="I36" s="50">
        <f>IFERROR(INDEX(Trips[Rate (USD)],SMALL(IF(Trips[Claim No.]=$B$11,ROW(Trips[Claim No.])-MIN(ROW(Trips[Claim No.]))+1),11)),"")</f>
        <v/>
      </c>
      <c r="J36" s="50">
        <f>IFERROR(INDEX(Trips[Demurrage (USD)],SMALL(IF(Trips[Claim No.]=$B$11,ROW(Trips[Claim No.])-MIN(ROW(Trips[Claim No.]))+1),11)),"")</f>
        <v/>
      </c>
    </row>
    <row r="37">
      <c r="B37" s="51">
        <f>IF(J37="","",12)</f>
        <v/>
      </c>
      <c r="C37" s="52">
        <f>IFERROR(INDEX(Trips[Date Loaded],SMALL(IF(Trips[Claim No.]=$B$11,ROW(Trips[Claim No.])-MIN(ROW(Trips[Claim No.]))+1),12)),"")</f>
        <v/>
      </c>
      <c r="D37" s="51">
        <f>IFERROR(INDEX(Trips[Truck No.],SMALL(IF(Trips[Claim No.]=$B$11,ROW(Trips[Claim No.])-MIN(ROW(Trips[Claim No.]))+1),12)),"")</f>
        <v/>
      </c>
      <c r="E37" s="53">
        <f>IFERROR(INDEX(Trips[Driver],SMALL(IF(Trips[Claim No.]=$B$11,ROW(Trips[Claim No.])-MIN(ROW(Trips[Claim No.]))+1),12)),"")</f>
        <v/>
      </c>
      <c r="F37" s="54">
        <f>IFERROR(INDEX(Trips[Waiting (d)],SMALL(IF(Trips[Claim No.]=$B$11,ROW(Trips[Claim No.])-MIN(ROW(Trips[Claim No.]))+1),12)),"")</f>
        <v/>
      </c>
      <c r="G37" s="54">
        <f>IFERROR(INDEX(Trips[Laytime (d)],SMALL(IF(Trips[Claim No.]=$B$11,ROW(Trips[Claim No.])-MIN(ROW(Trips[Claim No.]))+1),12)),"")</f>
        <v/>
      </c>
      <c r="H37" s="54">
        <f>IFERROR(INDEX(Trips[Excess (d)],SMALL(IF(Trips[Claim No.]=$B$11,ROW(Trips[Claim No.])-MIN(ROW(Trips[Claim No.]))+1),12)),"")</f>
        <v/>
      </c>
      <c r="I37" s="55">
        <f>IFERROR(INDEX(Trips[Rate (USD)],SMALL(IF(Trips[Claim No.]=$B$11,ROW(Trips[Claim No.])-MIN(ROW(Trips[Claim No.]))+1),12)),"")</f>
        <v/>
      </c>
      <c r="J37" s="55">
        <f>IFERROR(INDEX(Trips[Demurrage (USD)],SMALL(IF(Trips[Claim No.]=$B$11,ROW(Trips[Claim No.])-MIN(ROW(Trips[Claim No.]))+1),12)),"")</f>
        <v/>
      </c>
    </row>
    <row r="38">
      <c r="B38" s="46">
        <f>IF(J38="","",13)</f>
        <v/>
      </c>
      <c r="C38" s="47">
        <f>IFERROR(INDEX(Trips[Date Loaded],SMALL(IF(Trips[Claim No.]=$B$11,ROW(Trips[Claim No.])-MIN(ROW(Trips[Claim No.]))+1),13)),"")</f>
        <v/>
      </c>
      <c r="D38" s="46">
        <f>IFERROR(INDEX(Trips[Truck No.],SMALL(IF(Trips[Claim No.]=$B$11,ROW(Trips[Claim No.])-MIN(ROW(Trips[Claim No.]))+1),13)),"")</f>
        <v/>
      </c>
      <c r="E38" s="48">
        <f>IFERROR(INDEX(Trips[Driver],SMALL(IF(Trips[Claim No.]=$B$11,ROW(Trips[Claim No.])-MIN(ROW(Trips[Claim No.]))+1),13)),"")</f>
        <v/>
      </c>
      <c r="F38" s="49">
        <f>IFERROR(INDEX(Trips[Waiting (d)],SMALL(IF(Trips[Claim No.]=$B$11,ROW(Trips[Claim No.])-MIN(ROW(Trips[Claim No.]))+1),13)),"")</f>
        <v/>
      </c>
      <c r="G38" s="49">
        <f>IFERROR(INDEX(Trips[Laytime (d)],SMALL(IF(Trips[Claim No.]=$B$11,ROW(Trips[Claim No.])-MIN(ROW(Trips[Claim No.]))+1),13)),"")</f>
        <v/>
      </c>
      <c r="H38" s="49">
        <f>IFERROR(INDEX(Trips[Excess (d)],SMALL(IF(Trips[Claim No.]=$B$11,ROW(Trips[Claim No.])-MIN(ROW(Trips[Claim No.]))+1),13)),"")</f>
        <v/>
      </c>
      <c r="I38" s="50">
        <f>IFERROR(INDEX(Trips[Rate (USD)],SMALL(IF(Trips[Claim No.]=$B$11,ROW(Trips[Claim No.])-MIN(ROW(Trips[Claim No.]))+1),13)),"")</f>
        <v/>
      </c>
      <c r="J38" s="50">
        <f>IFERROR(INDEX(Trips[Demurrage (USD)],SMALL(IF(Trips[Claim No.]=$B$11,ROW(Trips[Claim No.])-MIN(ROW(Trips[Claim No.]))+1),13)),"")</f>
        <v/>
      </c>
    </row>
    <row r="39">
      <c r="B39" s="51">
        <f>IF(J39="","",14)</f>
        <v/>
      </c>
      <c r="C39" s="52">
        <f>IFERROR(INDEX(Trips[Date Loaded],SMALL(IF(Trips[Claim No.]=$B$11,ROW(Trips[Claim No.])-MIN(ROW(Trips[Claim No.]))+1),14)),"")</f>
        <v/>
      </c>
      <c r="D39" s="51">
        <f>IFERROR(INDEX(Trips[Truck No.],SMALL(IF(Trips[Claim No.]=$B$11,ROW(Trips[Claim No.])-MIN(ROW(Trips[Claim No.]))+1),14)),"")</f>
        <v/>
      </c>
      <c r="E39" s="53">
        <f>IFERROR(INDEX(Trips[Driver],SMALL(IF(Trips[Claim No.]=$B$11,ROW(Trips[Claim No.])-MIN(ROW(Trips[Claim No.]))+1),14)),"")</f>
        <v/>
      </c>
      <c r="F39" s="54">
        <f>IFERROR(INDEX(Trips[Waiting (d)],SMALL(IF(Trips[Claim No.]=$B$11,ROW(Trips[Claim No.])-MIN(ROW(Trips[Claim No.]))+1),14)),"")</f>
        <v/>
      </c>
      <c r="G39" s="54">
        <f>IFERROR(INDEX(Trips[Laytime (d)],SMALL(IF(Trips[Claim No.]=$B$11,ROW(Trips[Claim No.])-MIN(ROW(Trips[Claim No.]))+1),14)),"")</f>
        <v/>
      </c>
      <c r="H39" s="54">
        <f>IFERROR(INDEX(Trips[Excess (d)],SMALL(IF(Trips[Claim No.]=$B$11,ROW(Trips[Claim No.])-MIN(ROW(Trips[Claim No.]))+1),14)),"")</f>
        <v/>
      </c>
      <c r="I39" s="55">
        <f>IFERROR(INDEX(Trips[Rate (USD)],SMALL(IF(Trips[Claim No.]=$B$11,ROW(Trips[Claim No.])-MIN(ROW(Trips[Claim No.]))+1),14)),"")</f>
        <v/>
      </c>
      <c r="J39" s="55">
        <f>IFERROR(INDEX(Trips[Demurrage (USD)],SMALL(IF(Trips[Claim No.]=$B$11,ROW(Trips[Claim No.])-MIN(ROW(Trips[Claim No.]))+1),14)),"")</f>
        <v/>
      </c>
    </row>
    <row r="40">
      <c r="B40" s="46">
        <f>IF(J40="","",15)</f>
        <v/>
      </c>
      <c r="C40" s="47">
        <f>IFERROR(INDEX(Trips[Date Loaded],SMALL(IF(Trips[Claim No.]=$B$11,ROW(Trips[Claim No.])-MIN(ROW(Trips[Claim No.]))+1),15)),"")</f>
        <v/>
      </c>
      <c r="D40" s="46">
        <f>IFERROR(INDEX(Trips[Truck No.],SMALL(IF(Trips[Claim No.]=$B$11,ROW(Trips[Claim No.])-MIN(ROW(Trips[Claim No.]))+1),15)),"")</f>
        <v/>
      </c>
      <c r="E40" s="48">
        <f>IFERROR(INDEX(Trips[Driver],SMALL(IF(Trips[Claim No.]=$B$11,ROW(Trips[Claim No.])-MIN(ROW(Trips[Claim No.]))+1),15)),"")</f>
        <v/>
      </c>
      <c r="F40" s="49">
        <f>IFERROR(INDEX(Trips[Waiting (d)],SMALL(IF(Trips[Claim No.]=$B$11,ROW(Trips[Claim No.])-MIN(ROW(Trips[Claim No.]))+1),15)),"")</f>
        <v/>
      </c>
      <c r="G40" s="49">
        <f>IFERROR(INDEX(Trips[Laytime (d)],SMALL(IF(Trips[Claim No.]=$B$11,ROW(Trips[Claim No.])-MIN(ROW(Trips[Claim No.]))+1),15)),"")</f>
        <v/>
      </c>
      <c r="H40" s="49">
        <f>IFERROR(INDEX(Trips[Excess (d)],SMALL(IF(Trips[Claim No.]=$B$11,ROW(Trips[Claim No.])-MIN(ROW(Trips[Claim No.]))+1),15)),"")</f>
        <v/>
      </c>
      <c r="I40" s="50">
        <f>IFERROR(INDEX(Trips[Rate (USD)],SMALL(IF(Trips[Claim No.]=$B$11,ROW(Trips[Claim No.])-MIN(ROW(Trips[Claim No.]))+1),15)),"")</f>
        <v/>
      </c>
      <c r="J40" s="50">
        <f>IFERROR(INDEX(Trips[Demurrage (USD)],SMALL(IF(Trips[Claim No.]=$B$11,ROW(Trips[Claim No.])-MIN(ROW(Trips[Claim No.]))+1),15)),"")</f>
        <v/>
      </c>
    </row>
    <row r="41">
      <c r="B41" s="51">
        <f>IF(J41="","",16)</f>
        <v/>
      </c>
      <c r="C41" s="52">
        <f>IFERROR(INDEX(Trips[Date Loaded],SMALL(IF(Trips[Claim No.]=$B$11,ROW(Trips[Claim No.])-MIN(ROW(Trips[Claim No.]))+1),16)),"")</f>
        <v/>
      </c>
      <c r="D41" s="51">
        <f>IFERROR(INDEX(Trips[Truck No.],SMALL(IF(Trips[Claim No.]=$B$11,ROW(Trips[Claim No.])-MIN(ROW(Trips[Claim No.]))+1),16)),"")</f>
        <v/>
      </c>
      <c r="E41" s="53">
        <f>IFERROR(INDEX(Trips[Driver],SMALL(IF(Trips[Claim No.]=$B$11,ROW(Trips[Claim No.])-MIN(ROW(Trips[Claim No.]))+1),16)),"")</f>
        <v/>
      </c>
      <c r="F41" s="54">
        <f>IFERROR(INDEX(Trips[Waiting (d)],SMALL(IF(Trips[Claim No.]=$B$11,ROW(Trips[Claim No.])-MIN(ROW(Trips[Claim No.]))+1),16)),"")</f>
        <v/>
      </c>
      <c r="G41" s="54">
        <f>IFERROR(INDEX(Trips[Laytime (d)],SMALL(IF(Trips[Claim No.]=$B$11,ROW(Trips[Claim No.])-MIN(ROW(Trips[Claim No.]))+1),16)),"")</f>
        <v/>
      </c>
      <c r="H41" s="54">
        <f>IFERROR(INDEX(Trips[Excess (d)],SMALL(IF(Trips[Claim No.]=$B$11,ROW(Trips[Claim No.])-MIN(ROW(Trips[Claim No.]))+1),16)),"")</f>
        <v/>
      </c>
      <c r="I41" s="55">
        <f>IFERROR(INDEX(Trips[Rate (USD)],SMALL(IF(Trips[Claim No.]=$B$11,ROW(Trips[Claim No.])-MIN(ROW(Trips[Claim No.]))+1),16)),"")</f>
        <v/>
      </c>
      <c r="J41" s="55">
        <f>IFERROR(INDEX(Trips[Demurrage (USD)],SMALL(IF(Trips[Claim No.]=$B$11,ROW(Trips[Claim No.])-MIN(ROW(Trips[Claim No.]))+1),16)),"")</f>
        <v/>
      </c>
    </row>
    <row r="42">
      <c r="B42" s="46">
        <f>IF(J42="","",17)</f>
        <v/>
      </c>
      <c r="C42" s="47">
        <f>IFERROR(INDEX(Trips[Date Loaded],SMALL(IF(Trips[Claim No.]=$B$11,ROW(Trips[Claim No.])-MIN(ROW(Trips[Claim No.]))+1),17)),"")</f>
        <v/>
      </c>
      <c r="D42" s="46">
        <f>IFERROR(INDEX(Trips[Truck No.],SMALL(IF(Trips[Claim No.]=$B$11,ROW(Trips[Claim No.])-MIN(ROW(Trips[Claim No.]))+1),17)),"")</f>
        <v/>
      </c>
      <c r="E42" s="48">
        <f>IFERROR(INDEX(Trips[Driver],SMALL(IF(Trips[Claim No.]=$B$11,ROW(Trips[Claim No.])-MIN(ROW(Trips[Claim No.]))+1),17)),"")</f>
        <v/>
      </c>
      <c r="F42" s="49">
        <f>IFERROR(INDEX(Trips[Waiting (d)],SMALL(IF(Trips[Claim No.]=$B$11,ROW(Trips[Claim No.])-MIN(ROW(Trips[Claim No.]))+1),17)),"")</f>
        <v/>
      </c>
      <c r="G42" s="49">
        <f>IFERROR(INDEX(Trips[Laytime (d)],SMALL(IF(Trips[Claim No.]=$B$11,ROW(Trips[Claim No.])-MIN(ROW(Trips[Claim No.]))+1),17)),"")</f>
        <v/>
      </c>
      <c r="H42" s="49">
        <f>IFERROR(INDEX(Trips[Excess (d)],SMALL(IF(Trips[Claim No.]=$B$11,ROW(Trips[Claim No.])-MIN(ROW(Trips[Claim No.]))+1),17)),"")</f>
        <v/>
      </c>
      <c r="I42" s="50">
        <f>IFERROR(INDEX(Trips[Rate (USD)],SMALL(IF(Trips[Claim No.]=$B$11,ROW(Trips[Claim No.])-MIN(ROW(Trips[Claim No.]))+1),17)),"")</f>
        <v/>
      </c>
      <c r="J42" s="50">
        <f>IFERROR(INDEX(Trips[Demurrage (USD)],SMALL(IF(Trips[Claim No.]=$B$11,ROW(Trips[Claim No.])-MIN(ROW(Trips[Claim No.]))+1),17)),"")</f>
        <v/>
      </c>
    </row>
    <row r="43">
      <c r="B43" s="51">
        <f>IF(J43="","",18)</f>
        <v/>
      </c>
      <c r="C43" s="52">
        <f>IFERROR(INDEX(Trips[Date Loaded],SMALL(IF(Trips[Claim No.]=$B$11,ROW(Trips[Claim No.])-MIN(ROW(Trips[Claim No.]))+1),18)),"")</f>
        <v/>
      </c>
      <c r="D43" s="51">
        <f>IFERROR(INDEX(Trips[Truck No.],SMALL(IF(Trips[Claim No.]=$B$11,ROW(Trips[Claim No.])-MIN(ROW(Trips[Claim No.]))+1),18)),"")</f>
        <v/>
      </c>
      <c r="E43" s="53">
        <f>IFERROR(INDEX(Trips[Driver],SMALL(IF(Trips[Claim No.]=$B$11,ROW(Trips[Claim No.])-MIN(ROW(Trips[Claim No.]))+1),18)),"")</f>
        <v/>
      </c>
      <c r="F43" s="54">
        <f>IFERROR(INDEX(Trips[Waiting (d)],SMALL(IF(Trips[Claim No.]=$B$11,ROW(Trips[Claim No.])-MIN(ROW(Trips[Claim No.]))+1),18)),"")</f>
        <v/>
      </c>
      <c r="G43" s="54">
        <f>IFERROR(INDEX(Trips[Laytime (d)],SMALL(IF(Trips[Claim No.]=$B$11,ROW(Trips[Claim No.])-MIN(ROW(Trips[Claim No.]))+1),18)),"")</f>
        <v/>
      </c>
      <c r="H43" s="54">
        <f>IFERROR(INDEX(Trips[Excess (d)],SMALL(IF(Trips[Claim No.]=$B$11,ROW(Trips[Claim No.])-MIN(ROW(Trips[Claim No.]))+1),18)),"")</f>
        <v/>
      </c>
      <c r="I43" s="55">
        <f>IFERROR(INDEX(Trips[Rate (USD)],SMALL(IF(Trips[Claim No.]=$B$11,ROW(Trips[Claim No.])-MIN(ROW(Trips[Claim No.]))+1),18)),"")</f>
        <v/>
      </c>
      <c r="J43" s="55">
        <f>IFERROR(INDEX(Trips[Demurrage (USD)],SMALL(IF(Trips[Claim No.]=$B$11,ROW(Trips[Claim No.])-MIN(ROW(Trips[Claim No.]))+1),18)),"")</f>
        <v/>
      </c>
    </row>
    <row r="44">
      <c r="B44" s="46">
        <f>IF(J44="","",19)</f>
        <v/>
      </c>
      <c r="C44" s="47">
        <f>IFERROR(INDEX(Trips[Date Loaded],SMALL(IF(Trips[Claim No.]=$B$11,ROW(Trips[Claim No.])-MIN(ROW(Trips[Claim No.]))+1),19)),"")</f>
        <v/>
      </c>
      <c r="D44" s="46">
        <f>IFERROR(INDEX(Trips[Truck No.],SMALL(IF(Trips[Claim No.]=$B$11,ROW(Trips[Claim No.])-MIN(ROW(Trips[Claim No.]))+1),19)),"")</f>
        <v/>
      </c>
      <c r="E44" s="48">
        <f>IFERROR(INDEX(Trips[Driver],SMALL(IF(Trips[Claim No.]=$B$11,ROW(Trips[Claim No.])-MIN(ROW(Trips[Claim No.]))+1),19)),"")</f>
        <v/>
      </c>
      <c r="F44" s="49">
        <f>IFERROR(INDEX(Trips[Waiting (d)],SMALL(IF(Trips[Claim No.]=$B$11,ROW(Trips[Claim No.])-MIN(ROW(Trips[Claim No.]))+1),19)),"")</f>
        <v/>
      </c>
      <c r="G44" s="49">
        <f>IFERROR(INDEX(Trips[Laytime (d)],SMALL(IF(Trips[Claim No.]=$B$11,ROW(Trips[Claim No.])-MIN(ROW(Trips[Claim No.]))+1),19)),"")</f>
        <v/>
      </c>
      <c r="H44" s="49">
        <f>IFERROR(INDEX(Trips[Excess (d)],SMALL(IF(Trips[Claim No.]=$B$11,ROW(Trips[Claim No.])-MIN(ROW(Trips[Claim No.]))+1),19)),"")</f>
        <v/>
      </c>
      <c r="I44" s="50">
        <f>IFERROR(INDEX(Trips[Rate (USD)],SMALL(IF(Trips[Claim No.]=$B$11,ROW(Trips[Claim No.])-MIN(ROW(Trips[Claim No.]))+1),19)),"")</f>
        <v/>
      </c>
      <c r="J44" s="50">
        <f>IFERROR(INDEX(Trips[Demurrage (USD)],SMALL(IF(Trips[Claim No.]=$B$11,ROW(Trips[Claim No.])-MIN(ROW(Trips[Claim No.]))+1),19)),"")</f>
        <v/>
      </c>
    </row>
    <row r="45">
      <c r="B45" s="51">
        <f>IF(J45="","",20)</f>
        <v/>
      </c>
      <c r="C45" s="52">
        <f>IFERROR(INDEX(Trips[Date Loaded],SMALL(IF(Trips[Claim No.]=$B$11,ROW(Trips[Claim No.])-MIN(ROW(Trips[Claim No.]))+1),20)),"")</f>
        <v/>
      </c>
      <c r="D45" s="51">
        <f>IFERROR(INDEX(Trips[Truck No.],SMALL(IF(Trips[Claim No.]=$B$11,ROW(Trips[Claim No.])-MIN(ROW(Trips[Claim No.]))+1),20)),"")</f>
        <v/>
      </c>
      <c r="E45" s="53">
        <f>IFERROR(INDEX(Trips[Driver],SMALL(IF(Trips[Claim No.]=$B$11,ROW(Trips[Claim No.])-MIN(ROW(Trips[Claim No.]))+1),20)),"")</f>
        <v/>
      </c>
      <c r="F45" s="54">
        <f>IFERROR(INDEX(Trips[Waiting (d)],SMALL(IF(Trips[Claim No.]=$B$11,ROW(Trips[Claim No.])-MIN(ROW(Trips[Claim No.]))+1),20)),"")</f>
        <v/>
      </c>
      <c r="G45" s="54">
        <f>IFERROR(INDEX(Trips[Laytime (d)],SMALL(IF(Trips[Claim No.]=$B$11,ROW(Trips[Claim No.])-MIN(ROW(Trips[Claim No.]))+1),20)),"")</f>
        <v/>
      </c>
      <c r="H45" s="54">
        <f>IFERROR(INDEX(Trips[Excess (d)],SMALL(IF(Trips[Claim No.]=$B$11,ROW(Trips[Claim No.])-MIN(ROW(Trips[Claim No.]))+1),20)),"")</f>
        <v/>
      </c>
      <c r="I45" s="55">
        <f>IFERROR(INDEX(Trips[Rate (USD)],SMALL(IF(Trips[Claim No.]=$B$11,ROW(Trips[Claim No.])-MIN(ROW(Trips[Claim No.]))+1),20)),"")</f>
        <v/>
      </c>
      <c r="J45" s="55">
        <f>IFERROR(INDEX(Trips[Demurrage (USD)],SMALL(IF(Trips[Claim No.]=$B$11,ROW(Trips[Claim No.])-MIN(ROW(Trips[Claim No.]))+1),20)),"")</f>
        <v/>
      </c>
    </row>
    <row r="46">
      <c r="B46" s="46">
        <f>IF(J46="","",21)</f>
        <v/>
      </c>
      <c r="C46" s="47">
        <f>IFERROR(INDEX(Trips[Date Loaded],SMALL(IF(Trips[Claim No.]=$B$11,ROW(Trips[Claim No.])-MIN(ROW(Trips[Claim No.]))+1),21)),"")</f>
        <v/>
      </c>
      <c r="D46" s="46">
        <f>IFERROR(INDEX(Trips[Truck No.],SMALL(IF(Trips[Claim No.]=$B$11,ROW(Trips[Claim No.])-MIN(ROW(Trips[Claim No.]))+1),21)),"")</f>
        <v/>
      </c>
      <c r="E46" s="48">
        <f>IFERROR(INDEX(Trips[Driver],SMALL(IF(Trips[Claim No.]=$B$11,ROW(Trips[Claim No.])-MIN(ROW(Trips[Claim No.]))+1),21)),"")</f>
        <v/>
      </c>
      <c r="F46" s="49">
        <f>IFERROR(INDEX(Trips[Waiting (d)],SMALL(IF(Trips[Claim No.]=$B$11,ROW(Trips[Claim No.])-MIN(ROW(Trips[Claim No.]))+1),21)),"")</f>
        <v/>
      </c>
      <c r="G46" s="49">
        <f>IFERROR(INDEX(Trips[Laytime (d)],SMALL(IF(Trips[Claim No.]=$B$11,ROW(Trips[Claim No.])-MIN(ROW(Trips[Claim No.]))+1),21)),"")</f>
        <v/>
      </c>
      <c r="H46" s="49">
        <f>IFERROR(INDEX(Trips[Excess (d)],SMALL(IF(Trips[Claim No.]=$B$11,ROW(Trips[Claim No.])-MIN(ROW(Trips[Claim No.]))+1),21)),"")</f>
        <v/>
      </c>
      <c r="I46" s="50">
        <f>IFERROR(INDEX(Trips[Rate (USD)],SMALL(IF(Trips[Claim No.]=$B$11,ROW(Trips[Claim No.])-MIN(ROW(Trips[Claim No.]))+1),21)),"")</f>
        <v/>
      </c>
      <c r="J46" s="50">
        <f>IFERROR(INDEX(Trips[Demurrage (USD)],SMALL(IF(Trips[Claim No.]=$B$11,ROW(Trips[Claim No.])-MIN(ROW(Trips[Claim No.]))+1),21)),"")</f>
        <v/>
      </c>
    </row>
    <row r="47">
      <c r="B47" s="51">
        <f>IF(J47="","",22)</f>
        <v/>
      </c>
      <c r="C47" s="52">
        <f>IFERROR(INDEX(Trips[Date Loaded],SMALL(IF(Trips[Claim No.]=$B$11,ROW(Trips[Claim No.])-MIN(ROW(Trips[Claim No.]))+1),22)),"")</f>
        <v/>
      </c>
      <c r="D47" s="51">
        <f>IFERROR(INDEX(Trips[Truck No.],SMALL(IF(Trips[Claim No.]=$B$11,ROW(Trips[Claim No.])-MIN(ROW(Trips[Claim No.]))+1),22)),"")</f>
        <v/>
      </c>
      <c r="E47" s="53">
        <f>IFERROR(INDEX(Trips[Driver],SMALL(IF(Trips[Claim No.]=$B$11,ROW(Trips[Claim No.])-MIN(ROW(Trips[Claim No.]))+1),22)),"")</f>
        <v/>
      </c>
      <c r="F47" s="54">
        <f>IFERROR(INDEX(Trips[Waiting (d)],SMALL(IF(Trips[Claim No.]=$B$11,ROW(Trips[Claim No.])-MIN(ROW(Trips[Claim No.]))+1),22)),"")</f>
        <v/>
      </c>
      <c r="G47" s="54">
        <f>IFERROR(INDEX(Trips[Laytime (d)],SMALL(IF(Trips[Claim No.]=$B$11,ROW(Trips[Claim No.])-MIN(ROW(Trips[Claim No.]))+1),22)),"")</f>
        <v/>
      </c>
      <c r="H47" s="54">
        <f>IFERROR(INDEX(Trips[Excess (d)],SMALL(IF(Trips[Claim No.]=$B$11,ROW(Trips[Claim No.])-MIN(ROW(Trips[Claim No.]))+1),22)),"")</f>
        <v/>
      </c>
      <c r="I47" s="55">
        <f>IFERROR(INDEX(Trips[Rate (USD)],SMALL(IF(Trips[Claim No.]=$B$11,ROW(Trips[Claim No.])-MIN(ROW(Trips[Claim No.]))+1),22)),"")</f>
        <v/>
      </c>
      <c r="J47" s="55">
        <f>IFERROR(INDEX(Trips[Demurrage (USD)],SMALL(IF(Trips[Claim No.]=$B$11,ROW(Trips[Claim No.])-MIN(ROW(Trips[Claim No.]))+1),22)),"")</f>
        <v/>
      </c>
    </row>
    <row r="48">
      <c r="B48" s="46">
        <f>IF(J48="","",23)</f>
        <v/>
      </c>
      <c r="C48" s="47">
        <f>IFERROR(INDEX(Trips[Date Loaded],SMALL(IF(Trips[Claim No.]=$B$11,ROW(Trips[Claim No.])-MIN(ROW(Trips[Claim No.]))+1),23)),"")</f>
        <v/>
      </c>
      <c r="D48" s="46">
        <f>IFERROR(INDEX(Trips[Truck No.],SMALL(IF(Trips[Claim No.]=$B$11,ROW(Trips[Claim No.])-MIN(ROW(Trips[Claim No.]))+1),23)),"")</f>
        <v/>
      </c>
      <c r="E48" s="48">
        <f>IFERROR(INDEX(Trips[Driver],SMALL(IF(Trips[Claim No.]=$B$11,ROW(Trips[Claim No.])-MIN(ROW(Trips[Claim No.]))+1),23)),"")</f>
        <v/>
      </c>
      <c r="F48" s="49">
        <f>IFERROR(INDEX(Trips[Waiting (d)],SMALL(IF(Trips[Claim No.]=$B$11,ROW(Trips[Claim No.])-MIN(ROW(Trips[Claim No.]))+1),23)),"")</f>
        <v/>
      </c>
      <c r="G48" s="49">
        <f>IFERROR(INDEX(Trips[Laytime (d)],SMALL(IF(Trips[Claim No.]=$B$11,ROW(Trips[Claim No.])-MIN(ROW(Trips[Claim No.]))+1),23)),"")</f>
        <v/>
      </c>
      <c r="H48" s="49">
        <f>IFERROR(INDEX(Trips[Excess (d)],SMALL(IF(Trips[Claim No.]=$B$11,ROW(Trips[Claim No.])-MIN(ROW(Trips[Claim No.]))+1),23)),"")</f>
        <v/>
      </c>
      <c r="I48" s="50">
        <f>IFERROR(INDEX(Trips[Rate (USD)],SMALL(IF(Trips[Claim No.]=$B$11,ROW(Trips[Claim No.])-MIN(ROW(Trips[Claim No.]))+1),23)),"")</f>
        <v/>
      </c>
      <c r="J48" s="50">
        <f>IFERROR(INDEX(Trips[Demurrage (USD)],SMALL(IF(Trips[Claim No.]=$B$11,ROW(Trips[Claim No.])-MIN(ROW(Trips[Claim No.]))+1),23)),"")</f>
        <v/>
      </c>
    </row>
    <row r="49">
      <c r="B49" s="51">
        <f>IF(J49="","",24)</f>
        <v/>
      </c>
      <c r="C49" s="52">
        <f>IFERROR(INDEX(Trips[Date Loaded],SMALL(IF(Trips[Claim No.]=$B$11,ROW(Trips[Claim No.])-MIN(ROW(Trips[Claim No.]))+1),24)),"")</f>
        <v/>
      </c>
      <c r="D49" s="51">
        <f>IFERROR(INDEX(Trips[Truck No.],SMALL(IF(Trips[Claim No.]=$B$11,ROW(Trips[Claim No.])-MIN(ROW(Trips[Claim No.]))+1),24)),"")</f>
        <v/>
      </c>
      <c r="E49" s="53">
        <f>IFERROR(INDEX(Trips[Driver],SMALL(IF(Trips[Claim No.]=$B$11,ROW(Trips[Claim No.])-MIN(ROW(Trips[Claim No.]))+1),24)),"")</f>
        <v/>
      </c>
      <c r="F49" s="54">
        <f>IFERROR(INDEX(Trips[Waiting (d)],SMALL(IF(Trips[Claim No.]=$B$11,ROW(Trips[Claim No.])-MIN(ROW(Trips[Claim No.]))+1),24)),"")</f>
        <v/>
      </c>
      <c r="G49" s="54">
        <f>IFERROR(INDEX(Trips[Laytime (d)],SMALL(IF(Trips[Claim No.]=$B$11,ROW(Trips[Claim No.])-MIN(ROW(Trips[Claim No.]))+1),24)),"")</f>
        <v/>
      </c>
      <c r="H49" s="54">
        <f>IFERROR(INDEX(Trips[Excess (d)],SMALL(IF(Trips[Claim No.]=$B$11,ROW(Trips[Claim No.])-MIN(ROW(Trips[Claim No.]))+1),24)),"")</f>
        <v/>
      </c>
      <c r="I49" s="55">
        <f>IFERROR(INDEX(Trips[Rate (USD)],SMALL(IF(Trips[Claim No.]=$B$11,ROW(Trips[Claim No.])-MIN(ROW(Trips[Claim No.]))+1),24)),"")</f>
        <v/>
      </c>
      <c r="J49" s="55">
        <f>IFERROR(INDEX(Trips[Demurrage (USD)],SMALL(IF(Trips[Claim No.]=$B$11,ROW(Trips[Claim No.])-MIN(ROW(Trips[Claim No.]))+1),24)),"")</f>
        <v/>
      </c>
    </row>
    <row r="50">
      <c r="B50" s="46">
        <f>IF(J50="","",25)</f>
        <v/>
      </c>
      <c r="C50" s="47">
        <f>IFERROR(INDEX(Trips[Date Loaded],SMALL(IF(Trips[Claim No.]=$B$11,ROW(Trips[Claim No.])-MIN(ROW(Trips[Claim No.]))+1),25)),"")</f>
        <v/>
      </c>
      <c r="D50" s="46">
        <f>IFERROR(INDEX(Trips[Truck No.],SMALL(IF(Trips[Claim No.]=$B$11,ROW(Trips[Claim No.])-MIN(ROW(Trips[Claim No.]))+1),25)),"")</f>
        <v/>
      </c>
      <c r="E50" s="48">
        <f>IFERROR(INDEX(Trips[Driver],SMALL(IF(Trips[Claim No.]=$B$11,ROW(Trips[Claim No.])-MIN(ROW(Trips[Claim No.]))+1),25)),"")</f>
        <v/>
      </c>
      <c r="F50" s="49">
        <f>IFERROR(INDEX(Trips[Waiting (d)],SMALL(IF(Trips[Claim No.]=$B$11,ROW(Trips[Claim No.])-MIN(ROW(Trips[Claim No.]))+1),25)),"")</f>
        <v/>
      </c>
      <c r="G50" s="49">
        <f>IFERROR(INDEX(Trips[Laytime (d)],SMALL(IF(Trips[Claim No.]=$B$11,ROW(Trips[Claim No.])-MIN(ROW(Trips[Claim No.]))+1),25)),"")</f>
        <v/>
      </c>
      <c r="H50" s="49">
        <f>IFERROR(INDEX(Trips[Excess (d)],SMALL(IF(Trips[Claim No.]=$B$11,ROW(Trips[Claim No.])-MIN(ROW(Trips[Claim No.]))+1),25)),"")</f>
        <v/>
      </c>
      <c r="I50" s="50">
        <f>IFERROR(INDEX(Trips[Rate (USD)],SMALL(IF(Trips[Claim No.]=$B$11,ROW(Trips[Claim No.])-MIN(ROW(Trips[Claim No.]))+1),25)),"")</f>
        <v/>
      </c>
      <c r="J50" s="50">
        <f>IFERROR(INDEX(Trips[Demurrage (USD)],SMALL(IF(Trips[Claim No.]=$B$11,ROW(Trips[Claim No.])-MIN(ROW(Trips[Claim No.]))+1),25)),"")</f>
        <v/>
      </c>
    </row>
    <row r="51">
      <c r="B51" s="51">
        <f>IF(J51="","",26)</f>
        <v/>
      </c>
      <c r="C51" s="52">
        <f>IFERROR(INDEX(Trips[Date Loaded],SMALL(IF(Trips[Claim No.]=$B$11,ROW(Trips[Claim No.])-MIN(ROW(Trips[Claim No.]))+1),26)),"")</f>
        <v/>
      </c>
      <c r="D51" s="51">
        <f>IFERROR(INDEX(Trips[Truck No.],SMALL(IF(Trips[Claim No.]=$B$11,ROW(Trips[Claim No.])-MIN(ROW(Trips[Claim No.]))+1),26)),"")</f>
        <v/>
      </c>
      <c r="E51" s="53">
        <f>IFERROR(INDEX(Trips[Driver],SMALL(IF(Trips[Claim No.]=$B$11,ROW(Trips[Claim No.])-MIN(ROW(Trips[Claim No.]))+1),26)),"")</f>
        <v/>
      </c>
      <c r="F51" s="54">
        <f>IFERROR(INDEX(Trips[Waiting (d)],SMALL(IF(Trips[Claim No.]=$B$11,ROW(Trips[Claim No.])-MIN(ROW(Trips[Claim No.]))+1),26)),"")</f>
        <v/>
      </c>
      <c r="G51" s="54">
        <f>IFERROR(INDEX(Trips[Laytime (d)],SMALL(IF(Trips[Claim No.]=$B$11,ROW(Trips[Claim No.])-MIN(ROW(Trips[Claim No.]))+1),26)),"")</f>
        <v/>
      </c>
      <c r="H51" s="54">
        <f>IFERROR(INDEX(Trips[Excess (d)],SMALL(IF(Trips[Claim No.]=$B$11,ROW(Trips[Claim No.])-MIN(ROW(Trips[Claim No.]))+1),26)),"")</f>
        <v/>
      </c>
      <c r="I51" s="55">
        <f>IFERROR(INDEX(Trips[Rate (USD)],SMALL(IF(Trips[Claim No.]=$B$11,ROW(Trips[Claim No.])-MIN(ROW(Trips[Claim No.]))+1),26)),"")</f>
        <v/>
      </c>
      <c r="J51" s="55">
        <f>IFERROR(INDEX(Trips[Demurrage (USD)],SMALL(IF(Trips[Claim No.]=$B$11,ROW(Trips[Claim No.])-MIN(ROW(Trips[Claim No.]))+1),26)),"")</f>
        <v/>
      </c>
    </row>
    <row r="52">
      <c r="B52" s="46">
        <f>IF(J52="","",27)</f>
        <v/>
      </c>
      <c r="C52" s="47">
        <f>IFERROR(INDEX(Trips[Date Loaded],SMALL(IF(Trips[Claim No.]=$B$11,ROW(Trips[Claim No.])-MIN(ROW(Trips[Claim No.]))+1),27)),"")</f>
        <v/>
      </c>
      <c r="D52" s="46">
        <f>IFERROR(INDEX(Trips[Truck No.],SMALL(IF(Trips[Claim No.]=$B$11,ROW(Trips[Claim No.])-MIN(ROW(Trips[Claim No.]))+1),27)),"")</f>
        <v/>
      </c>
      <c r="E52" s="48">
        <f>IFERROR(INDEX(Trips[Driver],SMALL(IF(Trips[Claim No.]=$B$11,ROW(Trips[Claim No.])-MIN(ROW(Trips[Claim No.]))+1),27)),"")</f>
        <v/>
      </c>
      <c r="F52" s="49">
        <f>IFERROR(INDEX(Trips[Waiting (d)],SMALL(IF(Trips[Claim No.]=$B$11,ROW(Trips[Claim No.])-MIN(ROW(Trips[Claim No.]))+1),27)),"")</f>
        <v/>
      </c>
      <c r="G52" s="49">
        <f>IFERROR(INDEX(Trips[Laytime (d)],SMALL(IF(Trips[Claim No.]=$B$11,ROW(Trips[Claim No.])-MIN(ROW(Trips[Claim No.]))+1),27)),"")</f>
        <v/>
      </c>
      <c r="H52" s="49">
        <f>IFERROR(INDEX(Trips[Excess (d)],SMALL(IF(Trips[Claim No.]=$B$11,ROW(Trips[Claim No.])-MIN(ROW(Trips[Claim No.]))+1),27)),"")</f>
        <v/>
      </c>
      <c r="I52" s="50">
        <f>IFERROR(INDEX(Trips[Rate (USD)],SMALL(IF(Trips[Claim No.]=$B$11,ROW(Trips[Claim No.])-MIN(ROW(Trips[Claim No.]))+1),27)),"")</f>
        <v/>
      </c>
      <c r="J52" s="50">
        <f>IFERROR(INDEX(Trips[Demurrage (USD)],SMALL(IF(Trips[Claim No.]=$B$11,ROW(Trips[Claim No.])-MIN(ROW(Trips[Claim No.]))+1),27)),"")</f>
        <v/>
      </c>
    </row>
    <row r="53">
      <c r="B53" s="51">
        <f>IF(J53="","",28)</f>
        <v/>
      </c>
      <c r="C53" s="52">
        <f>IFERROR(INDEX(Trips[Date Loaded],SMALL(IF(Trips[Claim No.]=$B$11,ROW(Trips[Claim No.])-MIN(ROW(Trips[Claim No.]))+1),28)),"")</f>
        <v/>
      </c>
      <c r="D53" s="51">
        <f>IFERROR(INDEX(Trips[Truck No.],SMALL(IF(Trips[Claim No.]=$B$11,ROW(Trips[Claim No.])-MIN(ROW(Trips[Claim No.]))+1),28)),"")</f>
        <v/>
      </c>
      <c r="E53" s="53">
        <f>IFERROR(INDEX(Trips[Driver],SMALL(IF(Trips[Claim No.]=$B$11,ROW(Trips[Claim No.])-MIN(ROW(Trips[Claim No.]))+1),28)),"")</f>
        <v/>
      </c>
      <c r="F53" s="54">
        <f>IFERROR(INDEX(Trips[Waiting (d)],SMALL(IF(Trips[Claim No.]=$B$11,ROW(Trips[Claim No.])-MIN(ROW(Trips[Claim No.]))+1),28)),"")</f>
        <v/>
      </c>
      <c r="G53" s="54">
        <f>IFERROR(INDEX(Trips[Laytime (d)],SMALL(IF(Trips[Claim No.]=$B$11,ROW(Trips[Claim No.])-MIN(ROW(Trips[Claim No.]))+1),28)),"")</f>
        <v/>
      </c>
      <c r="H53" s="54">
        <f>IFERROR(INDEX(Trips[Excess (d)],SMALL(IF(Trips[Claim No.]=$B$11,ROW(Trips[Claim No.])-MIN(ROW(Trips[Claim No.]))+1),28)),"")</f>
        <v/>
      </c>
      <c r="I53" s="55">
        <f>IFERROR(INDEX(Trips[Rate (USD)],SMALL(IF(Trips[Claim No.]=$B$11,ROW(Trips[Claim No.])-MIN(ROW(Trips[Claim No.]))+1),28)),"")</f>
        <v/>
      </c>
      <c r="J53" s="55">
        <f>IFERROR(INDEX(Trips[Demurrage (USD)],SMALL(IF(Trips[Claim No.]=$B$11,ROW(Trips[Claim No.])-MIN(ROW(Trips[Claim No.]))+1),28)),"")</f>
        <v/>
      </c>
    </row>
    <row r="54">
      <c r="B54" s="46">
        <f>IF(J54="","",29)</f>
        <v/>
      </c>
      <c r="C54" s="47">
        <f>IFERROR(INDEX(Trips[Date Loaded],SMALL(IF(Trips[Claim No.]=$B$11,ROW(Trips[Claim No.])-MIN(ROW(Trips[Claim No.]))+1),29)),"")</f>
        <v/>
      </c>
      <c r="D54" s="46">
        <f>IFERROR(INDEX(Trips[Truck No.],SMALL(IF(Trips[Claim No.]=$B$11,ROW(Trips[Claim No.])-MIN(ROW(Trips[Claim No.]))+1),29)),"")</f>
        <v/>
      </c>
      <c r="E54" s="48">
        <f>IFERROR(INDEX(Trips[Driver],SMALL(IF(Trips[Claim No.]=$B$11,ROW(Trips[Claim No.])-MIN(ROW(Trips[Claim No.]))+1),29)),"")</f>
        <v/>
      </c>
      <c r="F54" s="49">
        <f>IFERROR(INDEX(Trips[Waiting (d)],SMALL(IF(Trips[Claim No.]=$B$11,ROW(Trips[Claim No.])-MIN(ROW(Trips[Claim No.]))+1),29)),"")</f>
        <v/>
      </c>
      <c r="G54" s="49">
        <f>IFERROR(INDEX(Trips[Laytime (d)],SMALL(IF(Trips[Claim No.]=$B$11,ROW(Trips[Claim No.])-MIN(ROW(Trips[Claim No.]))+1),29)),"")</f>
        <v/>
      </c>
      <c r="H54" s="49">
        <f>IFERROR(INDEX(Trips[Excess (d)],SMALL(IF(Trips[Claim No.]=$B$11,ROW(Trips[Claim No.])-MIN(ROW(Trips[Claim No.]))+1),29)),"")</f>
        <v/>
      </c>
      <c r="I54" s="50">
        <f>IFERROR(INDEX(Trips[Rate (USD)],SMALL(IF(Trips[Claim No.]=$B$11,ROW(Trips[Claim No.])-MIN(ROW(Trips[Claim No.]))+1),29)),"")</f>
        <v/>
      </c>
      <c r="J54" s="50">
        <f>IFERROR(INDEX(Trips[Demurrage (USD)],SMALL(IF(Trips[Claim No.]=$B$11,ROW(Trips[Claim No.])-MIN(ROW(Trips[Claim No.]))+1),29)),"")</f>
        <v/>
      </c>
    </row>
    <row r="55">
      <c r="B55" s="51">
        <f>IF(J55="","",30)</f>
        <v/>
      </c>
      <c r="C55" s="52">
        <f>IFERROR(INDEX(Trips[Date Loaded],SMALL(IF(Trips[Claim No.]=$B$11,ROW(Trips[Claim No.])-MIN(ROW(Trips[Claim No.]))+1),30)),"")</f>
        <v/>
      </c>
      <c r="D55" s="51">
        <f>IFERROR(INDEX(Trips[Truck No.],SMALL(IF(Trips[Claim No.]=$B$11,ROW(Trips[Claim No.])-MIN(ROW(Trips[Claim No.]))+1),30)),"")</f>
        <v/>
      </c>
      <c r="E55" s="53">
        <f>IFERROR(INDEX(Trips[Driver],SMALL(IF(Trips[Claim No.]=$B$11,ROW(Trips[Claim No.])-MIN(ROW(Trips[Claim No.]))+1),30)),"")</f>
        <v/>
      </c>
      <c r="F55" s="54">
        <f>IFERROR(INDEX(Trips[Waiting (d)],SMALL(IF(Trips[Claim No.]=$B$11,ROW(Trips[Claim No.])-MIN(ROW(Trips[Claim No.]))+1),30)),"")</f>
        <v/>
      </c>
      <c r="G55" s="54">
        <f>IFERROR(INDEX(Trips[Laytime (d)],SMALL(IF(Trips[Claim No.]=$B$11,ROW(Trips[Claim No.])-MIN(ROW(Trips[Claim No.]))+1),30)),"")</f>
        <v/>
      </c>
      <c r="H55" s="54">
        <f>IFERROR(INDEX(Trips[Excess (d)],SMALL(IF(Trips[Claim No.]=$B$11,ROW(Trips[Claim No.])-MIN(ROW(Trips[Claim No.]))+1),30)),"")</f>
        <v/>
      </c>
      <c r="I55" s="55">
        <f>IFERROR(INDEX(Trips[Rate (USD)],SMALL(IF(Trips[Claim No.]=$B$11,ROW(Trips[Claim No.])-MIN(ROW(Trips[Claim No.]))+1),30)),"")</f>
        <v/>
      </c>
      <c r="J55" s="55">
        <f>IFERROR(INDEX(Trips[Demurrage (USD)],SMALL(IF(Trips[Claim No.]=$B$11,ROW(Trips[Claim No.])-MIN(ROW(Trips[Claim No.]))+1),30)),"")</f>
        <v/>
      </c>
    </row>
    <row r="57">
      <c r="G57" s="56" t="inlineStr">
        <is>
          <t>Subtotal</t>
        </is>
      </c>
      <c r="J57" s="57">
        <f>SUMIF(Trips[Claim No.],$B$11,Trips[Demurrage (USD)])</f>
        <v/>
      </c>
    </row>
    <row r="58">
      <c r="G58" s="56">
        <f>"VAT ("&amp;TEXT(VAT_RATE,"0%")&amp;")"</f>
        <v/>
      </c>
      <c r="J58" s="57">
        <f>SUMIF(Trips[Claim No.],$B$11,Trips[Demurrage (USD)])*VAT_RATE</f>
        <v/>
      </c>
    </row>
    <row r="60" ht="28" customHeight="1">
      <c r="G60" s="58" t="inlineStr">
        <is>
          <t>TOTAL DUE</t>
        </is>
      </c>
      <c r="J60" s="59">
        <f>ROUND(SUMIF(Trips[Claim No.],$B$11,Trips[Demurrage (USD)])*(1+VAT_RATE),2)</f>
        <v/>
      </c>
    </row>
    <row r="63">
      <c r="B63" s="60" t="inlineStr">
        <is>
          <t>PAYMENT DETAILS</t>
        </is>
      </c>
      <c r="C63" s="61" t="n"/>
      <c r="D63" s="61" t="n"/>
      <c r="E63" s="61" t="n"/>
      <c r="F63" s="61" t="n"/>
      <c r="G63" s="61" t="n"/>
      <c r="H63" s="61" t="n"/>
      <c r="I63" s="61" t="n"/>
      <c r="J63" s="61" t="n"/>
      <c r="K63" s="61" t="n"/>
    </row>
    <row r="64">
      <c r="B64" s="62">
        <f>"Bank:  "&amp;BANK_NAME</f>
        <v/>
      </c>
      <c r="G64" s="62">
        <f>"IBAN:  "&amp;BANK_IBAN</f>
        <v/>
      </c>
    </row>
    <row r="65">
      <c r="B65" s="62">
        <f>"Account name:  "&amp;BANK_HOLDER</f>
        <v/>
      </c>
      <c r="G65" s="62">
        <f>"SWIFT / BIC:  "&amp;BANK_SWIFT</f>
        <v/>
      </c>
    </row>
    <row r="66">
      <c r="B66" s="62">
        <f>"Account number:  "&amp;BANK_ACCT</f>
        <v/>
      </c>
      <c r="G66" s="62">
        <f>"Correspondent:  "&amp;BANK_CORR</f>
        <v/>
      </c>
    </row>
    <row r="68" ht="28" customHeight="1">
      <c r="B68" s="63">
        <f>"Payment terms: Net "&amp;PAY_TERMS&amp;" days from invoice date — please quote invoice number on remittance.   "&amp;INV_FOOTER</f>
        <v/>
      </c>
    </row>
    <row r="71">
      <c r="B71" s="64" t="inlineStr">
        <is>
          <t>Authorised signatory</t>
        </is>
      </c>
      <c r="H71" s="64" t="inlineStr">
        <is>
          <t>Date</t>
        </is>
      </c>
    </row>
    <row r="72">
      <c r="B72" s="65" t="inlineStr">
        <is>
          <t>____________________________</t>
        </is>
      </c>
      <c r="H72" s="65" t="inlineStr">
        <is>
          <t>____________________________</t>
        </is>
      </c>
    </row>
  </sheetData>
  <mergeCells count="31">
    <mergeCell ref="G57:I57"/>
    <mergeCell ref="H3:K3"/>
    <mergeCell ref="H10:I10"/>
    <mergeCell ref="J14:K14"/>
    <mergeCell ref="J10:K10"/>
    <mergeCell ref="B68:K68"/>
    <mergeCell ref="B66:F66"/>
    <mergeCell ref="B5:E5"/>
    <mergeCell ref="J13:K13"/>
    <mergeCell ref="H5:K5"/>
    <mergeCell ref="H18:K18"/>
    <mergeCell ref="G58:I58"/>
    <mergeCell ref="B4:E4"/>
    <mergeCell ref="B11:C11"/>
    <mergeCell ref="H20:K20"/>
    <mergeCell ref="G66:K66"/>
    <mergeCell ref="B3:E3"/>
    <mergeCell ref="H11:I11"/>
    <mergeCell ref="J11:K11"/>
    <mergeCell ref="B22:K22"/>
    <mergeCell ref="G60:I60"/>
    <mergeCell ref="B16:F19"/>
    <mergeCell ref="G65:K65"/>
    <mergeCell ref="H13:I13"/>
    <mergeCell ref="G64:K64"/>
    <mergeCell ref="B65:F65"/>
    <mergeCell ref="H12:I12"/>
    <mergeCell ref="J12:K12"/>
    <mergeCell ref="B64:F64"/>
    <mergeCell ref="B15:F15"/>
    <mergeCell ref="H14:I14"/>
  </mergeCells>
  <dataValidations count="1">
    <dataValidation sqref="B11" showDropDown="0" showInputMessage="0" showErrorMessage="0" allowBlank="0" type="list">
      <formula1>=Claims[Claim No.]</formula1>
    </dataValidation>
  </dataValidations>
  <printOptions horizontalCentered="1"/>
  <pageMargins left="0.5" right="0.5" top="0.5" bottom="0.5" header="0.5" footer="0.5"/>
  <pageSetup orientation="portrait" fitToHeight="1" fitToWidth="1"/>
</worksheet>
</file>

<file path=xl/worksheets/sheet4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B2:Q17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4" customWidth="1" min="2" max="2"/>
    <col width="13" customWidth="1" min="3" max="3"/>
    <col width="11" customWidth="1" min="4" max="4"/>
    <col width="24" customWidth="1" min="5" max="5"/>
    <col width="32" customWidth="1" min="6" max="6"/>
    <col width="13" customWidth="1" min="7" max="7"/>
    <col width="13" customWidth="1" min="8" max="8"/>
    <col width="9" customWidth="1" min="9" max="9"/>
    <col width="14" customWidth="1" min="10" max="10"/>
    <col width="10" customWidth="1" min="11" max="11"/>
    <col width="12" customWidth="1" min="12" max="12"/>
    <col width="13" customWidth="1" min="13" max="13"/>
    <col width="13" customWidth="1" min="14" max="14"/>
    <col width="12" customWidth="1" min="15" max="15"/>
    <col width="12" customWidth="1" min="16" max="16"/>
    <col width="32" customWidth="1" min="17" max="17"/>
  </cols>
  <sheetData>
    <row r="2" ht="32" customHeight="1">
      <c r="B2" s="66" t="inlineStr">
        <is>
          <t>CLAIMS REGISTER</t>
        </is>
      </c>
    </row>
    <row r="3">
      <c r="B3" s="13" t="inlineStr">
        <is>
          <t>One row per claim. Add a row, assign matching trips in the Trips Ledger to this Claim No., then preview / print on the Invoice tab.</t>
        </is>
      </c>
    </row>
    <row r="4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</row>
    <row r="6" ht="36" customHeight="1">
      <c r="B6" s="45" t="inlineStr">
        <is>
          <t>Claim No.</t>
        </is>
      </c>
      <c r="C6" s="45" t="inlineStr">
        <is>
          <t>Issue Date</t>
        </is>
      </c>
      <c r="D6" s="45" t="inlineStr">
        <is>
          <t>Deal No.</t>
        </is>
      </c>
      <c r="E6" s="45" t="inlineStr">
        <is>
          <t>Consignee</t>
        </is>
      </c>
      <c r="F6" s="45" t="inlineStr">
        <is>
          <t>Bill-To Address</t>
        </is>
      </c>
      <c r="G6" s="45" t="inlineStr">
        <is>
          <t>Period From</t>
        </is>
      </c>
      <c r="H6" s="45" t="inlineStr">
        <is>
          <t>Period To</t>
        </is>
      </c>
      <c r="I6" s="45" t="inlineStr">
        <is>
          <t># Trips</t>
        </is>
      </c>
      <c r="J6" s="45" t="inlineStr">
        <is>
          <t>Amount (USD)</t>
        </is>
      </c>
      <c r="K6" s="45" t="inlineStr">
        <is>
          <t>Currency</t>
        </is>
      </c>
      <c r="L6" s="45" t="inlineStr">
        <is>
          <t>Status</t>
        </is>
      </c>
      <c r="M6" s="45" t="inlineStr">
        <is>
          <t>Due Date</t>
        </is>
      </c>
      <c r="N6" s="45" t="inlineStr">
        <is>
          <t>Paid Date</t>
        </is>
      </c>
      <c r="O6" s="45" t="inlineStr">
        <is>
          <t>Days Overdue</t>
        </is>
      </c>
      <c r="P6" s="45" t="inlineStr">
        <is>
          <t>Aging</t>
        </is>
      </c>
      <c r="Q6" s="45" t="inlineStr">
        <is>
          <t>Notes</t>
        </is>
      </c>
    </row>
    <row r="7" ht="32" customHeight="1">
      <c r="B7" s="46" t="inlineStr">
        <is>
          <t>CLM-2026-001</t>
        </is>
      </c>
      <c r="C7" s="47" t="n">
        <v>46157</v>
      </c>
      <c r="D7" s="46" t="n">
        <v>184182</v>
      </c>
      <c r="E7" s="67">
        <f>IFERROR(VLOOKUP(D7,Deals[#All],2,FALSE),"")</f>
        <v/>
      </c>
      <c r="F7" s="67" t="inlineStr">
        <is>
          <t>Rubis Energy Zambia
[Bill-to address]
[City]
[Country]</t>
        </is>
      </c>
      <c r="G7" s="47" t="n">
        <v>45992</v>
      </c>
      <c r="H7" s="47" t="n">
        <v>46009</v>
      </c>
      <c r="I7" s="49">
        <f>COUNTIF(Trips[Claim No.],B7)</f>
        <v/>
      </c>
      <c r="J7" s="50">
        <f>SUMIF(Trips[Claim No.],B7,Trips[Demurrage (USD)])</f>
        <v/>
      </c>
      <c r="K7" s="46">
        <f>CCY</f>
        <v/>
      </c>
      <c r="L7" s="46" t="inlineStr">
        <is>
          <t>Draft</t>
        </is>
      </c>
      <c r="M7" s="47">
        <f>C7+PAY_TERMS</f>
        <v/>
      </c>
      <c r="N7" s="47" t="n"/>
      <c r="O7" s="49">
        <f>IF(L7="Paid",0,IF(L7="Sent",MAX(0,TODAY()-M7),""))</f>
        <v/>
      </c>
      <c r="P7" s="46">
        <f>IF(L7="Paid","Paid",IF(L7&lt;&gt;"Sent","",IF(O7&lt;=0,"Current",IF(O7&lt;=30,"1-30",IF(O7&lt;=60,"31-60","60+")))))</f>
        <v/>
      </c>
      <c r="Q7" s="67" t="inlineStr">
        <is>
          <t>Demurrage on Deal 184182 — Beira → Lusaka</t>
        </is>
      </c>
    </row>
    <row r="8" ht="32" customHeight="1">
      <c r="B8" s="46" t="inlineStr">
        <is>
          <t>CLM-2026-002</t>
        </is>
      </c>
      <c r="C8" s="47" t="n">
        <v>46157</v>
      </c>
      <c r="D8" s="46" t="n">
        <v>184752</v>
      </c>
      <c r="E8" s="67">
        <f>IFERROR(VLOOKUP(D8,Deals[#All],2,FALSE),"")</f>
        <v/>
      </c>
      <c r="F8" s="67" t="inlineStr">
        <is>
          <t>Rubis Energy Zambia
[Bill-to address]
[City]
[Country]</t>
        </is>
      </c>
      <c r="G8" s="47" t="n">
        <v>46006</v>
      </c>
      <c r="H8" s="47" t="n">
        <v>46035</v>
      </c>
      <c r="I8" s="49">
        <f>COUNTIF(Trips[Claim No.],B8)</f>
        <v/>
      </c>
      <c r="J8" s="50">
        <f>SUMIF(Trips[Claim No.],B8,Trips[Demurrage (USD)])</f>
        <v/>
      </c>
      <c r="K8" s="46">
        <f>CCY</f>
        <v/>
      </c>
      <c r="L8" s="46" t="inlineStr">
        <is>
          <t>Draft</t>
        </is>
      </c>
      <c r="M8" s="47">
        <f>C8+PAY_TERMS</f>
        <v/>
      </c>
      <c r="N8" s="47" t="n"/>
      <c r="O8" s="49">
        <f>IF(L8="Paid",0,IF(L8="Sent",MAX(0,TODAY()-M8),""))</f>
        <v/>
      </c>
      <c r="P8" s="46">
        <f>IF(L8="Paid","Paid",IF(L8&lt;&gt;"Sent","",IF(O8&lt;=0,"Current",IF(O8&lt;=30,"1-30",IF(O8&lt;=60,"31-60","60+")))))</f>
        <v/>
      </c>
      <c r="Q8" s="67" t="inlineStr">
        <is>
          <t>Demurrage on Deal 184752 — Beira → Lusaka</t>
        </is>
      </c>
    </row>
    <row r="9" ht="32" customHeight="1">
      <c r="B9" s="46" t="inlineStr">
        <is>
          <t>CLM-2026-003</t>
        </is>
      </c>
      <c r="C9" s="47" t="n">
        <v>46157</v>
      </c>
      <c r="D9" s="46" t="n">
        <v>184834</v>
      </c>
      <c r="E9" s="67">
        <f>IFERROR(VLOOKUP(D9,Deals[#All],2,FALSE),"")</f>
        <v/>
      </c>
      <c r="F9" s="67" t="inlineStr">
        <is>
          <t>Reliance Energy Zambia
[Bill-to address]
[City]
[Country]</t>
        </is>
      </c>
      <c r="G9" s="47" t="n">
        <v>46011</v>
      </c>
      <c r="H9" s="47" t="n">
        <v>46017</v>
      </c>
      <c r="I9" s="49">
        <f>COUNTIF(Trips[Claim No.],B9)</f>
        <v/>
      </c>
      <c r="J9" s="50">
        <f>SUMIF(Trips[Claim No.],B9,Trips[Demurrage (USD)])</f>
        <v/>
      </c>
      <c r="K9" s="46">
        <f>CCY</f>
        <v/>
      </c>
      <c r="L9" s="46" t="inlineStr">
        <is>
          <t>Draft</t>
        </is>
      </c>
      <c r="M9" s="47">
        <f>C9+PAY_TERMS</f>
        <v/>
      </c>
      <c r="N9" s="47" t="n"/>
      <c r="O9" s="49">
        <f>IF(L9="Paid",0,IF(L9="Sent",MAX(0,TODAY()-M9),""))</f>
        <v/>
      </c>
      <c r="P9" s="46">
        <f>IF(L9="Paid","Paid",IF(L9&lt;&gt;"Sent","",IF(O9&lt;=0,"Current",IF(O9&lt;=30,"1-30",IF(O9&lt;=60,"31-60","60+")))))</f>
        <v/>
      </c>
      <c r="Q9" s="67" t="inlineStr">
        <is>
          <t>Demurrage on Deal 184834 — Beira → Lusaka</t>
        </is>
      </c>
    </row>
    <row r="10" ht="32" customHeight="1">
      <c r="B10" s="46" t="inlineStr">
        <is>
          <t>CLM-2026-004</t>
        </is>
      </c>
      <c r="C10" s="47" t="n">
        <v>46157</v>
      </c>
      <c r="D10" s="46" t="n">
        <v>187293</v>
      </c>
      <c r="E10" s="67">
        <f>IFERROR(VLOOKUP(D10,Deals[#All],2,FALSE),"")</f>
        <v/>
      </c>
      <c r="F10" s="67" t="inlineStr">
        <is>
          <t>Lake Petroleum Zambia
[Bill-to address]
[City]
[Country]</t>
        </is>
      </c>
      <c r="G10" s="47" t="n">
        <v>46079</v>
      </c>
      <c r="H10" s="47" t="n">
        <v>46114</v>
      </c>
      <c r="I10" s="49">
        <f>COUNTIF(Trips[Claim No.],B10)</f>
        <v/>
      </c>
      <c r="J10" s="50">
        <f>SUMIF(Trips[Claim No.],B10,Trips[Demurrage (USD)])</f>
        <v/>
      </c>
      <c r="K10" s="46">
        <f>CCY</f>
        <v/>
      </c>
      <c r="L10" s="46" t="inlineStr">
        <is>
          <t>Draft</t>
        </is>
      </c>
      <c r="M10" s="47">
        <f>C10+PAY_TERMS</f>
        <v/>
      </c>
      <c r="N10" s="47" t="n"/>
      <c r="O10" s="49">
        <f>IF(L10="Paid",0,IF(L10="Sent",MAX(0,TODAY()-M10),""))</f>
        <v/>
      </c>
      <c r="P10" s="46">
        <f>IF(L10="Paid","Paid",IF(L10&lt;&gt;"Sent","",IF(O10&lt;=0,"Current",IF(O10&lt;=30,"1-30",IF(O10&lt;=60,"31-60","60+")))))</f>
        <v/>
      </c>
      <c r="Q10" s="67" t="inlineStr">
        <is>
          <t>Demurrage on Deal 187293 — Beira → Lusaka</t>
        </is>
      </c>
    </row>
    <row r="11" ht="32" customHeight="1">
      <c r="B11" s="46" t="inlineStr">
        <is>
          <t>CLM-2026-005</t>
        </is>
      </c>
      <c r="C11" s="47" t="n">
        <v>46157</v>
      </c>
      <c r="D11" s="46" t="n">
        <v>187296</v>
      </c>
      <c r="E11" s="67">
        <f>IFERROR(VLOOKUP(D11,Deals[#All],2,FALSE),"")</f>
        <v/>
      </c>
      <c r="F11" s="67" t="inlineStr">
        <is>
          <t>Rubis Energy Zambia
[Bill-to address]
[City]
[Country]</t>
        </is>
      </c>
      <c r="G11" s="47" t="n">
        <v>46072</v>
      </c>
      <c r="H11" s="47" t="n">
        <v>46090</v>
      </c>
      <c r="I11" s="49">
        <f>COUNTIF(Trips[Claim No.],B11)</f>
        <v/>
      </c>
      <c r="J11" s="50">
        <f>SUMIF(Trips[Claim No.],B11,Trips[Demurrage (USD)])</f>
        <v/>
      </c>
      <c r="K11" s="46">
        <f>CCY</f>
        <v/>
      </c>
      <c r="L11" s="46" t="inlineStr">
        <is>
          <t>Draft</t>
        </is>
      </c>
      <c r="M11" s="47">
        <f>C11+PAY_TERMS</f>
        <v/>
      </c>
      <c r="N11" s="47" t="n"/>
      <c r="O11" s="49">
        <f>IF(L11="Paid",0,IF(L11="Sent",MAX(0,TODAY()-M11),""))</f>
        <v/>
      </c>
      <c r="P11" s="46">
        <f>IF(L11="Paid","Paid",IF(L11&lt;&gt;"Sent","",IF(O11&lt;=0,"Current",IF(O11&lt;=30,"1-30",IF(O11&lt;=60,"31-60","60+")))))</f>
        <v/>
      </c>
      <c r="Q11" s="67" t="inlineStr">
        <is>
          <t>Demurrage on Deal 187296 — Beira → Lusaka</t>
        </is>
      </c>
    </row>
    <row r="12" ht="32" customHeight="1">
      <c r="B12" s="46" t="inlineStr">
        <is>
          <t>CLM-2026-006</t>
        </is>
      </c>
      <c r="C12" s="47" t="n">
        <v>46157</v>
      </c>
      <c r="D12" s="46" t="n">
        <v>189084</v>
      </c>
      <c r="E12" s="67">
        <f>IFERROR(VLOOKUP(D12,Deals[#All],2,FALSE),"")</f>
        <v/>
      </c>
      <c r="F12" s="67" t="inlineStr">
        <is>
          <t>Rubis Energy Zambia
[Bill-to address]
[City]
[Country]</t>
        </is>
      </c>
      <c r="G12" s="47" t="n">
        <v>46105</v>
      </c>
      <c r="H12" s="47" t="n">
        <v>46116</v>
      </c>
      <c r="I12" s="49">
        <f>COUNTIF(Trips[Claim No.],B12)</f>
        <v/>
      </c>
      <c r="J12" s="50">
        <f>SUMIF(Trips[Claim No.],B12,Trips[Demurrage (USD)])</f>
        <v/>
      </c>
      <c r="K12" s="46">
        <f>CCY</f>
        <v/>
      </c>
      <c r="L12" s="46" t="inlineStr">
        <is>
          <t>Draft</t>
        </is>
      </c>
      <c r="M12" s="47">
        <f>C12+PAY_TERMS</f>
        <v/>
      </c>
      <c r="N12" s="47" t="n"/>
      <c r="O12" s="49">
        <f>IF(L12="Paid",0,IF(L12="Sent",MAX(0,TODAY()-M12),""))</f>
        <v/>
      </c>
      <c r="P12" s="46">
        <f>IF(L12="Paid","Paid",IF(L12&lt;&gt;"Sent","",IF(O12&lt;=0,"Current",IF(O12&lt;=30,"1-30",IF(O12&lt;=60,"31-60","60+")))))</f>
        <v/>
      </c>
      <c r="Q12" s="67" t="inlineStr">
        <is>
          <t>Demurrage on Deal 189084 — Beira → Lusaka</t>
        </is>
      </c>
    </row>
    <row r="13" ht="32" customHeight="1">
      <c r="B13" s="46" t="inlineStr">
        <is>
          <t>CLM-2026-007</t>
        </is>
      </c>
      <c r="C13" s="47" t="n">
        <v>46157</v>
      </c>
      <c r="D13" s="46" t="n">
        <v>190261</v>
      </c>
      <c r="E13" s="67">
        <f>IFERROR(VLOOKUP(D13,Deals[#All],2,FALSE),"")</f>
        <v/>
      </c>
      <c r="F13" s="67" t="inlineStr">
        <is>
          <t>Lake Petroleum Zambia
[Bill-to address]
[City]
[Country]</t>
        </is>
      </c>
      <c r="G13" s="47" t="n">
        <v>46147</v>
      </c>
      <c r="H13" s="47" t="n">
        <v>46152</v>
      </c>
      <c r="I13" s="49">
        <f>COUNTIF(Trips[Claim No.],B13)</f>
        <v/>
      </c>
      <c r="J13" s="50">
        <f>SUMIF(Trips[Claim No.],B13,Trips[Demurrage (USD)])</f>
        <v/>
      </c>
      <c r="K13" s="46">
        <f>CCY</f>
        <v/>
      </c>
      <c r="L13" s="46" t="inlineStr">
        <is>
          <t>Draft</t>
        </is>
      </c>
      <c r="M13" s="47">
        <f>C13+PAY_TERMS</f>
        <v/>
      </c>
      <c r="N13" s="47" t="n"/>
      <c r="O13" s="49">
        <f>IF(L13="Paid",0,IF(L13="Sent",MAX(0,TODAY()-M13),""))</f>
        <v/>
      </c>
      <c r="P13" s="46">
        <f>IF(L13="Paid","Paid",IF(L13&lt;&gt;"Sent","",IF(O13&lt;=0,"Current",IF(O13&lt;=30,"1-30",IF(O13&lt;=60,"31-60","60+")))))</f>
        <v/>
      </c>
      <c r="Q13" s="67" t="inlineStr">
        <is>
          <t>Demurrage on Deal 190261 — Beira → Lusaka</t>
        </is>
      </c>
    </row>
    <row r="14" ht="32" customHeight="1">
      <c r="B14" s="46" t="inlineStr">
        <is>
          <t>CLM-2026-008</t>
        </is>
      </c>
      <c r="C14" s="47" t="n">
        <v>46157</v>
      </c>
      <c r="D14" s="46" t="n">
        <v>190664</v>
      </c>
      <c r="E14" s="67">
        <f>IFERROR(VLOOKUP(D14,Deals[#All],2,FALSE),"")</f>
        <v/>
      </c>
      <c r="F14" s="67" t="inlineStr">
        <is>
          <t>Rubis Energy Zambia
[Bill-to address]
[City]
[Country]</t>
        </is>
      </c>
      <c r="G14" s="47" t="n">
        <v>46132</v>
      </c>
      <c r="H14" s="47" t="n">
        <v>46151</v>
      </c>
      <c r="I14" s="49">
        <f>COUNTIF(Trips[Claim No.],B14)</f>
        <v/>
      </c>
      <c r="J14" s="50">
        <f>SUMIF(Trips[Claim No.],B14,Trips[Demurrage (USD)])</f>
        <v/>
      </c>
      <c r="K14" s="46">
        <f>CCY</f>
        <v/>
      </c>
      <c r="L14" s="46" t="inlineStr">
        <is>
          <t>Draft</t>
        </is>
      </c>
      <c r="M14" s="47">
        <f>C14+PAY_TERMS</f>
        <v/>
      </c>
      <c r="N14" s="47" t="n"/>
      <c r="O14" s="49">
        <f>IF(L14="Paid",0,IF(L14="Sent",MAX(0,TODAY()-M14),""))</f>
        <v/>
      </c>
      <c r="P14" s="46">
        <f>IF(L14="Paid","Paid",IF(L14&lt;&gt;"Sent","",IF(O14&lt;=0,"Current",IF(O14&lt;=30,"1-30",IF(O14&lt;=60,"31-60","60+")))))</f>
        <v/>
      </c>
      <c r="Q14" s="67" t="inlineStr">
        <is>
          <t>Demurrage on Deal 190664 — Beira → Lusaka</t>
        </is>
      </c>
    </row>
    <row r="15" ht="32" customHeight="1">
      <c r="B15" s="46" t="inlineStr">
        <is>
          <t>CLM-2026-009</t>
        </is>
      </c>
      <c r="C15" s="47" t="n">
        <v>46157</v>
      </c>
      <c r="D15" s="46" t="n">
        <v>191610</v>
      </c>
      <c r="E15" s="67">
        <f>IFERROR(VLOOKUP(D15,Deals[#All],2,FALSE),"")</f>
        <v/>
      </c>
      <c r="F15" s="67" t="inlineStr">
        <is>
          <t>Rubis Energy Zambia
[Bill-to address]
[City]
[Country]</t>
        </is>
      </c>
      <c r="G15" s="47" t="n">
        <v>46150</v>
      </c>
      <c r="H15" s="47" t="n">
        <v>46151</v>
      </c>
      <c r="I15" s="49">
        <f>COUNTIF(Trips[Claim No.],B15)</f>
        <v/>
      </c>
      <c r="J15" s="50">
        <f>SUMIF(Trips[Claim No.],B15,Trips[Demurrage (USD)])</f>
        <v/>
      </c>
      <c r="K15" s="46">
        <f>CCY</f>
        <v/>
      </c>
      <c r="L15" s="46" t="inlineStr">
        <is>
          <t>Draft</t>
        </is>
      </c>
      <c r="M15" s="47">
        <f>C15+PAY_TERMS</f>
        <v/>
      </c>
      <c r="N15" s="47" t="n"/>
      <c r="O15" s="49">
        <f>IF(L15="Paid",0,IF(L15="Sent",MAX(0,TODAY()-M15),""))</f>
        <v/>
      </c>
      <c r="P15" s="46">
        <f>IF(L15="Paid","Paid",IF(L15&lt;&gt;"Sent","",IF(O15&lt;=0,"Current",IF(O15&lt;=30,"1-30",IF(O15&lt;=60,"31-60","60+")))))</f>
        <v/>
      </c>
      <c r="Q15" s="67" t="inlineStr">
        <is>
          <t>Demurrage on Deal 191610 — Beira → Lusaka</t>
        </is>
      </c>
    </row>
    <row r="17">
      <c r="B17" s="68" t="inlineStr">
        <is>
          <t>TOTAL</t>
        </is>
      </c>
      <c r="C17" s="69" t="n"/>
      <c r="D17" s="69" t="n"/>
      <c r="E17" s="69" t="n"/>
      <c r="F17" s="69" t="n"/>
      <c r="G17" s="69" t="n"/>
      <c r="H17" s="69" t="n"/>
      <c r="I17" s="70">
        <f>SUBTOTAL(109,Claims[# Trips])</f>
        <v/>
      </c>
      <c r="J17" s="71">
        <f>SUBTOTAL(109,Claims[Amount (USD)])</f>
        <v/>
      </c>
      <c r="K17" s="69" t="n"/>
      <c r="L17" s="69" t="n"/>
      <c r="M17" s="69" t="n"/>
      <c r="N17" s="69" t="n"/>
      <c r="O17" s="69" t="n"/>
      <c r="P17" s="69" t="n"/>
      <c r="Q17" s="69" t="n"/>
    </row>
  </sheetData>
  <mergeCells count="2">
    <mergeCell ref="B2:Q2"/>
    <mergeCell ref="B3:Q3"/>
  </mergeCells>
  <conditionalFormatting sqref="L7:L15">
    <cfRule type="cellIs" priority="1" operator="equal" dxfId="0">
      <formula>"Paid"</formula>
    </cfRule>
    <cfRule type="cellIs" priority="2" operator="equal" dxfId="1">
      <formula>"Sent"</formula>
    </cfRule>
    <cfRule type="cellIs" priority="3" operator="equal" dxfId="2">
      <formula>"Draft"</formula>
    </cfRule>
    <cfRule type="cellIs" priority="4" operator="equal" dxfId="3">
      <formula>"Cancelled"</formula>
    </cfRule>
  </conditionalFormatting>
  <conditionalFormatting sqref="P7:P15">
    <cfRule type="cellIs" priority="5" operator="equal" dxfId="0">
      <formula>"Current"</formula>
    </cfRule>
    <cfRule type="cellIs" priority="6" operator="equal" dxfId="1">
      <formula>"1-30"</formula>
    </cfRule>
    <cfRule type="cellIs" priority="7" operator="equal" dxfId="4">
      <formula>"31-60"</formula>
    </cfRule>
    <cfRule type="cellIs" priority="8" operator="equal" dxfId="5">
      <formula>"60+"</formula>
    </cfRule>
    <cfRule type="cellIs" priority="9" operator="equal" dxfId="0">
      <formula>"Paid"</formula>
    </cfRule>
  </conditionalFormatting>
  <dataValidations count="1">
    <dataValidation sqref="L7:L506" showDropDown="0" showInputMessage="0" showErrorMessage="0" allowBlank="0" type="list">
      <formula1>"Draft,Sent,Paid,Cancelled"</formula1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9376D"/>
    <outlinePr summaryBelow="1" summaryRight="1"/>
    <pageSetUpPr fitToPage="1"/>
  </sheetPr>
  <dimension ref="B2:V139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13" customWidth="1" min="3" max="3"/>
    <col width="22" customWidth="1" min="4" max="4"/>
    <col width="13" customWidth="1" min="5" max="5"/>
    <col width="12" customWidth="1" min="6" max="6"/>
    <col width="12" customWidth="1" min="7" max="7"/>
    <col width="9" customWidth="1" min="8" max="8"/>
    <col width="13" customWidth="1" min="9" max="9"/>
    <col width="13" customWidth="1" min="10" max="10"/>
    <col width="13" customWidth="1" min="11" max="11"/>
    <col width="20" customWidth="1" min="12" max="12"/>
    <col width="13" customWidth="1" min="13" max="13"/>
    <col width="13" customWidth="1" min="14" max="14"/>
    <col width="10" customWidth="1" min="15" max="15"/>
    <col width="10" customWidth="1" min="16" max="16"/>
    <col width="10" customWidth="1" min="17" max="17"/>
    <col width="11" customWidth="1" min="18" max="18"/>
    <col width="14" customWidth="1" min="19" max="19"/>
    <col width="13" customWidth="1" min="20" max="20"/>
    <col width="16" customWidth="1" min="21" max="21"/>
    <col width="10" customWidth="1" min="22" max="22"/>
  </cols>
  <sheetData>
    <row r="2" ht="32" customHeight="1">
      <c r="B2" s="66" t="inlineStr">
        <is>
          <t>TRIPS LEDGER</t>
        </is>
      </c>
    </row>
    <row r="3">
      <c r="B3" s="13" t="inlineStr">
        <is>
          <t>All truck movements. New rows added at the bottom inherit formulas automatically. Assign a Claim No. to bundle trips into a claim.</t>
        </is>
      </c>
    </row>
    <row r="4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</row>
    <row r="6" ht="36" customHeight="1">
      <c r="B6" s="45" t="inlineStr">
        <is>
          <t>Deal No.</t>
        </is>
      </c>
      <c r="C6" s="45" t="inlineStr">
        <is>
          <t>Claim No.</t>
        </is>
      </c>
      <c r="D6" s="45" t="inlineStr">
        <is>
          <t>Consignee</t>
        </is>
      </c>
      <c r="E6" s="45" t="inlineStr">
        <is>
          <t>Date Loaded</t>
        </is>
      </c>
      <c r="F6" s="45" t="inlineStr">
        <is>
          <t>Loading Port</t>
        </is>
      </c>
      <c r="G6" s="45" t="inlineStr">
        <is>
          <t>Destination</t>
        </is>
      </c>
      <c r="H6" s="45" t="inlineStr">
        <is>
          <t>Product</t>
        </is>
      </c>
      <c r="I6" s="45" t="inlineStr">
        <is>
          <t>Truck No.</t>
        </is>
      </c>
      <c r="J6" s="45" t="inlineStr">
        <is>
          <t>Trailer Reg.</t>
        </is>
      </c>
      <c r="K6" s="45" t="inlineStr">
        <is>
          <t>Transporter</t>
        </is>
      </c>
      <c r="L6" s="45" t="inlineStr">
        <is>
          <t>Driver</t>
        </is>
      </c>
      <c r="M6" s="45" t="inlineStr">
        <is>
          <t>Arrival</t>
        </is>
      </c>
      <c r="N6" s="45" t="inlineStr">
        <is>
          <t>Offloaded</t>
        </is>
      </c>
      <c r="O6" s="45" t="inlineStr">
        <is>
          <t>Waiting (d)</t>
        </is>
      </c>
      <c r="P6" s="45" t="inlineStr">
        <is>
          <t>Laytime (d)</t>
        </is>
      </c>
      <c r="Q6" s="45" t="inlineStr">
        <is>
          <t>Excess (d)</t>
        </is>
      </c>
      <c r="R6" s="45" t="inlineStr">
        <is>
          <t>Rate (USD)</t>
        </is>
      </c>
      <c r="S6" s="45" t="inlineStr">
        <is>
          <t>Demurrage (USD)</t>
        </is>
      </c>
      <c r="T6" s="45" t="inlineStr">
        <is>
          <t>Status</t>
        </is>
      </c>
      <c r="U6" s="45" t="inlineStr">
        <is>
          <t>Sanity</t>
        </is>
      </c>
      <c r="V6" s="45" t="inlineStr">
        <is>
          <t>Month</t>
        </is>
      </c>
    </row>
    <row r="7">
      <c r="B7" s="46" t="n">
        <v>184752</v>
      </c>
      <c r="C7" s="46" t="inlineStr">
        <is>
          <t>CLM-2026-002</t>
        </is>
      </c>
      <c r="D7" s="48" t="inlineStr">
        <is>
          <t>Rubis Energy Zambia</t>
        </is>
      </c>
      <c r="E7" s="47" t="n">
        <v>46006</v>
      </c>
      <c r="F7" s="48" t="inlineStr">
        <is>
          <t>Beira</t>
        </is>
      </c>
      <c r="G7" s="48" t="inlineStr">
        <is>
          <t>Lusaka</t>
        </is>
      </c>
      <c r="H7" s="48" t="inlineStr">
        <is>
          <t>PMS</t>
        </is>
      </c>
      <c r="I7" s="48" t="inlineStr">
        <is>
          <t>AHN 716 MP</t>
        </is>
      </c>
      <c r="J7" s="48" t="inlineStr">
        <is>
          <t>AJ 041 MC</t>
        </is>
      </c>
      <c r="K7" s="48" t="inlineStr">
        <is>
          <t>WHC</t>
        </is>
      </c>
      <c r="L7" s="48" t="inlineStr">
        <is>
          <t>Average Chitengwa</t>
        </is>
      </c>
      <c r="M7" s="47" t="n">
        <v>46011</v>
      </c>
      <c r="N7" s="47" t="n">
        <v>46015</v>
      </c>
      <c r="O7" s="49">
        <f>IF(OR(L7="",M7=""),"",M7-L7)</f>
        <v/>
      </c>
      <c r="P7" s="49">
        <f>IFERROR(VLOOKUP(B7,Deals[#All],7,FALSE),DEF_LAYTIME)</f>
        <v/>
      </c>
      <c r="Q7" s="49">
        <f>IF(O7="","",MAX(0,O7-P7))</f>
        <v/>
      </c>
      <c r="R7" s="50">
        <f>IFERROR(VLOOKUP(B7,Deals[#All],8,FALSE),DEF_RATE)</f>
        <v/>
      </c>
      <c r="S7" s="50">
        <f>IF(Q7="","",Q7*R7)</f>
        <v/>
      </c>
      <c r="T7" s="46">
        <f>IF(O7="","PENDING",IF(Q7&gt;0,"DEMURRAGE","ON-TIME"))</f>
        <v/>
      </c>
      <c r="U7" s="46">
        <f>IF(AND(E7&lt;&gt;"",M7&lt;&gt;"",M7&lt;E7),"⚠ Arr&lt;Loaded",IF(AND(M7&lt;&gt;"",N7&lt;&gt;"",N7&lt;M7),"⚠ Off&lt;Arr","OK"))</f>
        <v/>
      </c>
      <c r="V7" s="46">
        <f>IF(E7="","",TEXT(E7,"yyyy-mm"))</f>
        <v/>
      </c>
    </row>
    <row r="8">
      <c r="B8" s="46" t="n">
        <v>184752</v>
      </c>
      <c r="C8" s="46" t="inlineStr">
        <is>
          <t>CLM-2026-002</t>
        </is>
      </c>
      <c r="D8" s="48" t="inlineStr">
        <is>
          <t>Rubis Energy Zambia</t>
        </is>
      </c>
      <c r="E8" s="47" t="n">
        <v>46006</v>
      </c>
      <c r="F8" s="48" t="inlineStr">
        <is>
          <t>Beira</t>
        </is>
      </c>
      <c r="G8" s="48" t="inlineStr">
        <is>
          <t>Lusaka</t>
        </is>
      </c>
      <c r="H8" s="48" t="inlineStr">
        <is>
          <t>PMS</t>
        </is>
      </c>
      <c r="I8" s="48" t="inlineStr">
        <is>
          <t>AFW 378 MP</t>
        </is>
      </c>
      <c r="J8" s="48" t="inlineStr">
        <is>
          <t>AE 731 MC</t>
        </is>
      </c>
      <c r="K8" s="48" t="inlineStr">
        <is>
          <t>WHC</t>
        </is>
      </c>
      <c r="L8" s="48" t="inlineStr">
        <is>
          <t>Kangai Tafirenyika</t>
        </is>
      </c>
      <c r="M8" s="47" t="n">
        <v>46011</v>
      </c>
      <c r="N8" s="47" t="n">
        <v>46015</v>
      </c>
      <c r="O8" s="49">
        <f>IF(OR(L8="",M8=""),"",M8-L8)</f>
        <v/>
      </c>
      <c r="P8" s="49">
        <f>IFERROR(VLOOKUP(B8,Deals[#All],7,FALSE),DEF_LAYTIME)</f>
        <v/>
      </c>
      <c r="Q8" s="49">
        <f>IF(O8="","",MAX(0,O8-P8))</f>
        <v/>
      </c>
      <c r="R8" s="50">
        <f>IFERROR(VLOOKUP(B8,Deals[#All],8,FALSE),DEF_RATE)</f>
        <v/>
      </c>
      <c r="S8" s="50">
        <f>IF(Q8="","",Q8*R8)</f>
        <v/>
      </c>
      <c r="T8" s="46">
        <f>IF(O8="","PENDING",IF(Q8&gt;0,"DEMURRAGE","ON-TIME"))</f>
        <v/>
      </c>
      <c r="U8" s="46">
        <f>IF(AND(E8&lt;&gt;"",M8&lt;&gt;"",M8&lt;E8),"⚠ Arr&lt;Loaded",IF(AND(M8&lt;&gt;"",N8&lt;&gt;"",N8&lt;M8),"⚠ Off&lt;Arr","OK"))</f>
        <v/>
      </c>
      <c r="V8" s="46">
        <f>IF(E8="","",TEXT(E8,"yyyy-mm"))</f>
        <v/>
      </c>
    </row>
    <row r="9">
      <c r="B9" s="46" t="n">
        <v>184752</v>
      </c>
      <c r="C9" s="46" t="inlineStr">
        <is>
          <t>CLM-2026-002</t>
        </is>
      </c>
      <c r="D9" s="48" t="inlineStr">
        <is>
          <t>Rubis Energy Zambia</t>
        </is>
      </c>
      <c r="E9" s="47" t="n">
        <v>46006</v>
      </c>
      <c r="F9" s="48" t="inlineStr">
        <is>
          <t>Beira</t>
        </is>
      </c>
      <c r="G9" s="48" t="inlineStr">
        <is>
          <t>Lusaka</t>
        </is>
      </c>
      <c r="H9" s="48" t="inlineStr">
        <is>
          <t>PMS</t>
        </is>
      </c>
      <c r="I9" s="48" t="inlineStr">
        <is>
          <t>AIB 049 MC</t>
        </is>
      </c>
      <c r="J9" s="48" t="inlineStr">
        <is>
          <t>AF 715 MC</t>
        </is>
      </c>
      <c r="K9" s="48" t="inlineStr">
        <is>
          <t>WHC</t>
        </is>
      </c>
      <c r="L9" s="48" t="inlineStr">
        <is>
          <t>Kumirai Krispen</t>
        </is>
      </c>
      <c r="M9" s="47" t="n">
        <v>46011</v>
      </c>
      <c r="N9" s="47" t="n">
        <v>46015</v>
      </c>
      <c r="O9" s="49">
        <f>IF(OR(L9="",M9=""),"",M9-L9)</f>
        <v/>
      </c>
      <c r="P9" s="49">
        <f>IFERROR(VLOOKUP(B9,Deals[#All],7,FALSE),DEF_LAYTIME)</f>
        <v/>
      </c>
      <c r="Q9" s="49">
        <f>IF(O9="","",MAX(0,O9-P9))</f>
        <v/>
      </c>
      <c r="R9" s="50">
        <f>IFERROR(VLOOKUP(B9,Deals[#All],8,FALSE),DEF_RATE)</f>
        <v/>
      </c>
      <c r="S9" s="50">
        <f>IF(Q9="","",Q9*R9)</f>
        <v/>
      </c>
      <c r="T9" s="46">
        <f>IF(O9="","PENDING",IF(Q9&gt;0,"DEMURRAGE","ON-TIME"))</f>
        <v/>
      </c>
      <c r="U9" s="46">
        <f>IF(AND(E9&lt;&gt;"",M9&lt;&gt;"",M9&lt;E9),"⚠ Arr&lt;Loaded",IF(AND(M9&lt;&gt;"",N9&lt;&gt;"",N9&lt;M9),"⚠ Off&lt;Arr","OK"))</f>
        <v/>
      </c>
      <c r="V9" s="46">
        <f>IF(E9="","",TEXT(E9,"yyyy-mm"))</f>
        <v/>
      </c>
    </row>
    <row r="10">
      <c r="B10" s="46" t="n">
        <v>184752</v>
      </c>
      <c r="C10" s="46" t="inlineStr">
        <is>
          <t>CLM-2026-002</t>
        </is>
      </c>
      <c r="D10" s="48" t="inlineStr">
        <is>
          <t>Rubis Energy Zambia</t>
        </is>
      </c>
      <c r="E10" s="47" t="n">
        <v>46006</v>
      </c>
      <c r="F10" s="48" t="inlineStr">
        <is>
          <t>Beira</t>
        </is>
      </c>
      <c r="G10" s="48" t="inlineStr">
        <is>
          <t>Lusaka</t>
        </is>
      </c>
      <c r="H10" s="48" t="inlineStr">
        <is>
          <t>PMS</t>
        </is>
      </c>
      <c r="I10" s="48" t="inlineStr">
        <is>
          <t>AGU 496 MP</t>
        </is>
      </c>
      <c r="J10" s="48" t="inlineStr">
        <is>
          <t>AF 738 MC</t>
        </is>
      </c>
      <c r="K10" s="48" t="inlineStr">
        <is>
          <t>WHC</t>
        </is>
      </c>
      <c r="L10" s="48" t="inlineStr">
        <is>
          <t>Nhamo Mukwekwerere</t>
        </is>
      </c>
      <c r="M10" s="47" t="n">
        <v>46011</v>
      </c>
      <c r="N10" s="47" t="n">
        <v>46015</v>
      </c>
      <c r="O10" s="49">
        <f>IF(OR(L10="",M10=""),"",M10-L10)</f>
        <v/>
      </c>
      <c r="P10" s="49">
        <f>IFERROR(VLOOKUP(B10,Deals[#All],7,FALSE),DEF_LAYTIME)</f>
        <v/>
      </c>
      <c r="Q10" s="49">
        <f>IF(O10="","",MAX(0,O10-P10))</f>
        <v/>
      </c>
      <c r="R10" s="50">
        <f>IFERROR(VLOOKUP(B10,Deals[#All],8,FALSE),DEF_RATE)</f>
        <v/>
      </c>
      <c r="S10" s="50">
        <f>IF(Q10="","",Q10*R10)</f>
        <v/>
      </c>
      <c r="T10" s="46">
        <f>IF(O10="","PENDING",IF(Q10&gt;0,"DEMURRAGE","ON-TIME"))</f>
        <v/>
      </c>
      <c r="U10" s="46">
        <f>IF(AND(E10&lt;&gt;"",M10&lt;&gt;"",M10&lt;E10),"⚠ Arr&lt;Loaded",IF(AND(M10&lt;&gt;"",N10&lt;&gt;"",N10&lt;M10),"⚠ Off&lt;Arr","OK"))</f>
        <v/>
      </c>
      <c r="V10" s="46">
        <f>IF(E10="","",TEXT(E10,"yyyy-mm"))</f>
        <v/>
      </c>
    </row>
    <row r="11">
      <c r="B11" s="46" t="n">
        <v>184752</v>
      </c>
      <c r="C11" s="46" t="inlineStr">
        <is>
          <t>CLM-2026-002</t>
        </is>
      </c>
      <c r="D11" s="48" t="inlineStr">
        <is>
          <t>Rubis Energy Zambia</t>
        </is>
      </c>
      <c r="E11" s="47" t="n">
        <v>46006</v>
      </c>
      <c r="F11" s="48" t="inlineStr">
        <is>
          <t>Beira</t>
        </is>
      </c>
      <c r="G11" s="48" t="inlineStr">
        <is>
          <t>Lusaka</t>
        </is>
      </c>
      <c r="H11" s="48" t="inlineStr">
        <is>
          <t>PMS</t>
        </is>
      </c>
      <c r="I11" s="48" t="inlineStr">
        <is>
          <t>AJJ 602 MP</t>
        </is>
      </c>
      <c r="J11" s="48" t="inlineStr">
        <is>
          <t>AF 699 MC</t>
        </is>
      </c>
      <c r="K11" s="48" t="inlineStr">
        <is>
          <t>WHC</t>
        </is>
      </c>
      <c r="L11" s="48" t="inlineStr">
        <is>
          <t>Hestings Banda</t>
        </is>
      </c>
      <c r="M11" s="47" t="n">
        <v>46011</v>
      </c>
      <c r="N11" s="47" t="n">
        <v>46015</v>
      </c>
      <c r="O11" s="49">
        <f>IF(OR(L11="",M11=""),"",M11-L11)</f>
        <v/>
      </c>
      <c r="P11" s="49">
        <f>IFERROR(VLOOKUP(B11,Deals[#All],7,FALSE),DEF_LAYTIME)</f>
        <v/>
      </c>
      <c r="Q11" s="49">
        <f>IF(O11="","",MAX(0,O11-P11))</f>
        <v/>
      </c>
      <c r="R11" s="50">
        <f>IFERROR(VLOOKUP(B11,Deals[#All],8,FALSE),DEF_RATE)</f>
        <v/>
      </c>
      <c r="S11" s="50">
        <f>IF(Q11="","",Q11*R11)</f>
        <v/>
      </c>
      <c r="T11" s="46">
        <f>IF(O11="","PENDING",IF(Q11&gt;0,"DEMURRAGE","ON-TIME"))</f>
        <v/>
      </c>
      <c r="U11" s="46">
        <f>IF(AND(E11&lt;&gt;"",M11&lt;&gt;"",M11&lt;E11),"⚠ Arr&lt;Loaded",IF(AND(M11&lt;&gt;"",N11&lt;&gt;"",N11&lt;M11),"⚠ Off&lt;Arr","OK"))</f>
        <v/>
      </c>
      <c r="V11" s="46">
        <f>IF(E11="","",TEXT(E11,"yyyy-mm"))</f>
        <v/>
      </c>
    </row>
    <row r="12">
      <c r="B12" s="46" t="n">
        <v>184752</v>
      </c>
      <c r="C12" s="46" t="inlineStr">
        <is>
          <t>CLM-2026-002</t>
        </is>
      </c>
      <c r="D12" s="48" t="inlineStr">
        <is>
          <t>Rubis Energy Zambia</t>
        </is>
      </c>
      <c r="E12" s="47" t="n">
        <v>46006</v>
      </c>
      <c r="F12" s="48" t="inlineStr">
        <is>
          <t>Beira</t>
        </is>
      </c>
      <c r="G12" s="48" t="inlineStr">
        <is>
          <t>Lusaka</t>
        </is>
      </c>
      <c r="H12" s="48" t="inlineStr">
        <is>
          <t>PMS</t>
        </is>
      </c>
      <c r="I12" s="48" t="inlineStr">
        <is>
          <t>AFV 439 MP</t>
        </is>
      </c>
      <c r="J12" s="48" t="inlineStr">
        <is>
          <t>AE 760 MC</t>
        </is>
      </c>
      <c r="K12" s="48" t="inlineStr">
        <is>
          <t>WHC</t>
        </is>
      </c>
      <c r="L12" s="48" t="inlineStr">
        <is>
          <t>Adelino Silira</t>
        </is>
      </c>
      <c r="M12" s="47" t="n">
        <v>46011</v>
      </c>
      <c r="N12" s="47" t="n">
        <v>46015</v>
      </c>
      <c r="O12" s="49">
        <f>IF(OR(L12="",M12=""),"",M12-L12)</f>
        <v/>
      </c>
      <c r="P12" s="49">
        <f>IFERROR(VLOOKUP(B12,Deals[#All],7,FALSE),DEF_LAYTIME)</f>
        <v/>
      </c>
      <c r="Q12" s="49">
        <f>IF(O12="","",MAX(0,O12-P12))</f>
        <v/>
      </c>
      <c r="R12" s="50">
        <f>IFERROR(VLOOKUP(B12,Deals[#All],8,FALSE),DEF_RATE)</f>
        <v/>
      </c>
      <c r="S12" s="50">
        <f>IF(Q12="","",Q12*R12)</f>
        <v/>
      </c>
      <c r="T12" s="46">
        <f>IF(O12="","PENDING",IF(Q12&gt;0,"DEMURRAGE","ON-TIME"))</f>
        <v/>
      </c>
      <c r="U12" s="46">
        <f>IF(AND(E12&lt;&gt;"",M12&lt;&gt;"",M12&lt;E12),"⚠ Arr&lt;Loaded",IF(AND(M12&lt;&gt;"",N12&lt;&gt;"",N12&lt;M12),"⚠ Off&lt;Arr","OK"))</f>
        <v/>
      </c>
      <c r="V12" s="46">
        <f>IF(E12="","",TEXT(E12,"yyyy-mm"))</f>
        <v/>
      </c>
    </row>
    <row r="13">
      <c r="B13" s="46" t="n">
        <v>184752</v>
      </c>
      <c r="C13" s="46" t="inlineStr">
        <is>
          <t>CLM-2026-002</t>
        </is>
      </c>
      <c r="D13" s="48" t="inlineStr">
        <is>
          <t>Rubis Energy Zambia</t>
        </is>
      </c>
      <c r="E13" s="47" t="n">
        <v>46021</v>
      </c>
      <c r="F13" s="48" t="inlineStr">
        <is>
          <t>Beira</t>
        </is>
      </c>
      <c r="G13" s="48" t="inlineStr">
        <is>
          <t>Lusaka</t>
        </is>
      </c>
      <c r="H13" s="48" t="inlineStr">
        <is>
          <t>PMS</t>
        </is>
      </c>
      <c r="I13" s="48" t="inlineStr">
        <is>
          <t>AIB 049 MC</t>
        </is>
      </c>
      <c r="J13" s="48" t="inlineStr">
        <is>
          <t>AF 715 MC</t>
        </is>
      </c>
      <c r="K13" s="48" t="inlineStr">
        <is>
          <t>WHC</t>
        </is>
      </c>
      <c r="L13" s="48" t="inlineStr">
        <is>
          <t>Kumirai Krispen</t>
        </is>
      </c>
      <c r="M13" s="47" t="n">
        <v>46030</v>
      </c>
      <c r="N13" s="47" t="n">
        <v>46035</v>
      </c>
      <c r="O13" s="49">
        <f>IF(OR(L13="",M13=""),"",M13-L13)</f>
        <v/>
      </c>
      <c r="P13" s="49">
        <f>IFERROR(VLOOKUP(B13,Deals[#All],7,FALSE),DEF_LAYTIME)</f>
        <v/>
      </c>
      <c r="Q13" s="49">
        <f>IF(O13="","",MAX(0,O13-P13))</f>
        <v/>
      </c>
      <c r="R13" s="50">
        <f>IFERROR(VLOOKUP(B13,Deals[#All],8,FALSE),DEF_RATE)</f>
        <v/>
      </c>
      <c r="S13" s="50">
        <f>IF(Q13="","",Q13*R13)</f>
        <v/>
      </c>
      <c r="T13" s="46">
        <f>IF(O13="","PENDING",IF(Q13&gt;0,"DEMURRAGE","ON-TIME"))</f>
        <v/>
      </c>
      <c r="U13" s="46">
        <f>IF(AND(E13&lt;&gt;"",M13&lt;&gt;"",M13&lt;E13),"⚠ Arr&lt;Loaded",IF(AND(M13&lt;&gt;"",N13&lt;&gt;"",N13&lt;M13),"⚠ Off&lt;Arr","OK"))</f>
        <v/>
      </c>
      <c r="V13" s="46">
        <f>IF(E13="","",TEXT(E13,"yyyy-mm"))</f>
        <v/>
      </c>
    </row>
    <row r="14">
      <c r="B14" s="46" t="n">
        <v>184752</v>
      </c>
      <c r="C14" s="46" t="inlineStr">
        <is>
          <t>CLM-2026-002</t>
        </is>
      </c>
      <c r="D14" s="48" t="inlineStr">
        <is>
          <t>Rubis Energy Zambia</t>
        </is>
      </c>
      <c r="E14" s="47" t="n">
        <v>46021</v>
      </c>
      <c r="F14" s="48" t="inlineStr">
        <is>
          <t>Beira</t>
        </is>
      </c>
      <c r="G14" s="48" t="inlineStr">
        <is>
          <t>Lusaka</t>
        </is>
      </c>
      <c r="H14" s="48" t="inlineStr">
        <is>
          <t>PMS</t>
        </is>
      </c>
      <c r="I14" s="48" t="inlineStr">
        <is>
          <t>AFV 439 MP</t>
        </is>
      </c>
      <c r="J14" s="48" t="inlineStr">
        <is>
          <t>AE 760 MC</t>
        </is>
      </c>
      <c r="K14" s="48" t="inlineStr">
        <is>
          <t>WHC</t>
        </is>
      </c>
      <c r="L14" s="48" t="inlineStr">
        <is>
          <t>Adelino Silira</t>
        </is>
      </c>
      <c r="M14" s="47" t="n">
        <v>46030</v>
      </c>
      <c r="N14" s="47" t="n">
        <v>46034</v>
      </c>
      <c r="O14" s="49">
        <f>IF(OR(L14="",M14=""),"",M14-L14)</f>
        <v/>
      </c>
      <c r="P14" s="49">
        <f>IFERROR(VLOOKUP(B14,Deals[#All],7,FALSE),DEF_LAYTIME)</f>
        <v/>
      </c>
      <c r="Q14" s="49">
        <f>IF(O14="","",MAX(0,O14-P14))</f>
        <v/>
      </c>
      <c r="R14" s="50">
        <f>IFERROR(VLOOKUP(B14,Deals[#All],8,FALSE),DEF_RATE)</f>
        <v/>
      </c>
      <c r="S14" s="50">
        <f>IF(Q14="","",Q14*R14)</f>
        <v/>
      </c>
      <c r="T14" s="46">
        <f>IF(O14="","PENDING",IF(Q14&gt;0,"DEMURRAGE","ON-TIME"))</f>
        <v/>
      </c>
      <c r="U14" s="46">
        <f>IF(AND(E14&lt;&gt;"",M14&lt;&gt;"",M14&lt;E14),"⚠ Arr&lt;Loaded",IF(AND(M14&lt;&gt;"",N14&lt;&gt;"",N14&lt;M14),"⚠ Off&lt;Arr","OK"))</f>
        <v/>
      </c>
      <c r="V14" s="46">
        <f>IF(E14="","",TEXT(E14,"yyyy-mm"))</f>
        <v/>
      </c>
    </row>
    <row r="15">
      <c r="B15" s="46" t="n">
        <v>184752</v>
      </c>
      <c r="C15" s="46" t="inlineStr">
        <is>
          <t>CLM-2026-002</t>
        </is>
      </c>
      <c r="D15" s="48" t="inlineStr">
        <is>
          <t>Rubis Energy Zambia</t>
        </is>
      </c>
      <c r="E15" s="47" t="n">
        <v>46021</v>
      </c>
      <c r="F15" s="48" t="inlineStr">
        <is>
          <t>Beira</t>
        </is>
      </c>
      <c r="G15" s="48" t="inlineStr">
        <is>
          <t>Lusaka</t>
        </is>
      </c>
      <c r="H15" s="48" t="inlineStr">
        <is>
          <t>PMS</t>
        </is>
      </c>
      <c r="I15" s="48" t="inlineStr">
        <is>
          <t>AIQ 955 MP</t>
        </is>
      </c>
      <c r="J15" s="48" t="inlineStr">
        <is>
          <t>AJ 042 MC</t>
        </is>
      </c>
      <c r="K15" s="48" t="inlineStr">
        <is>
          <t>WHC</t>
        </is>
      </c>
      <c r="L15" s="48" t="inlineStr">
        <is>
          <t>Maxwell Shamu</t>
        </is>
      </c>
      <c r="M15" s="47" t="n">
        <v>46030</v>
      </c>
      <c r="N15" s="47" t="n">
        <v>46035</v>
      </c>
      <c r="O15" s="49">
        <f>IF(OR(L15="",M15=""),"",M15-L15)</f>
        <v/>
      </c>
      <c r="P15" s="49">
        <f>IFERROR(VLOOKUP(B15,Deals[#All],7,FALSE),DEF_LAYTIME)</f>
        <v/>
      </c>
      <c r="Q15" s="49">
        <f>IF(O15="","",MAX(0,O15-P15))</f>
        <v/>
      </c>
      <c r="R15" s="50">
        <f>IFERROR(VLOOKUP(B15,Deals[#All],8,FALSE),DEF_RATE)</f>
        <v/>
      </c>
      <c r="S15" s="50">
        <f>IF(Q15="","",Q15*R15)</f>
        <v/>
      </c>
      <c r="T15" s="46">
        <f>IF(O15="","PENDING",IF(Q15&gt;0,"DEMURRAGE","ON-TIME"))</f>
        <v/>
      </c>
      <c r="U15" s="46">
        <f>IF(AND(E15&lt;&gt;"",M15&lt;&gt;"",M15&lt;E15),"⚠ Arr&lt;Loaded",IF(AND(M15&lt;&gt;"",N15&lt;&gt;"",N15&lt;M15),"⚠ Off&lt;Arr","OK"))</f>
        <v/>
      </c>
      <c r="V15" s="46">
        <f>IF(E15="","",TEXT(E15,"yyyy-mm"))</f>
        <v/>
      </c>
    </row>
    <row r="16">
      <c r="B16" s="46" t="n">
        <v>184752</v>
      </c>
      <c r="C16" s="46" t="inlineStr">
        <is>
          <t>CLM-2026-002</t>
        </is>
      </c>
      <c r="D16" s="48" t="inlineStr">
        <is>
          <t>Rubis Energy Zambia</t>
        </is>
      </c>
      <c r="E16" s="47" t="n">
        <v>46021</v>
      </c>
      <c r="F16" s="48" t="inlineStr">
        <is>
          <t>Beira</t>
        </is>
      </c>
      <c r="G16" s="48" t="inlineStr">
        <is>
          <t>Lusaka</t>
        </is>
      </c>
      <c r="H16" s="48" t="inlineStr">
        <is>
          <t>PMS</t>
        </is>
      </c>
      <c r="I16" s="48" t="inlineStr">
        <is>
          <t>AAX 014 SF</t>
        </is>
      </c>
      <c r="J16" s="48" t="inlineStr">
        <is>
          <t>AA 475 MC</t>
        </is>
      </c>
      <c r="K16" s="48" t="inlineStr">
        <is>
          <t>WHC</t>
        </is>
      </c>
      <c r="L16" s="48" t="inlineStr">
        <is>
          <t>Clayton Kamudzeya</t>
        </is>
      </c>
      <c r="M16" s="47" t="n">
        <v>46030</v>
      </c>
      <c r="N16" s="47" t="n">
        <v>46034</v>
      </c>
      <c r="O16" s="49">
        <f>IF(OR(L16="",M16=""),"",M16-L16)</f>
        <v/>
      </c>
      <c r="P16" s="49">
        <f>IFERROR(VLOOKUP(B16,Deals[#All],7,FALSE),DEF_LAYTIME)</f>
        <v/>
      </c>
      <c r="Q16" s="49">
        <f>IF(O16="","",MAX(0,O16-P16))</f>
        <v/>
      </c>
      <c r="R16" s="50">
        <f>IFERROR(VLOOKUP(B16,Deals[#All],8,FALSE),DEF_RATE)</f>
        <v/>
      </c>
      <c r="S16" s="50">
        <f>IF(Q16="","",Q16*R16)</f>
        <v/>
      </c>
      <c r="T16" s="46">
        <f>IF(O16="","PENDING",IF(Q16&gt;0,"DEMURRAGE","ON-TIME"))</f>
        <v/>
      </c>
      <c r="U16" s="46">
        <f>IF(AND(E16&lt;&gt;"",M16&lt;&gt;"",M16&lt;E16),"⚠ Arr&lt;Loaded",IF(AND(M16&lt;&gt;"",N16&lt;&gt;"",N16&lt;M16),"⚠ Off&lt;Arr","OK"))</f>
        <v/>
      </c>
      <c r="V16" s="46">
        <f>IF(E16="","",TEXT(E16,"yyyy-mm"))</f>
        <v/>
      </c>
    </row>
    <row r="17">
      <c r="B17" s="46" t="n">
        <v>184834</v>
      </c>
      <c r="C17" s="46" t="inlineStr">
        <is>
          <t>CLM-2026-003</t>
        </is>
      </c>
      <c r="D17" s="48" t="inlineStr">
        <is>
          <t>Reliance Energy Zambia</t>
        </is>
      </c>
      <c r="E17" s="47" t="n">
        <v>46011</v>
      </c>
      <c r="F17" s="48" t="inlineStr">
        <is>
          <t>Beira</t>
        </is>
      </c>
      <c r="G17" s="48" t="inlineStr">
        <is>
          <t>Lusaka</t>
        </is>
      </c>
      <c r="H17" s="48" t="inlineStr">
        <is>
          <t>PMS</t>
        </is>
      </c>
      <c r="I17" s="48" t="inlineStr">
        <is>
          <t>AKO080MC</t>
        </is>
      </c>
      <c r="J17" s="48" t="inlineStr">
        <is>
          <t>AH456MC</t>
        </is>
      </c>
      <c r="K17" s="48" t="inlineStr">
        <is>
          <t>PETRODA</t>
        </is>
      </c>
      <c r="L17" s="48" t="inlineStr">
        <is>
          <t>FERNANDO ULISSONE FERNANDO MATANDIRE</t>
        </is>
      </c>
      <c r="M17" s="47" t="n">
        <v>46016</v>
      </c>
      <c r="N17" s="47" t="n">
        <v>46017</v>
      </c>
      <c r="O17" s="49">
        <f>IF(OR(L17="",M17=""),"",M17-L17)</f>
        <v/>
      </c>
      <c r="P17" s="49">
        <f>IFERROR(VLOOKUP(B17,Deals[#All],7,FALSE),DEF_LAYTIME)</f>
        <v/>
      </c>
      <c r="Q17" s="49">
        <f>IF(O17="","",MAX(0,O17-P17))</f>
        <v/>
      </c>
      <c r="R17" s="50">
        <f>IFERROR(VLOOKUP(B17,Deals[#All],8,FALSE),DEF_RATE)</f>
        <v/>
      </c>
      <c r="S17" s="50">
        <f>IF(Q17="","",Q17*R17)</f>
        <v/>
      </c>
      <c r="T17" s="46">
        <f>IF(O17="","PENDING",IF(Q17&gt;0,"DEMURRAGE","ON-TIME"))</f>
        <v/>
      </c>
      <c r="U17" s="46">
        <f>IF(AND(E17&lt;&gt;"",M17&lt;&gt;"",M17&lt;E17),"⚠ Arr&lt;Loaded",IF(AND(M17&lt;&gt;"",N17&lt;&gt;"",N17&lt;M17),"⚠ Off&lt;Arr","OK"))</f>
        <v/>
      </c>
      <c r="V17" s="46">
        <f>IF(E17="","",TEXT(E17,"yyyy-mm"))</f>
        <v/>
      </c>
    </row>
    <row r="18">
      <c r="B18" s="46" t="n">
        <v>184834</v>
      </c>
      <c r="C18" s="46" t="inlineStr">
        <is>
          <t>CLM-2026-003</t>
        </is>
      </c>
      <c r="D18" s="48" t="inlineStr">
        <is>
          <t>Reliance Energy Zambia</t>
        </is>
      </c>
      <c r="E18" s="47" t="n">
        <v>46011</v>
      </c>
      <c r="F18" s="48" t="inlineStr">
        <is>
          <t>Beira</t>
        </is>
      </c>
      <c r="G18" s="48" t="inlineStr">
        <is>
          <t>Lusaka</t>
        </is>
      </c>
      <c r="H18" s="48" t="inlineStr">
        <is>
          <t>PMS</t>
        </is>
      </c>
      <c r="I18" s="48" t="inlineStr">
        <is>
          <t>AKN021MC</t>
        </is>
      </c>
      <c r="J18" s="48" t="inlineStr">
        <is>
          <t>AH430MC</t>
        </is>
      </c>
      <c r="K18" s="48" t="inlineStr">
        <is>
          <t>PETRODA</t>
        </is>
      </c>
      <c r="L18" s="48" t="inlineStr">
        <is>
          <t>CHICONDI RAIMUNDO TEMBO</t>
        </is>
      </c>
      <c r="M18" s="47" t="n">
        <v>46016</v>
      </c>
      <c r="N18" s="47" t="n">
        <v>46017</v>
      </c>
      <c r="O18" s="49">
        <f>IF(OR(L18="",M18=""),"",M18-L18)</f>
        <v/>
      </c>
      <c r="P18" s="49">
        <f>IFERROR(VLOOKUP(B18,Deals[#All],7,FALSE),DEF_LAYTIME)</f>
        <v/>
      </c>
      <c r="Q18" s="49">
        <f>IF(O18="","",MAX(0,O18-P18))</f>
        <v/>
      </c>
      <c r="R18" s="50">
        <f>IFERROR(VLOOKUP(B18,Deals[#All],8,FALSE),DEF_RATE)</f>
        <v/>
      </c>
      <c r="S18" s="50">
        <f>IF(Q18="","",Q18*R18)</f>
        <v/>
      </c>
      <c r="T18" s="46">
        <f>IF(O18="","PENDING",IF(Q18&gt;0,"DEMURRAGE","ON-TIME"))</f>
        <v/>
      </c>
      <c r="U18" s="46">
        <f>IF(AND(E18&lt;&gt;"",M18&lt;&gt;"",M18&lt;E18),"⚠ Arr&lt;Loaded",IF(AND(M18&lt;&gt;"",N18&lt;&gt;"",N18&lt;M18),"⚠ Off&lt;Arr","OK"))</f>
        <v/>
      </c>
      <c r="V18" s="46">
        <f>IF(E18="","",TEXT(E18,"yyyy-mm"))</f>
        <v/>
      </c>
    </row>
    <row r="19">
      <c r="B19" s="46" t="n">
        <v>184834</v>
      </c>
      <c r="C19" s="46" t="inlineStr">
        <is>
          <t>CLM-2026-003</t>
        </is>
      </c>
      <c r="D19" s="48" t="inlineStr">
        <is>
          <t>Reliance Energy Zambia</t>
        </is>
      </c>
      <c r="E19" s="47" t="n">
        <v>46011</v>
      </c>
      <c r="F19" s="48" t="inlineStr">
        <is>
          <t>Beira</t>
        </is>
      </c>
      <c r="G19" s="48" t="inlineStr">
        <is>
          <t>Lusaka</t>
        </is>
      </c>
      <c r="H19" s="48" t="inlineStr">
        <is>
          <t>PMS</t>
        </is>
      </c>
      <c r="I19" s="48" t="inlineStr">
        <is>
          <t>AK0101MC</t>
        </is>
      </c>
      <c r="J19" s="48" t="inlineStr">
        <is>
          <t>AH451MC</t>
        </is>
      </c>
      <c r="K19" s="48" t="inlineStr">
        <is>
          <t>PETRODA</t>
        </is>
      </c>
      <c r="L19" s="48" t="inlineStr">
        <is>
          <t>PEREIRA FERNANDO ARGOLA</t>
        </is>
      </c>
      <c r="M19" s="47" t="n">
        <v>46015</v>
      </c>
      <c r="N19" s="47" t="n">
        <v>46015</v>
      </c>
      <c r="O19" s="49">
        <f>IF(OR(L19="",M19=""),"",M19-L19)</f>
        <v/>
      </c>
      <c r="P19" s="49">
        <f>IFERROR(VLOOKUP(B19,Deals[#All],7,FALSE),DEF_LAYTIME)</f>
        <v/>
      </c>
      <c r="Q19" s="49">
        <f>IF(O19="","",MAX(0,O19-P19))</f>
        <v/>
      </c>
      <c r="R19" s="50">
        <f>IFERROR(VLOOKUP(B19,Deals[#All],8,FALSE),DEF_RATE)</f>
        <v/>
      </c>
      <c r="S19" s="50">
        <f>IF(Q19="","",Q19*R19)</f>
        <v/>
      </c>
      <c r="T19" s="46">
        <f>IF(O19="","PENDING",IF(Q19&gt;0,"DEMURRAGE","ON-TIME"))</f>
        <v/>
      </c>
      <c r="U19" s="46">
        <f>IF(AND(E19&lt;&gt;"",M19&lt;&gt;"",M19&lt;E19),"⚠ Arr&lt;Loaded",IF(AND(M19&lt;&gt;"",N19&lt;&gt;"",N19&lt;M19),"⚠ Off&lt;Arr","OK"))</f>
        <v/>
      </c>
      <c r="V19" s="46">
        <f>IF(E19="","",TEXT(E19,"yyyy-mm"))</f>
        <v/>
      </c>
    </row>
    <row r="20">
      <c r="B20" s="46" t="n">
        <v>184834</v>
      </c>
      <c r="C20" s="46" t="inlineStr">
        <is>
          <t>CLM-2026-003</t>
        </is>
      </c>
      <c r="D20" s="48" t="inlineStr">
        <is>
          <t>Reliance Energy Zambia</t>
        </is>
      </c>
      <c r="E20" s="47" t="n">
        <v>46011</v>
      </c>
      <c r="F20" s="48" t="inlineStr">
        <is>
          <t>Beira</t>
        </is>
      </c>
      <c r="G20" s="48" t="inlineStr">
        <is>
          <t>Lusaka</t>
        </is>
      </c>
      <c r="H20" s="48" t="inlineStr">
        <is>
          <t>PMS</t>
        </is>
      </c>
      <c r="I20" s="48" t="inlineStr">
        <is>
          <t>AKN812MC</t>
        </is>
      </c>
      <c r="J20" s="48" t="inlineStr">
        <is>
          <t>AH439MC</t>
        </is>
      </c>
      <c r="K20" s="48" t="inlineStr">
        <is>
          <t>PETRODA</t>
        </is>
      </c>
      <c r="L20" s="48" t="inlineStr">
        <is>
          <t>MOISES BACALEUANE ARROZ</t>
        </is>
      </c>
      <c r="M20" s="47" t="n">
        <v>46015</v>
      </c>
      <c r="N20" s="47" t="n">
        <v>46015</v>
      </c>
      <c r="O20" s="49">
        <f>IF(OR(L20="",M20=""),"",M20-L20)</f>
        <v/>
      </c>
      <c r="P20" s="49">
        <f>IFERROR(VLOOKUP(B20,Deals[#All],7,FALSE),DEF_LAYTIME)</f>
        <v/>
      </c>
      <c r="Q20" s="49">
        <f>IF(O20="","",MAX(0,O20-P20))</f>
        <v/>
      </c>
      <c r="R20" s="50">
        <f>IFERROR(VLOOKUP(B20,Deals[#All],8,FALSE),DEF_RATE)</f>
        <v/>
      </c>
      <c r="S20" s="50">
        <f>IF(Q20="","",Q20*R20)</f>
        <v/>
      </c>
      <c r="T20" s="46">
        <f>IF(O20="","PENDING",IF(Q20&gt;0,"DEMURRAGE","ON-TIME"))</f>
        <v/>
      </c>
      <c r="U20" s="46">
        <f>IF(AND(E20&lt;&gt;"",M20&lt;&gt;"",M20&lt;E20),"⚠ Arr&lt;Loaded",IF(AND(M20&lt;&gt;"",N20&lt;&gt;"",N20&lt;M20),"⚠ Off&lt;Arr","OK"))</f>
        <v/>
      </c>
      <c r="V20" s="46">
        <f>IF(E20="","",TEXT(E20,"yyyy-mm"))</f>
        <v/>
      </c>
    </row>
    <row r="21">
      <c r="B21" s="46" t="n">
        <v>187293</v>
      </c>
      <c r="C21" s="46" t="inlineStr">
        <is>
          <t>CLM-2026-004</t>
        </is>
      </c>
      <c r="D21" s="48" t="inlineStr">
        <is>
          <t>Lake Petroleum Zambia</t>
        </is>
      </c>
      <c r="E21" s="47" t="n">
        <v>46095</v>
      </c>
      <c r="F21" s="48" t="inlineStr">
        <is>
          <t>Beira</t>
        </is>
      </c>
      <c r="G21" s="48" t="inlineStr">
        <is>
          <t>Lusaka</t>
        </is>
      </c>
      <c r="H21" s="48" t="inlineStr">
        <is>
          <t>PMS</t>
        </is>
      </c>
      <c r="I21" s="48" t="inlineStr">
        <is>
          <t>AKN 001 MC</t>
        </is>
      </c>
      <c r="J21" s="48" t="inlineStr">
        <is>
          <t>AH 453 MC</t>
        </is>
      </c>
      <c r="K21" s="48" t="inlineStr">
        <is>
          <t>PETRODA</t>
        </is>
      </c>
      <c r="L21" s="48" t="inlineStr">
        <is>
          <t>MOMADE MOEDA MOMADE</t>
        </is>
      </c>
      <c r="M21" s="47" t="n">
        <v>46102</v>
      </c>
      <c r="N21" s="47" t="n">
        <v>46113</v>
      </c>
      <c r="O21" s="49">
        <f>IF(OR(L21="",M21=""),"",M21-L21)</f>
        <v/>
      </c>
      <c r="P21" s="49">
        <f>IFERROR(VLOOKUP(B21,Deals[#All],7,FALSE),DEF_LAYTIME)</f>
        <v/>
      </c>
      <c r="Q21" s="49">
        <f>IF(O21="","",MAX(0,O21-P21))</f>
        <v/>
      </c>
      <c r="R21" s="50">
        <f>IFERROR(VLOOKUP(B21,Deals[#All],8,FALSE),DEF_RATE)</f>
        <v/>
      </c>
      <c r="S21" s="50">
        <f>IF(Q21="","",Q21*R21)</f>
        <v/>
      </c>
      <c r="T21" s="46">
        <f>IF(O21="","PENDING",IF(Q21&gt;0,"DEMURRAGE","ON-TIME"))</f>
        <v/>
      </c>
      <c r="U21" s="46">
        <f>IF(AND(E21&lt;&gt;"",M21&lt;&gt;"",M21&lt;E21),"⚠ Arr&lt;Loaded",IF(AND(M21&lt;&gt;"",N21&lt;&gt;"",N21&lt;M21),"⚠ Off&lt;Arr","OK"))</f>
        <v/>
      </c>
      <c r="V21" s="46">
        <f>IF(E21="","",TEXT(E21,"yyyy-mm"))</f>
        <v/>
      </c>
    </row>
    <row r="22">
      <c r="B22" s="46" t="n">
        <v>187293</v>
      </c>
      <c r="C22" s="46" t="inlineStr">
        <is>
          <t>CLM-2026-004</t>
        </is>
      </c>
      <c r="D22" s="48" t="inlineStr">
        <is>
          <t>Lake Petroleum Zambia</t>
        </is>
      </c>
      <c r="E22" s="47" t="n">
        <v>46095</v>
      </c>
      <c r="F22" s="48" t="inlineStr">
        <is>
          <t>Beira</t>
        </is>
      </c>
      <c r="G22" s="48" t="inlineStr">
        <is>
          <t>Lusaka</t>
        </is>
      </c>
      <c r="H22" s="48" t="inlineStr">
        <is>
          <t>PMS</t>
        </is>
      </c>
      <c r="I22" s="48" t="inlineStr">
        <is>
          <t>AKN 014 MC</t>
        </is>
      </c>
      <c r="J22" s="48" t="inlineStr">
        <is>
          <t>AH 447 MC</t>
        </is>
      </c>
      <c r="K22" s="48" t="inlineStr">
        <is>
          <t>PETRODA</t>
        </is>
      </c>
      <c r="L22" s="48" t="inlineStr">
        <is>
          <t>KEITH TCHUMA</t>
        </is>
      </c>
      <c r="M22" s="47" t="n">
        <v>46099</v>
      </c>
      <c r="N22" s="47" t="n">
        <v>46111</v>
      </c>
      <c r="O22" s="49">
        <f>IF(OR(L22="",M22=""),"",M22-L22)</f>
        <v/>
      </c>
      <c r="P22" s="49">
        <f>IFERROR(VLOOKUP(B22,Deals[#All],7,FALSE),DEF_LAYTIME)</f>
        <v/>
      </c>
      <c r="Q22" s="49">
        <f>IF(O22="","",MAX(0,O22-P22))</f>
        <v/>
      </c>
      <c r="R22" s="50">
        <f>IFERROR(VLOOKUP(B22,Deals[#All],8,FALSE),DEF_RATE)</f>
        <v/>
      </c>
      <c r="S22" s="50">
        <f>IF(Q22="","",Q22*R22)</f>
        <v/>
      </c>
      <c r="T22" s="46">
        <f>IF(O22="","PENDING",IF(Q22&gt;0,"DEMURRAGE","ON-TIME"))</f>
        <v/>
      </c>
      <c r="U22" s="46">
        <f>IF(AND(E22&lt;&gt;"",M22&lt;&gt;"",M22&lt;E22),"⚠ Arr&lt;Loaded",IF(AND(M22&lt;&gt;"",N22&lt;&gt;"",N22&lt;M22),"⚠ Off&lt;Arr","OK"))</f>
        <v/>
      </c>
      <c r="V22" s="46">
        <f>IF(E22="","",TEXT(E22,"yyyy-mm"))</f>
        <v/>
      </c>
    </row>
    <row r="23">
      <c r="B23" s="46" t="n">
        <v>187293</v>
      </c>
      <c r="C23" s="46" t="inlineStr">
        <is>
          <t>CLM-2026-004</t>
        </is>
      </c>
      <c r="D23" s="48" t="inlineStr">
        <is>
          <t>Lake Petroleum Zambia</t>
        </is>
      </c>
      <c r="E23" s="47" t="n">
        <v>46095</v>
      </c>
      <c r="F23" s="48" t="inlineStr">
        <is>
          <t>Beira</t>
        </is>
      </c>
      <c r="G23" s="48" t="inlineStr">
        <is>
          <t>Lusaka</t>
        </is>
      </c>
      <c r="H23" s="48" t="inlineStr">
        <is>
          <t>PMS</t>
        </is>
      </c>
      <c r="I23" s="48" t="inlineStr">
        <is>
          <t>AKN 767 MC</t>
        </is>
      </c>
      <c r="J23" s="48" t="inlineStr">
        <is>
          <t>AH 437 MC</t>
        </is>
      </c>
      <c r="K23" s="48" t="inlineStr">
        <is>
          <t>PETRODA</t>
        </is>
      </c>
      <c r="L23" s="48" t="inlineStr">
        <is>
          <t>CARLOS JOSE JOAO</t>
        </is>
      </c>
      <c r="M23" s="47" t="n">
        <v>46102</v>
      </c>
      <c r="N23" s="47" t="n">
        <v>46113</v>
      </c>
      <c r="O23" s="49">
        <f>IF(OR(L23="",M23=""),"",M23-L23)</f>
        <v/>
      </c>
      <c r="P23" s="49">
        <f>IFERROR(VLOOKUP(B23,Deals[#All],7,FALSE),DEF_LAYTIME)</f>
        <v/>
      </c>
      <c r="Q23" s="49">
        <f>IF(O23="","",MAX(0,O23-P23))</f>
        <v/>
      </c>
      <c r="R23" s="50">
        <f>IFERROR(VLOOKUP(B23,Deals[#All],8,FALSE),DEF_RATE)</f>
        <v/>
      </c>
      <c r="S23" s="50">
        <f>IF(Q23="","",Q23*R23)</f>
        <v/>
      </c>
      <c r="T23" s="46">
        <f>IF(O23="","PENDING",IF(Q23&gt;0,"DEMURRAGE","ON-TIME"))</f>
        <v/>
      </c>
      <c r="U23" s="46">
        <f>IF(AND(E23&lt;&gt;"",M23&lt;&gt;"",M23&lt;E23),"⚠ Arr&lt;Loaded",IF(AND(M23&lt;&gt;"",N23&lt;&gt;"",N23&lt;M23),"⚠ Off&lt;Arr","OK"))</f>
        <v/>
      </c>
      <c r="V23" s="46">
        <f>IF(E23="","",TEXT(E23,"yyyy-mm"))</f>
        <v/>
      </c>
    </row>
    <row r="24">
      <c r="B24" s="46" t="n">
        <v>187293</v>
      </c>
      <c r="C24" s="46" t="inlineStr">
        <is>
          <t>CLM-2026-004</t>
        </is>
      </c>
      <c r="D24" s="48" t="inlineStr">
        <is>
          <t>Lake Petroleum Zambia</t>
        </is>
      </c>
      <c r="E24" s="47" t="n">
        <v>46095</v>
      </c>
      <c r="F24" s="48" t="inlineStr">
        <is>
          <t>Beira</t>
        </is>
      </c>
      <c r="G24" s="48" t="inlineStr">
        <is>
          <t>Lusaka</t>
        </is>
      </c>
      <c r="H24" s="48" t="inlineStr">
        <is>
          <t>PMS</t>
        </is>
      </c>
      <c r="I24" s="48" t="inlineStr">
        <is>
          <t>AKN 010 MC</t>
        </is>
      </c>
      <c r="J24" s="48" t="inlineStr">
        <is>
          <t>AH 438 MC</t>
        </is>
      </c>
      <c r="K24" s="48" t="inlineStr">
        <is>
          <t>PETRODA</t>
        </is>
      </c>
      <c r="L24" s="48" t="inlineStr">
        <is>
          <t>NELSON GOTINE</t>
        </is>
      </c>
      <c r="M24" s="47" t="n">
        <v>46102</v>
      </c>
      <c r="N24" s="47" t="n">
        <v>46113</v>
      </c>
      <c r="O24" s="49">
        <f>IF(OR(L24="",M24=""),"",M24-L24)</f>
        <v/>
      </c>
      <c r="P24" s="49">
        <f>IFERROR(VLOOKUP(B24,Deals[#All],7,FALSE),DEF_LAYTIME)</f>
        <v/>
      </c>
      <c r="Q24" s="49">
        <f>IF(O24="","",MAX(0,O24-P24))</f>
        <v/>
      </c>
      <c r="R24" s="50">
        <f>IFERROR(VLOOKUP(B24,Deals[#All],8,FALSE),DEF_RATE)</f>
        <v/>
      </c>
      <c r="S24" s="50">
        <f>IF(Q24="","",Q24*R24)</f>
        <v/>
      </c>
      <c r="T24" s="46">
        <f>IF(O24="","PENDING",IF(Q24&gt;0,"DEMURRAGE","ON-TIME"))</f>
        <v/>
      </c>
      <c r="U24" s="46">
        <f>IF(AND(E24&lt;&gt;"",M24&lt;&gt;"",M24&lt;E24),"⚠ Arr&lt;Loaded",IF(AND(M24&lt;&gt;"",N24&lt;&gt;"",N24&lt;M24),"⚠ Off&lt;Arr","OK"))</f>
        <v/>
      </c>
      <c r="V24" s="46">
        <f>IF(E24="","",TEXT(E24,"yyyy-mm"))</f>
        <v/>
      </c>
    </row>
    <row r="25">
      <c r="B25" s="46" t="n">
        <v>187293</v>
      </c>
      <c r="C25" s="46" t="inlineStr">
        <is>
          <t>CLM-2026-004</t>
        </is>
      </c>
      <c r="D25" s="48" t="inlineStr">
        <is>
          <t>Lake Petroleum Zambia</t>
        </is>
      </c>
      <c r="E25" s="47" t="n">
        <v>46095</v>
      </c>
      <c r="F25" s="48" t="inlineStr">
        <is>
          <t>Beira</t>
        </is>
      </c>
      <c r="G25" s="48" t="inlineStr">
        <is>
          <t>Lusaka</t>
        </is>
      </c>
      <c r="H25" s="48" t="inlineStr">
        <is>
          <t>PMS</t>
        </is>
      </c>
      <c r="I25" s="48" t="inlineStr">
        <is>
          <t>AKN 820 MC</t>
        </is>
      </c>
      <c r="J25" s="48" t="inlineStr">
        <is>
          <t>AH 468 MC</t>
        </is>
      </c>
      <c r="K25" s="48" t="inlineStr">
        <is>
          <t>PETRODA</t>
        </is>
      </c>
      <c r="L25" s="48" t="inlineStr">
        <is>
          <t>CHIFUNDO SITOLO</t>
        </is>
      </c>
      <c r="M25" s="47" t="n">
        <v>46099</v>
      </c>
      <c r="N25" s="47" t="n">
        <v>46113</v>
      </c>
      <c r="O25" s="49">
        <f>IF(OR(L25="",M25=""),"",M25-L25)</f>
        <v/>
      </c>
      <c r="P25" s="49">
        <f>IFERROR(VLOOKUP(B25,Deals[#All],7,FALSE),DEF_LAYTIME)</f>
        <v/>
      </c>
      <c r="Q25" s="49">
        <f>IF(O25="","",MAX(0,O25-P25))</f>
        <v/>
      </c>
      <c r="R25" s="50">
        <f>IFERROR(VLOOKUP(B25,Deals[#All],8,FALSE),DEF_RATE)</f>
        <v/>
      </c>
      <c r="S25" s="50">
        <f>IF(Q25="","",Q25*R25)</f>
        <v/>
      </c>
      <c r="T25" s="46">
        <f>IF(O25="","PENDING",IF(Q25&gt;0,"DEMURRAGE","ON-TIME"))</f>
        <v/>
      </c>
      <c r="U25" s="46">
        <f>IF(AND(E25&lt;&gt;"",M25&lt;&gt;"",M25&lt;E25),"⚠ Arr&lt;Loaded",IF(AND(M25&lt;&gt;"",N25&lt;&gt;"",N25&lt;M25),"⚠ Off&lt;Arr","OK"))</f>
        <v/>
      </c>
      <c r="V25" s="46">
        <f>IF(E25="","",TEXT(E25,"yyyy-mm"))</f>
        <v/>
      </c>
    </row>
    <row r="26">
      <c r="B26" s="46" t="n">
        <v>187293</v>
      </c>
      <c r="C26" s="46" t="inlineStr">
        <is>
          <t>CLM-2026-004</t>
        </is>
      </c>
      <c r="D26" s="48" t="inlineStr">
        <is>
          <t>Lake Petroleum Zambia</t>
        </is>
      </c>
      <c r="E26" s="47" t="n">
        <v>46102</v>
      </c>
      <c r="F26" s="48" t="inlineStr">
        <is>
          <t>Beira</t>
        </is>
      </c>
      <c r="G26" s="48" t="inlineStr">
        <is>
          <t>Lusaka</t>
        </is>
      </c>
      <c r="H26" s="48" t="inlineStr">
        <is>
          <t>PMS</t>
        </is>
      </c>
      <c r="I26" s="48" t="inlineStr">
        <is>
          <t>ABC 253 SF</t>
        </is>
      </c>
      <c r="J26" s="48" t="inlineStr">
        <is>
          <t>AH 386 SF</t>
        </is>
      </c>
      <c r="K26" s="48" t="inlineStr">
        <is>
          <t>PETRODA</t>
        </is>
      </c>
      <c r="L26" s="48" t="inlineStr">
        <is>
          <t>Zacarias Huo</t>
        </is>
      </c>
      <c r="M26" s="47" t="n">
        <v>46106</v>
      </c>
      <c r="N26" s="47" t="n">
        <v>46111</v>
      </c>
      <c r="O26" s="49">
        <f>IF(OR(L26="",M26=""),"",M26-L26)</f>
        <v/>
      </c>
      <c r="P26" s="49">
        <f>IFERROR(VLOOKUP(B26,Deals[#All],7,FALSE),DEF_LAYTIME)</f>
        <v/>
      </c>
      <c r="Q26" s="49">
        <f>IF(O26="","",MAX(0,O26-P26))</f>
        <v/>
      </c>
      <c r="R26" s="50">
        <f>IFERROR(VLOOKUP(B26,Deals[#All],8,FALSE),DEF_RATE)</f>
        <v/>
      </c>
      <c r="S26" s="50">
        <f>IF(Q26="","",Q26*R26)</f>
        <v/>
      </c>
      <c r="T26" s="46">
        <f>IF(O26="","PENDING",IF(Q26&gt;0,"DEMURRAGE","ON-TIME"))</f>
        <v/>
      </c>
      <c r="U26" s="46">
        <f>IF(AND(E26&lt;&gt;"",M26&lt;&gt;"",M26&lt;E26),"⚠ Arr&lt;Loaded",IF(AND(M26&lt;&gt;"",N26&lt;&gt;"",N26&lt;M26),"⚠ Off&lt;Arr","OK"))</f>
        <v/>
      </c>
      <c r="V26" s="46">
        <f>IF(E26="","",TEXT(E26,"yyyy-mm"))</f>
        <v/>
      </c>
    </row>
    <row r="27">
      <c r="B27" s="46" t="n">
        <v>187293</v>
      </c>
      <c r="C27" s="46" t="inlineStr">
        <is>
          <t>CLM-2026-004</t>
        </is>
      </c>
      <c r="D27" s="48" t="inlineStr">
        <is>
          <t>Lake Petroleum Zambia</t>
        </is>
      </c>
      <c r="E27" s="47" t="n">
        <v>46101</v>
      </c>
      <c r="F27" s="48" t="inlineStr">
        <is>
          <t>Beira</t>
        </is>
      </c>
      <c r="G27" s="48" t="inlineStr">
        <is>
          <t>Lusaka</t>
        </is>
      </c>
      <c r="H27" s="48" t="inlineStr">
        <is>
          <t>PMS</t>
        </is>
      </c>
      <c r="I27" s="48" t="inlineStr">
        <is>
          <t>AKO 101 MC</t>
        </is>
      </c>
      <c r="J27" s="48" t="inlineStr">
        <is>
          <t>AH 451 MC</t>
        </is>
      </c>
      <c r="K27" s="48" t="inlineStr">
        <is>
          <t>PETRODA</t>
        </is>
      </c>
      <c r="L27" s="48" t="inlineStr">
        <is>
          <t>Casse Moguene</t>
        </is>
      </c>
      <c r="M27" s="47" t="n">
        <v>46111</v>
      </c>
      <c r="N27" s="47" t="n">
        <v>46114</v>
      </c>
      <c r="O27" s="49">
        <f>IF(OR(L27="",M27=""),"",M27-L27)</f>
        <v/>
      </c>
      <c r="P27" s="49">
        <f>IFERROR(VLOOKUP(B27,Deals[#All],7,FALSE),DEF_LAYTIME)</f>
        <v/>
      </c>
      <c r="Q27" s="49">
        <f>IF(O27="","",MAX(0,O27-P27))</f>
        <v/>
      </c>
      <c r="R27" s="50">
        <f>IFERROR(VLOOKUP(B27,Deals[#All],8,FALSE),DEF_RATE)</f>
        <v/>
      </c>
      <c r="S27" s="50">
        <f>IF(Q27="","",Q27*R27)</f>
        <v/>
      </c>
      <c r="T27" s="46">
        <f>IF(O27="","PENDING",IF(Q27&gt;0,"DEMURRAGE","ON-TIME"))</f>
        <v/>
      </c>
      <c r="U27" s="46">
        <f>IF(AND(E27&lt;&gt;"",M27&lt;&gt;"",M27&lt;E27),"⚠ Arr&lt;Loaded",IF(AND(M27&lt;&gt;"",N27&lt;&gt;"",N27&lt;M27),"⚠ Off&lt;Arr","OK"))</f>
        <v/>
      </c>
      <c r="V27" s="46">
        <f>IF(E27="","",TEXT(E27,"yyyy-mm"))</f>
        <v/>
      </c>
    </row>
    <row r="28">
      <c r="B28" s="46" t="n">
        <v>187293</v>
      </c>
      <c r="C28" s="46" t="inlineStr">
        <is>
          <t>CLM-2026-004</t>
        </is>
      </c>
      <c r="D28" s="48" t="inlineStr">
        <is>
          <t>Lake Petroleum Zambia</t>
        </is>
      </c>
      <c r="E28" s="47" t="n">
        <v>46079</v>
      </c>
      <c r="F28" s="48" t="inlineStr">
        <is>
          <t>Beira</t>
        </is>
      </c>
      <c r="G28" s="48" t="inlineStr">
        <is>
          <t>Lusaka</t>
        </is>
      </c>
      <c r="H28" s="48" t="inlineStr">
        <is>
          <t>PMS</t>
        </is>
      </c>
      <c r="I28" s="48" t="inlineStr">
        <is>
          <t>CAA-8073ZM</t>
        </is>
      </c>
      <c r="J28" s="48" t="inlineStr">
        <is>
          <t>CAA-8067ZM</t>
        </is>
      </c>
      <c r="K28" s="48" t="inlineStr">
        <is>
          <t>OASIS</t>
        </is>
      </c>
      <c r="L28" s="48" t="inlineStr">
        <is>
          <t>FRANCIS</t>
        </is>
      </c>
      <c r="M28" s="47" t="n">
        <v>46088</v>
      </c>
      <c r="N28" s="47" t="n">
        <v>46099</v>
      </c>
      <c r="O28" s="49">
        <f>IF(OR(L28="",M28=""),"",M28-L28)</f>
        <v/>
      </c>
      <c r="P28" s="49">
        <f>IFERROR(VLOOKUP(B28,Deals[#All],7,FALSE),DEF_LAYTIME)</f>
        <v/>
      </c>
      <c r="Q28" s="49">
        <f>IF(O28="","",MAX(0,O28-P28))</f>
        <v/>
      </c>
      <c r="R28" s="50">
        <f>IFERROR(VLOOKUP(B28,Deals[#All],8,FALSE),DEF_RATE)</f>
        <v/>
      </c>
      <c r="S28" s="50">
        <f>IF(Q28="","",Q28*R28)</f>
        <v/>
      </c>
      <c r="T28" s="46">
        <f>IF(O28="","PENDING",IF(Q28&gt;0,"DEMURRAGE","ON-TIME"))</f>
        <v/>
      </c>
      <c r="U28" s="46">
        <f>IF(AND(E28&lt;&gt;"",M28&lt;&gt;"",M28&lt;E28),"⚠ Arr&lt;Loaded",IF(AND(M28&lt;&gt;"",N28&lt;&gt;"",N28&lt;M28),"⚠ Off&lt;Arr","OK"))</f>
        <v/>
      </c>
      <c r="V28" s="46">
        <f>IF(E28="","",TEXT(E28,"yyyy-mm"))</f>
        <v/>
      </c>
    </row>
    <row r="29">
      <c r="B29" s="46" t="n">
        <v>187293</v>
      </c>
      <c r="C29" s="46" t="inlineStr">
        <is>
          <t>CLM-2026-004</t>
        </is>
      </c>
      <c r="D29" s="48" t="inlineStr">
        <is>
          <t>Lake Petroleum Zambia</t>
        </is>
      </c>
      <c r="E29" s="47" t="n">
        <v>46079</v>
      </c>
      <c r="F29" s="48" t="inlineStr">
        <is>
          <t>Beira</t>
        </is>
      </c>
      <c r="G29" s="48" t="inlineStr">
        <is>
          <t>Lusaka</t>
        </is>
      </c>
      <c r="H29" s="48" t="inlineStr">
        <is>
          <t>PMS</t>
        </is>
      </c>
      <c r="I29" s="48" t="inlineStr">
        <is>
          <t>BAZ-3920ZM</t>
        </is>
      </c>
      <c r="J29" s="48" t="inlineStr">
        <is>
          <t>BAZ-4329ZM</t>
        </is>
      </c>
      <c r="K29" s="48" t="inlineStr">
        <is>
          <t>OASIS</t>
        </is>
      </c>
      <c r="L29" s="48" t="inlineStr">
        <is>
          <t xml:space="preserve">AARON </t>
        </is>
      </c>
      <c r="M29" s="47" t="n">
        <v>46082</v>
      </c>
      <c r="N29" s="47" t="n">
        <v>46086</v>
      </c>
      <c r="O29" s="49">
        <f>IF(OR(L29="",M29=""),"",M29-L29)</f>
        <v/>
      </c>
      <c r="P29" s="49">
        <f>IFERROR(VLOOKUP(B29,Deals[#All],7,FALSE),DEF_LAYTIME)</f>
        <v/>
      </c>
      <c r="Q29" s="49">
        <f>IF(O29="","",MAX(0,O29-P29))</f>
        <v/>
      </c>
      <c r="R29" s="50">
        <f>IFERROR(VLOOKUP(B29,Deals[#All],8,FALSE),DEF_RATE)</f>
        <v/>
      </c>
      <c r="S29" s="50">
        <f>IF(Q29="","",Q29*R29)</f>
        <v/>
      </c>
      <c r="T29" s="46">
        <f>IF(O29="","PENDING",IF(Q29&gt;0,"DEMURRAGE","ON-TIME"))</f>
        <v/>
      </c>
      <c r="U29" s="46">
        <f>IF(AND(E29&lt;&gt;"",M29&lt;&gt;"",M29&lt;E29),"⚠ Arr&lt;Loaded",IF(AND(M29&lt;&gt;"",N29&lt;&gt;"",N29&lt;M29),"⚠ Off&lt;Arr","OK"))</f>
        <v/>
      </c>
      <c r="V29" s="46">
        <f>IF(E29="","",TEXT(E29,"yyyy-mm"))</f>
        <v/>
      </c>
    </row>
    <row r="30">
      <c r="B30" s="46" t="n">
        <v>187293</v>
      </c>
      <c r="C30" s="46" t="inlineStr">
        <is>
          <t>CLM-2026-004</t>
        </is>
      </c>
      <c r="D30" s="48" t="inlineStr">
        <is>
          <t>Lake Petroleum Zambia</t>
        </is>
      </c>
      <c r="E30" s="47" t="n">
        <v>46079</v>
      </c>
      <c r="F30" s="48" t="inlineStr">
        <is>
          <t>Beira</t>
        </is>
      </c>
      <c r="G30" s="48" t="inlineStr">
        <is>
          <t>Lusaka</t>
        </is>
      </c>
      <c r="H30" s="48" t="inlineStr">
        <is>
          <t>PMS</t>
        </is>
      </c>
      <c r="I30" s="48" t="inlineStr">
        <is>
          <t>BAV-7007ZM</t>
        </is>
      </c>
      <c r="J30" s="48" t="inlineStr">
        <is>
          <t>BAV-7070ZM</t>
        </is>
      </c>
      <c r="K30" s="48" t="inlineStr">
        <is>
          <t>OASIS</t>
        </is>
      </c>
      <c r="L30" s="48" t="inlineStr">
        <is>
          <t>ANDRE</t>
        </is>
      </c>
      <c r="M30" s="47" t="n">
        <v>46088</v>
      </c>
      <c r="N30" s="47" t="n">
        <v>46100</v>
      </c>
      <c r="O30" s="49">
        <f>IF(OR(L30="",M30=""),"",M30-L30)</f>
        <v/>
      </c>
      <c r="P30" s="49">
        <f>IFERROR(VLOOKUP(B30,Deals[#All],7,FALSE),DEF_LAYTIME)</f>
        <v/>
      </c>
      <c r="Q30" s="49">
        <f>IF(O30="","",MAX(0,O30-P30))</f>
        <v/>
      </c>
      <c r="R30" s="50">
        <f>IFERROR(VLOOKUP(B30,Deals[#All],8,FALSE),DEF_RATE)</f>
        <v/>
      </c>
      <c r="S30" s="50">
        <f>IF(Q30="","",Q30*R30)</f>
        <v/>
      </c>
      <c r="T30" s="46">
        <f>IF(O30="","PENDING",IF(Q30&gt;0,"DEMURRAGE","ON-TIME"))</f>
        <v/>
      </c>
      <c r="U30" s="46">
        <f>IF(AND(E30&lt;&gt;"",M30&lt;&gt;"",M30&lt;E30),"⚠ Arr&lt;Loaded",IF(AND(M30&lt;&gt;"",N30&lt;&gt;"",N30&lt;M30),"⚠ Off&lt;Arr","OK"))</f>
        <v/>
      </c>
      <c r="V30" s="46">
        <f>IF(E30="","",TEXT(E30,"yyyy-mm"))</f>
        <v/>
      </c>
    </row>
    <row r="31">
      <c r="B31" s="46" t="n">
        <v>187293</v>
      </c>
      <c r="C31" s="46" t="inlineStr">
        <is>
          <t>CLM-2026-004</t>
        </is>
      </c>
      <c r="D31" s="48" t="inlineStr">
        <is>
          <t>Lake Petroleum Zambia</t>
        </is>
      </c>
      <c r="E31" s="47" t="n">
        <v>46079</v>
      </c>
      <c r="F31" s="48" t="inlineStr">
        <is>
          <t>Beira</t>
        </is>
      </c>
      <c r="G31" s="48" t="inlineStr">
        <is>
          <t>Lusaka</t>
        </is>
      </c>
      <c r="H31" s="48" t="inlineStr">
        <is>
          <t>PMS</t>
        </is>
      </c>
      <c r="I31" s="48" t="inlineStr">
        <is>
          <t>BAV-7006ZM</t>
        </is>
      </c>
      <c r="J31" s="48" t="inlineStr">
        <is>
          <t>BAV-7074ZM</t>
        </is>
      </c>
      <c r="K31" s="48" t="inlineStr">
        <is>
          <t>OASIS</t>
        </is>
      </c>
      <c r="L31" s="48" t="inlineStr">
        <is>
          <t>CECIL</t>
        </is>
      </c>
      <c r="M31" s="47" t="n">
        <v>46084</v>
      </c>
      <c r="N31" s="47" t="n">
        <v>46088</v>
      </c>
      <c r="O31" s="49">
        <f>IF(OR(L31="",M31=""),"",M31-L31)</f>
        <v/>
      </c>
      <c r="P31" s="49">
        <f>IFERROR(VLOOKUP(B31,Deals[#All],7,FALSE),DEF_LAYTIME)</f>
        <v/>
      </c>
      <c r="Q31" s="49">
        <f>IF(O31="","",MAX(0,O31-P31))</f>
        <v/>
      </c>
      <c r="R31" s="50">
        <f>IFERROR(VLOOKUP(B31,Deals[#All],8,FALSE),DEF_RATE)</f>
        <v/>
      </c>
      <c r="S31" s="50">
        <f>IF(Q31="","",Q31*R31)</f>
        <v/>
      </c>
      <c r="T31" s="46">
        <f>IF(O31="","PENDING",IF(Q31&gt;0,"DEMURRAGE","ON-TIME"))</f>
        <v/>
      </c>
      <c r="U31" s="46">
        <f>IF(AND(E31&lt;&gt;"",M31&lt;&gt;"",M31&lt;E31),"⚠ Arr&lt;Loaded",IF(AND(M31&lt;&gt;"",N31&lt;&gt;"",N31&lt;M31),"⚠ Off&lt;Arr","OK"))</f>
        <v/>
      </c>
      <c r="V31" s="46">
        <f>IF(E31="","",TEXT(E31,"yyyy-mm"))</f>
        <v/>
      </c>
    </row>
    <row r="32">
      <c r="B32" s="46" t="n">
        <v>187293</v>
      </c>
      <c r="C32" s="46" t="inlineStr">
        <is>
          <t>CLM-2026-004</t>
        </is>
      </c>
      <c r="D32" s="48" t="inlineStr">
        <is>
          <t>Lake Petroleum Zambia</t>
        </is>
      </c>
      <c r="E32" s="47" t="n">
        <v>46079</v>
      </c>
      <c r="F32" s="48" t="inlineStr">
        <is>
          <t>Beira</t>
        </is>
      </c>
      <c r="G32" s="48" t="inlineStr">
        <is>
          <t>Lusaka</t>
        </is>
      </c>
      <c r="H32" s="48" t="inlineStr">
        <is>
          <t>PMS</t>
        </is>
      </c>
      <c r="I32" s="48" t="inlineStr">
        <is>
          <t>BAZ-4162ZM</t>
        </is>
      </c>
      <c r="J32" s="48" t="inlineStr">
        <is>
          <t>BAZ-4663ZM</t>
        </is>
      </c>
      <c r="K32" s="48" t="inlineStr">
        <is>
          <t>OASIS</t>
        </is>
      </c>
      <c r="L32" s="48" t="inlineStr">
        <is>
          <t>EMMANUEL</t>
        </is>
      </c>
      <c r="M32" s="47" t="n">
        <v>46082</v>
      </c>
      <c r="N32" s="47" t="n">
        <v>46086</v>
      </c>
      <c r="O32" s="49">
        <f>IF(OR(L32="",M32=""),"",M32-L32)</f>
        <v/>
      </c>
      <c r="P32" s="49">
        <f>IFERROR(VLOOKUP(B32,Deals[#All],7,FALSE),DEF_LAYTIME)</f>
        <v/>
      </c>
      <c r="Q32" s="49">
        <f>IF(O32="","",MAX(0,O32-P32))</f>
        <v/>
      </c>
      <c r="R32" s="50">
        <f>IFERROR(VLOOKUP(B32,Deals[#All],8,FALSE),DEF_RATE)</f>
        <v/>
      </c>
      <c r="S32" s="50">
        <f>IF(Q32="","",Q32*R32)</f>
        <v/>
      </c>
      <c r="T32" s="46">
        <f>IF(O32="","PENDING",IF(Q32&gt;0,"DEMURRAGE","ON-TIME"))</f>
        <v/>
      </c>
      <c r="U32" s="46">
        <f>IF(AND(E32&lt;&gt;"",M32&lt;&gt;"",M32&lt;E32),"⚠ Arr&lt;Loaded",IF(AND(M32&lt;&gt;"",N32&lt;&gt;"",N32&lt;M32),"⚠ Off&lt;Arr","OK"))</f>
        <v/>
      </c>
      <c r="V32" s="46">
        <f>IF(E32="","",TEXT(E32,"yyyy-mm"))</f>
        <v/>
      </c>
    </row>
    <row r="33">
      <c r="B33" s="46" t="n">
        <v>187293</v>
      </c>
      <c r="C33" s="46" t="inlineStr">
        <is>
          <t>CLM-2026-004</t>
        </is>
      </c>
      <c r="D33" s="48" t="inlineStr">
        <is>
          <t>Lake Petroleum Zambia</t>
        </is>
      </c>
      <c r="E33" s="47" t="n">
        <v>46079</v>
      </c>
      <c r="F33" s="48" t="inlineStr">
        <is>
          <t>Beira</t>
        </is>
      </c>
      <c r="G33" s="48" t="inlineStr">
        <is>
          <t>Lusaka</t>
        </is>
      </c>
      <c r="H33" s="48" t="inlineStr">
        <is>
          <t>PMS</t>
        </is>
      </c>
      <c r="I33" s="48" t="inlineStr">
        <is>
          <t>BAV-7223ZM</t>
        </is>
      </c>
      <c r="J33" s="48" t="inlineStr">
        <is>
          <t>BAV-7081ZM</t>
        </is>
      </c>
      <c r="K33" s="48" t="inlineStr">
        <is>
          <t>OASIS</t>
        </is>
      </c>
      <c r="L33" s="48" t="inlineStr">
        <is>
          <t>JAMES</t>
        </is>
      </c>
      <c r="M33" s="47" t="n">
        <v>46083</v>
      </c>
      <c r="N33" s="47" t="n">
        <v>46088</v>
      </c>
      <c r="O33" s="49">
        <f>IF(OR(L33="",M33=""),"",M33-L33)</f>
        <v/>
      </c>
      <c r="P33" s="49">
        <f>IFERROR(VLOOKUP(B33,Deals[#All],7,FALSE),DEF_LAYTIME)</f>
        <v/>
      </c>
      <c r="Q33" s="49">
        <f>IF(O33="","",MAX(0,O33-P33))</f>
        <v/>
      </c>
      <c r="R33" s="50">
        <f>IFERROR(VLOOKUP(B33,Deals[#All],8,FALSE),DEF_RATE)</f>
        <v/>
      </c>
      <c r="S33" s="50">
        <f>IF(Q33="","",Q33*R33)</f>
        <v/>
      </c>
      <c r="T33" s="46">
        <f>IF(O33="","PENDING",IF(Q33&gt;0,"DEMURRAGE","ON-TIME"))</f>
        <v/>
      </c>
      <c r="U33" s="46">
        <f>IF(AND(E33&lt;&gt;"",M33&lt;&gt;"",M33&lt;E33),"⚠ Arr&lt;Loaded",IF(AND(M33&lt;&gt;"",N33&lt;&gt;"",N33&lt;M33),"⚠ Off&lt;Arr","OK"))</f>
        <v/>
      </c>
      <c r="V33" s="46">
        <f>IF(E33="","",TEXT(E33,"yyyy-mm"))</f>
        <v/>
      </c>
    </row>
    <row r="34">
      <c r="B34" s="46" t="n">
        <v>187293</v>
      </c>
      <c r="C34" s="46" t="inlineStr">
        <is>
          <t>CLM-2026-004</t>
        </is>
      </c>
      <c r="D34" s="48" t="inlineStr">
        <is>
          <t>Lake Petroleum Zambia</t>
        </is>
      </c>
      <c r="E34" s="47" t="n">
        <v>46079</v>
      </c>
      <c r="F34" s="48" t="inlineStr">
        <is>
          <t>Beira</t>
        </is>
      </c>
      <c r="G34" s="48" t="inlineStr">
        <is>
          <t>Lusaka</t>
        </is>
      </c>
      <c r="H34" s="48" t="inlineStr">
        <is>
          <t>PMS</t>
        </is>
      </c>
      <c r="I34" s="48" t="inlineStr">
        <is>
          <t>CAJ-4203 ZM</t>
        </is>
      </c>
      <c r="J34" s="48" t="inlineStr">
        <is>
          <t>CAJ-4205 ZM</t>
        </is>
      </c>
      <c r="K34" s="48" t="inlineStr">
        <is>
          <t>OASIS</t>
        </is>
      </c>
      <c r="L34" s="48" t="inlineStr">
        <is>
          <t>ATIN</t>
        </is>
      </c>
      <c r="M34" s="47" t="n">
        <v>46082</v>
      </c>
      <c r="N34" s="47" t="n">
        <v>46086</v>
      </c>
      <c r="O34" s="49">
        <f>IF(OR(L34="",M34=""),"",M34-L34)</f>
        <v/>
      </c>
      <c r="P34" s="49">
        <f>IFERROR(VLOOKUP(B34,Deals[#All],7,FALSE),DEF_LAYTIME)</f>
        <v/>
      </c>
      <c r="Q34" s="49">
        <f>IF(O34="","",MAX(0,O34-P34))</f>
        <v/>
      </c>
      <c r="R34" s="50">
        <f>IFERROR(VLOOKUP(B34,Deals[#All],8,FALSE),DEF_RATE)</f>
        <v/>
      </c>
      <c r="S34" s="50">
        <f>IF(Q34="","",Q34*R34)</f>
        <v/>
      </c>
      <c r="T34" s="46">
        <f>IF(O34="","PENDING",IF(Q34&gt;0,"DEMURRAGE","ON-TIME"))</f>
        <v/>
      </c>
      <c r="U34" s="46">
        <f>IF(AND(E34&lt;&gt;"",M34&lt;&gt;"",M34&lt;E34),"⚠ Arr&lt;Loaded",IF(AND(M34&lt;&gt;"",N34&lt;&gt;"",N34&lt;M34),"⚠ Off&lt;Arr","OK"))</f>
        <v/>
      </c>
      <c r="V34" s="46">
        <f>IF(E34="","",TEXT(E34,"yyyy-mm"))</f>
        <v/>
      </c>
    </row>
    <row r="35">
      <c r="B35" s="46" t="n">
        <v>187293</v>
      </c>
      <c r="C35" s="46" t="inlineStr">
        <is>
          <t>CLM-2026-004</t>
        </is>
      </c>
      <c r="D35" s="48" t="inlineStr">
        <is>
          <t>Lake Petroleum Zambia</t>
        </is>
      </c>
      <c r="E35" s="47" t="n">
        <v>46079</v>
      </c>
      <c r="F35" s="48" t="inlineStr">
        <is>
          <t>Beira</t>
        </is>
      </c>
      <c r="G35" s="48" t="inlineStr">
        <is>
          <t>Lusaka</t>
        </is>
      </c>
      <c r="H35" s="48" t="inlineStr">
        <is>
          <t>PMS</t>
        </is>
      </c>
      <c r="I35" s="48" t="inlineStr">
        <is>
          <t>CAJ-7188 ZM</t>
        </is>
      </c>
      <c r="J35" s="48" t="inlineStr">
        <is>
          <t>CAJ-7178 ZM</t>
        </is>
      </c>
      <c r="K35" s="48" t="inlineStr">
        <is>
          <t>OASIS</t>
        </is>
      </c>
      <c r="L35" s="48" t="inlineStr">
        <is>
          <t>JOSEPH</t>
        </is>
      </c>
      <c r="M35" s="47" t="n">
        <v>46082</v>
      </c>
      <c r="N35" s="47" t="n">
        <v>46086</v>
      </c>
      <c r="O35" s="49">
        <f>IF(OR(L35="",M35=""),"",M35-L35)</f>
        <v/>
      </c>
      <c r="P35" s="49">
        <f>IFERROR(VLOOKUP(B35,Deals[#All],7,FALSE),DEF_LAYTIME)</f>
        <v/>
      </c>
      <c r="Q35" s="49">
        <f>IF(O35="","",MAX(0,O35-P35))</f>
        <v/>
      </c>
      <c r="R35" s="50">
        <f>IFERROR(VLOOKUP(B35,Deals[#All],8,FALSE),DEF_RATE)</f>
        <v/>
      </c>
      <c r="S35" s="50">
        <f>IF(Q35="","",Q35*R35)</f>
        <v/>
      </c>
      <c r="T35" s="46">
        <f>IF(O35="","PENDING",IF(Q35&gt;0,"DEMURRAGE","ON-TIME"))</f>
        <v/>
      </c>
      <c r="U35" s="46">
        <f>IF(AND(E35&lt;&gt;"",M35&lt;&gt;"",M35&lt;E35),"⚠ Arr&lt;Loaded",IF(AND(M35&lt;&gt;"",N35&lt;&gt;"",N35&lt;M35),"⚠ Off&lt;Arr","OK"))</f>
        <v/>
      </c>
      <c r="V35" s="46">
        <f>IF(E35="","",TEXT(E35,"yyyy-mm"))</f>
        <v/>
      </c>
    </row>
    <row r="36">
      <c r="B36" s="46" t="n">
        <v>187293</v>
      </c>
      <c r="C36" s="46" t="inlineStr">
        <is>
          <t>CLM-2026-004</t>
        </is>
      </c>
      <c r="D36" s="48" t="inlineStr">
        <is>
          <t>Lake Petroleum Zambia</t>
        </is>
      </c>
      <c r="E36" s="47" t="n">
        <v>46079</v>
      </c>
      <c r="F36" s="48" t="inlineStr">
        <is>
          <t>Beira</t>
        </is>
      </c>
      <c r="G36" s="48" t="inlineStr">
        <is>
          <t>Lusaka</t>
        </is>
      </c>
      <c r="H36" s="48" t="inlineStr">
        <is>
          <t>PMS</t>
        </is>
      </c>
      <c r="I36" s="48" t="inlineStr">
        <is>
          <t>CAJ-7193 ZM</t>
        </is>
      </c>
      <c r="J36" s="48" t="inlineStr">
        <is>
          <t xml:space="preserve">CAJ-7197 ZM </t>
        </is>
      </c>
      <c r="K36" s="48" t="inlineStr">
        <is>
          <t>OASIS</t>
        </is>
      </c>
      <c r="L36" s="48" t="inlineStr">
        <is>
          <t>JASON</t>
        </is>
      </c>
      <c r="M36" s="47" t="n">
        <v>46083</v>
      </c>
      <c r="N36" s="47" t="n">
        <v>46087</v>
      </c>
      <c r="O36" s="49">
        <f>IF(OR(L36="",M36=""),"",M36-L36)</f>
        <v/>
      </c>
      <c r="P36" s="49">
        <f>IFERROR(VLOOKUP(B36,Deals[#All],7,FALSE),DEF_LAYTIME)</f>
        <v/>
      </c>
      <c r="Q36" s="49">
        <f>IF(O36="","",MAX(0,O36-P36))</f>
        <v/>
      </c>
      <c r="R36" s="50">
        <f>IFERROR(VLOOKUP(B36,Deals[#All],8,FALSE),DEF_RATE)</f>
        <v/>
      </c>
      <c r="S36" s="50">
        <f>IF(Q36="","",Q36*R36)</f>
        <v/>
      </c>
      <c r="T36" s="46">
        <f>IF(O36="","PENDING",IF(Q36&gt;0,"DEMURRAGE","ON-TIME"))</f>
        <v/>
      </c>
      <c r="U36" s="46">
        <f>IF(AND(E36&lt;&gt;"",M36&lt;&gt;"",M36&lt;E36),"⚠ Arr&lt;Loaded",IF(AND(M36&lt;&gt;"",N36&lt;&gt;"",N36&lt;M36),"⚠ Off&lt;Arr","OK"))</f>
        <v/>
      </c>
      <c r="V36" s="46">
        <f>IF(E36="","",TEXT(E36,"yyyy-mm"))</f>
        <v/>
      </c>
    </row>
    <row r="37">
      <c r="B37" s="46" t="n">
        <v>187293</v>
      </c>
      <c r="C37" s="46" t="inlineStr">
        <is>
          <t>CLM-2026-004</t>
        </is>
      </c>
      <c r="D37" s="48" t="inlineStr">
        <is>
          <t>Lake Petroleum Zambia</t>
        </is>
      </c>
      <c r="E37" s="47" t="n">
        <v>46079</v>
      </c>
      <c r="F37" s="48" t="inlineStr">
        <is>
          <t>Beira</t>
        </is>
      </c>
      <c r="G37" s="48" t="inlineStr">
        <is>
          <t>Lusaka</t>
        </is>
      </c>
      <c r="H37" s="48" t="inlineStr">
        <is>
          <t>PMS</t>
        </is>
      </c>
      <c r="I37" s="48" t="inlineStr">
        <is>
          <t>CAJ-7192 ZM</t>
        </is>
      </c>
      <c r="J37" s="48" t="inlineStr">
        <is>
          <t>CAJ-7175 ZM</t>
        </is>
      </c>
      <c r="K37" s="48" t="inlineStr">
        <is>
          <t>OASIS</t>
        </is>
      </c>
      <c r="L37" s="48" t="inlineStr">
        <is>
          <t>ALEX</t>
        </is>
      </c>
      <c r="M37" s="47" t="n">
        <v>46088</v>
      </c>
      <c r="N37" s="47" t="n">
        <v>46099</v>
      </c>
      <c r="O37" s="49">
        <f>IF(OR(L37="",M37=""),"",M37-L37)</f>
        <v/>
      </c>
      <c r="P37" s="49">
        <f>IFERROR(VLOOKUP(B37,Deals[#All],7,FALSE),DEF_LAYTIME)</f>
        <v/>
      </c>
      <c r="Q37" s="49">
        <f>IF(O37="","",MAX(0,O37-P37))</f>
        <v/>
      </c>
      <c r="R37" s="50">
        <f>IFERROR(VLOOKUP(B37,Deals[#All],8,FALSE),DEF_RATE)</f>
        <v/>
      </c>
      <c r="S37" s="50">
        <f>IF(Q37="","",Q37*R37)</f>
        <v/>
      </c>
      <c r="T37" s="46">
        <f>IF(O37="","PENDING",IF(Q37&gt;0,"DEMURRAGE","ON-TIME"))</f>
        <v/>
      </c>
      <c r="U37" s="46">
        <f>IF(AND(E37&lt;&gt;"",M37&lt;&gt;"",M37&lt;E37),"⚠ Arr&lt;Loaded",IF(AND(M37&lt;&gt;"",N37&lt;&gt;"",N37&lt;M37),"⚠ Off&lt;Arr","OK"))</f>
        <v/>
      </c>
      <c r="V37" s="46">
        <f>IF(E37="","",TEXT(E37,"yyyy-mm"))</f>
        <v/>
      </c>
    </row>
    <row r="38">
      <c r="B38" s="46" t="n">
        <v>187293</v>
      </c>
      <c r="C38" s="46" t="inlineStr">
        <is>
          <t>CLM-2026-004</t>
        </is>
      </c>
      <c r="D38" s="48" t="inlineStr">
        <is>
          <t>Lake Petroleum Zambia</t>
        </is>
      </c>
      <c r="E38" s="47" t="n">
        <v>46079</v>
      </c>
      <c r="F38" s="48" t="inlineStr">
        <is>
          <t>Beira</t>
        </is>
      </c>
      <c r="G38" s="48" t="inlineStr">
        <is>
          <t>Lusaka</t>
        </is>
      </c>
      <c r="H38" s="48" t="inlineStr">
        <is>
          <t>PMS</t>
        </is>
      </c>
      <c r="I38" s="48" t="inlineStr">
        <is>
          <t>CAJ-4325 ZM</t>
        </is>
      </c>
      <c r="J38" s="48" t="inlineStr">
        <is>
          <t>CAJ-4321 ZM</t>
        </is>
      </c>
      <c r="K38" s="48" t="inlineStr">
        <is>
          <t>OASIS</t>
        </is>
      </c>
      <c r="L38" s="48" t="inlineStr">
        <is>
          <t>RAJ HILLARY</t>
        </is>
      </c>
      <c r="M38" s="47" t="n">
        <v>46088</v>
      </c>
      <c r="N38" s="47" t="n">
        <v>46097</v>
      </c>
      <c r="O38" s="49">
        <f>IF(OR(L38="",M38=""),"",M38-L38)</f>
        <v/>
      </c>
      <c r="P38" s="49">
        <f>IFERROR(VLOOKUP(B38,Deals[#All],7,FALSE),DEF_LAYTIME)</f>
        <v/>
      </c>
      <c r="Q38" s="49">
        <f>IF(O38="","",MAX(0,O38-P38))</f>
        <v/>
      </c>
      <c r="R38" s="50">
        <f>IFERROR(VLOOKUP(B38,Deals[#All],8,FALSE),DEF_RATE)</f>
        <v/>
      </c>
      <c r="S38" s="50">
        <f>IF(Q38="","",Q38*R38)</f>
        <v/>
      </c>
      <c r="T38" s="46">
        <f>IF(O38="","PENDING",IF(Q38&gt;0,"DEMURRAGE","ON-TIME"))</f>
        <v/>
      </c>
      <c r="U38" s="46">
        <f>IF(AND(E38&lt;&gt;"",M38&lt;&gt;"",M38&lt;E38),"⚠ Arr&lt;Loaded",IF(AND(M38&lt;&gt;"",N38&lt;&gt;"",N38&lt;M38),"⚠ Off&lt;Arr","OK"))</f>
        <v/>
      </c>
      <c r="V38" s="46">
        <f>IF(E38="","",TEXT(E38,"yyyy-mm"))</f>
        <v/>
      </c>
    </row>
    <row r="39">
      <c r="B39" s="46" t="n">
        <v>187293</v>
      </c>
      <c r="C39" s="46" t="inlineStr">
        <is>
          <t>CLM-2026-004</t>
        </is>
      </c>
      <c r="D39" s="48" t="inlineStr">
        <is>
          <t>Lake Petroleum Zambia</t>
        </is>
      </c>
      <c r="E39" s="47" t="n">
        <v>46079</v>
      </c>
      <c r="F39" s="48" t="inlineStr">
        <is>
          <t>Beira</t>
        </is>
      </c>
      <c r="G39" s="48" t="inlineStr">
        <is>
          <t>Lusaka</t>
        </is>
      </c>
      <c r="H39" s="48" t="inlineStr">
        <is>
          <t>PMS</t>
        </is>
      </c>
      <c r="I39" s="48" t="inlineStr">
        <is>
          <t>CAF-8526ZM</t>
        </is>
      </c>
      <c r="J39" s="48" t="inlineStr">
        <is>
          <t>CAF-8515ZM</t>
        </is>
      </c>
      <c r="K39" s="48" t="inlineStr">
        <is>
          <t>OASIS</t>
        </is>
      </c>
      <c r="L39" s="48" t="inlineStr">
        <is>
          <t>DUNCAN</t>
        </is>
      </c>
      <c r="M39" s="47" t="n">
        <v>46082</v>
      </c>
      <c r="N39" s="47" t="n">
        <v>46086</v>
      </c>
      <c r="O39" s="49">
        <f>IF(OR(L39="",M39=""),"",M39-L39)</f>
        <v/>
      </c>
      <c r="P39" s="49">
        <f>IFERROR(VLOOKUP(B39,Deals[#All],7,FALSE),DEF_LAYTIME)</f>
        <v/>
      </c>
      <c r="Q39" s="49">
        <f>IF(O39="","",MAX(0,O39-P39))</f>
        <v/>
      </c>
      <c r="R39" s="50">
        <f>IFERROR(VLOOKUP(B39,Deals[#All],8,FALSE),DEF_RATE)</f>
        <v/>
      </c>
      <c r="S39" s="50">
        <f>IF(Q39="","",Q39*R39)</f>
        <v/>
      </c>
      <c r="T39" s="46">
        <f>IF(O39="","PENDING",IF(Q39&gt;0,"DEMURRAGE","ON-TIME"))</f>
        <v/>
      </c>
      <c r="U39" s="46">
        <f>IF(AND(E39&lt;&gt;"",M39&lt;&gt;"",M39&lt;E39),"⚠ Arr&lt;Loaded",IF(AND(M39&lt;&gt;"",N39&lt;&gt;"",N39&lt;M39),"⚠ Off&lt;Arr","OK"))</f>
        <v/>
      </c>
      <c r="V39" s="46">
        <f>IF(E39="","",TEXT(E39,"yyyy-mm"))</f>
        <v/>
      </c>
    </row>
    <row r="40">
      <c r="B40" s="46" t="n">
        <v>187293</v>
      </c>
      <c r="C40" s="46" t="inlineStr">
        <is>
          <t>CLM-2026-004</t>
        </is>
      </c>
      <c r="D40" s="48" t="inlineStr">
        <is>
          <t>Lake Petroleum Zambia</t>
        </is>
      </c>
      <c r="E40" s="47" t="n">
        <v>46087</v>
      </c>
      <c r="F40" s="48" t="inlineStr">
        <is>
          <t>Beira</t>
        </is>
      </c>
      <c r="G40" s="48" t="inlineStr">
        <is>
          <t>Lusaka</t>
        </is>
      </c>
      <c r="H40" s="48" t="inlineStr">
        <is>
          <t>PMS</t>
        </is>
      </c>
      <c r="I40" s="48" t="inlineStr">
        <is>
          <t>AHN 716 MP</t>
        </is>
      </c>
      <c r="J40" s="48" t="inlineStr">
        <is>
          <t>AJ 041 MC</t>
        </is>
      </c>
      <c r="K40" s="48" t="inlineStr">
        <is>
          <t>TRANSIR</t>
        </is>
      </c>
      <c r="L40" s="48" t="inlineStr">
        <is>
          <t>AVERAGE CHITENGWA</t>
        </is>
      </c>
      <c r="M40" s="47" t="n">
        <v>46092</v>
      </c>
      <c r="N40" s="47" t="n">
        <v>46106</v>
      </c>
      <c r="O40" s="49">
        <f>IF(OR(L40="",M40=""),"",M40-L40)</f>
        <v/>
      </c>
      <c r="P40" s="49">
        <f>IFERROR(VLOOKUP(B40,Deals[#All],7,FALSE),DEF_LAYTIME)</f>
        <v/>
      </c>
      <c r="Q40" s="49">
        <f>IF(O40="","",MAX(0,O40-P40))</f>
        <v/>
      </c>
      <c r="R40" s="50">
        <f>IFERROR(VLOOKUP(B40,Deals[#All],8,FALSE),DEF_RATE)</f>
        <v/>
      </c>
      <c r="S40" s="50">
        <f>IF(Q40="","",Q40*R40)</f>
        <v/>
      </c>
      <c r="T40" s="46">
        <f>IF(O40="","PENDING",IF(Q40&gt;0,"DEMURRAGE","ON-TIME"))</f>
        <v/>
      </c>
      <c r="U40" s="46">
        <f>IF(AND(E40&lt;&gt;"",M40&lt;&gt;"",M40&lt;E40),"⚠ Arr&lt;Loaded",IF(AND(M40&lt;&gt;"",N40&lt;&gt;"",N40&lt;M40),"⚠ Off&lt;Arr","OK"))</f>
        <v/>
      </c>
      <c r="V40" s="46">
        <f>IF(E40="","",TEXT(E40,"yyyy-mm"))</f>
        <v/>
      </c>
    </row>
    <row r="41">
      <c r="B41" s="46" t="n">
        <v>187293</v>
      </c>
      <c r="C41" s="46" t="inlineStr">
        <is>
          <t>CLM-2026-004</t>
        </is>
      </c>
      <c r="D41" s="48" t="inlineStr">
        <is>
          <t>Lake Petroleum Zambia</t>
        </is>
      </c>
      <c r="E41" s="47" t="n">
        <v>46086</v>
      </c>
      <c r="F41" s="48" t="inlineStr">
        <is>
          <t>Beira</t>
        </is>
      </c>
      <c r="G41" s="48" t="inlineStr">
        <is>
          <t>Lusaka</t>
        </is>
      </c>
      <c r="H41" s="48" t="inlineStr">
        <is>
          <t>PMS</t>
        </is>
      </c>
      <c r="I41" s="48" t="inlineStr">
        <is>
          <t>AJJ 602 MP</t>
        </is>
      </c>
      <c r="J41" s="48" t="inlineStr">
        <is>
          <t>AF 699 MC</t>
        </is>
      </c>
      <c r="K41" s="48" t="inlineStr">
        <is>
          <t>TRANSIR</t>
        </is>
      </c>
      <c r="L41" s="48" t="inlineStr">
        <is>
          <t>HESTINGS JAMU BANDA</t>
        </is>
      </c>
      <c r="M41" s="47" t="n">
        <v>46093</v>
      </c>
      <c r="N41" s="47" t="n">
        <v>46107</v>
      </c>
      <c r="O41" s="49">
        <f>IF(OR(L41="",M41=""),"",M41-L41)</f>
        <v/>
      </c>
      <c r="P41" s="49">
        <f>IFERROR(VLOOKUP(B41,Deals[#All],7,FALSE),DEF_LAYTIME)</f>
        <v/>
      </c>
      <c r="Q41" s="49">
        <f>IF(O41="","",MAX(0,O41-P41))</f>
        <v/>
      </c>
      <c r="R41" s="50">
        <f>IFERROR(VLOOKUP(B41,Deals[#All],8,FALSE),DEF_RATE)</f>
        <v/>
      </c>
      <c r="S41" s="50">
        <f>IF(Q41="","",Q41*R41)</f>
        <v/>
      </c>
      <c r="T41" s="46">
        <f>IF(O41="","PENDING",IF(Q41&gt;0,"DEMURRAGE","ON-TIME"))</f>
        <v/>
      </c>
      <c r="U41" s="46">
        <f>IF(AND(E41&lt;&gt;"",M41&lt;&gt;"",M41&lt;E41),"⚠ Arr&lt;Loaded",IF(AND(M41&lt;&gt;"",N41&lt;&gt;"",N41&lt;M41),"⚠ Off&lt;Arr","OK"))</f>
        <v/>
      </c>
      <c r="V41" s="46">
        <f>IF(E41="","",TEXT(E41,"yyyy-mm"))</f>
        <v/>
      </c>
    </row>
    <row r="42">
      <c r="B42" s="46" t="n">
        <v>187293</v>
      </c>
      <c r="C42" s="46" t="inlineStr">
        <is>
          <t>CLM-2026-004</t>
        </is>
      </c>
      <c r="D42" s="48" t="inlineStr">
        <is>
          <t>Lake Petroleum Zambia</t>
        </is>
      </c>
      <c r="E42" s="47" t="n">
        <v>46086</v>
      </c>
      <c r="F42" s="48" t="inlineStr">
        <is>
          <t>Beira</t>
        </is>
      </c>
      <c r="G42" s="48" t="inlineStr">
        <is>
          <t>Lusaka</t>
        </is>
      </c>
      <c r="H42" s="48" t="inlineStr">
        <is>
          <t>PMS</t>
        </is>
      </c>
      <c r="I42" s="48" t="inlineStr">
        <is>
          <t>AGU 496 MP</t>
        </is>
      </c>
      <c r="J42" s="48" t="inlineStr">
        <is>
          <t>AF 738 MC</t>
        </is>
      </c>
      <c r="K42" s="48" t="inlineStr">
        <is>
          <t>TRANSIR</t>
        </is>
      </c>
      <c r="L42" s="48" t="inlineStr">
        <is>
          <t>NHAMO MUKWEKWERERE</t>
        </is>
      </c>
      <c r="M42" s="47" t="n">
        <v>46092</v>
      </c>
      <c r="N42" s="47" t="n">
        <v>46105</v>
      </c>
      <c r="O42" s="49">
        <f>IF(OR(L42="",M42=""),"",M42-L42)</f>
        <v/>
      </c>
      <c r="P42" s="49">
        <f>IFERROR(VLOOKUP(B42,Deals[#All],7,FALSE),DEF_LAYTIME)</f>
        <v/>
      </c>
      <c r="Q42" s="49">
        <f>IF(O42="","",MAX(0,O42-P42))</f>
        <v/>
      </c>
      <c r="R42" s="50">
        <f>IFERROR(VLOOKUP(B42,Deals[#All],8,FALSE),DEF_RATE)</f>
        <v/>
      </c>
      <c r="S42" s="50">
        <f>IF(Q42="","",Q42*R42)</f>
        <v/>
      </c>
      <c r="T42" s="46">
        <f>IF(O42="","PENDING",IF(Q42&gt;0,"DEMURRAGE","ON-TIME"))</f>
        <v/>
      </c>
      <c r="U42" s="46">
        <f>IF(AND(E42&lt;&gt;"",M42&lt;&gt;"",M42&lt;E42),"⚠ Arr&lt;Loaded",IF(AND(M42&lt;&gt;"",N42&lt;&gt;"",N42&lt;M42),"⚠ Off&lt;Arr","OK"))</f>
        <v/>
      </c>
      <c r="V42" s="46">
        <f>IF(E42="","",TEXT(E42,"yyyy-mm"))</f>
        <v/>
      </c>
    </row>
    <row r="43">
      <c r="B43" s="46" t="n">
        <v>187293</v>
      </c>
      <c r="C43" s="46" t="inlineStr">
        <is>
          <t>CLM-2026-004</t>
        </is>
      </c>
      <c r="D43" s="48" t="inlineStr">
        <is>
          <t>Lake Petroleum Zambia</t>
        </is>
      </c>
      <c r="E43" s="47" t="n">
        <v>46086</v>
      </c>
      <c r="F43" s="48" t="inlineStr">
        <is>
          <t>Beira</t>
        </is>
      </c>
      <c r="G43" s="48" t="inlineStr">
        <is>
          <t>Lusaka</t>
        </is>
      </c>
      <c r="H43" s="48" t="inlineStr">
        <is>
          <t>PMS</t>
        </is>
      </c>
      <c r="I43" s="48" t="inlineStr">
        <is>
          <t>AFW 378 MP</t>
        </is>
      </c>
      <c r="J43" s="48" t="inlineStr">
        <is>
          <t>AE 731 MC</t>
        </is>
      </c>
      <c r="K43" s="48" t="inlineStr">
        <is>
          <t>TRANSIR</t>
        </is>
      </c>
      <c r="L43" s="48" t="inlineStr">
        <is>
          <t>KANGAI TAFIRENYIKA</t>
        </is>
      </c>
      <c r="M43" s="47" t="n">
        <v>46093</v>
      </c>
      <c r="N43" s="47" t="n">
        <v>46107</v>
      </c>
      <c r="O43" s="49">
        <f>IF(OR(L43="",M43=""),"",M43-L43)</f>
        <v/>
      </c>
      <c r="P43" s="49">
        <f>IFERROR(VLOOKUP(B43,Deals[#All],7,FALSE),DEF_LAYTIME)</f>
        <v/>
      </c>
      <c r="Q43" s="49">
        <f>IF(O43="","",MAX(0,O43-P43))</f>
        <v/>
      </c>
      <c r="R43" s="50">
        <f>IFERROR(VLOOKUP(B43,Deals[#All],8,FALSE),DEF_RATE)</f>
        <v/>
      </c>
      <c r="S43" s="50">
        <f>IF(Q43="","",Q43*R43)</f>
        <v/>
      </c>
      <c r="T43" s="46">
        <f>IF(O43="","PENDING",IF(Q43&gt;0,"DEMURRAGE","ON-TIME"))</f>
        <v/>
      </c>
      <c r="U43" s="46">
        <f>IF(AND(E43&lt;&gt;"",M43&lt;&gt;"",M43&lt;E43),"⚠ Arr&lt;Loaded",IF(AND(M43&lt;&gt;"",N43&lt;&gt;"",N43&lt;M43),"⚠ Off&lt;Arr","OK"))</f>
        <v/>
      </c>
      <c r="V43" s="46">
        <f>IF(E43="","",TEXT(E43,"yyyy-mm"))</f>
        <v/>
      </c>
    </row>
    <row r="44">
      <c r="B44" s="46" t="n">
        <v>187293</v>
      </c>
      <c r="C44" s="46" t="inlineStr">
        <is>
          <t>CLM-2026-004</t>
        </is>
      </c>
      <c r="D44" s="48" t="inlineStr">
        <is>
          <t>Lake Petroleum Zambia</t>
        </is>
      </c>
      <c r="E44" s="47" t="n">
        <v>46085</v>
      </c>
      <c r="F44" s="48" t="inlineStr">
        <is>
          <t>Beira</t>
        </is>
      </c>
      <c r="G44" s="48" t="inlineStr">
        <is>
          <t>Lusaka</t>
        </is>
      </c>
      <c r="H44" s="48" t="inlineStr">
        <is>
          <t>PMS</t>
        </is>
      </c>
      <c r="I44" s="48" t="inlineStr">
        <is>
          <t>AHG 527 MP</t>
        </is>
      </c>
      <c r="J44" s="48" t="inlineStr">
        <is>
          <t>AE 730 MC</t>
        </is>
      </c>
      <c r="K44" s="48" t="inlineStr">
        <is>
          <t>TRANSIR</t>
        </is>
      </c>
      <c r="L44" s="48" t="inlineStr">
        <is>
          <t>KELVIN JAKARASI</t>
        </is>
      </c>
      <c r="M44" s="47" t="n">
        <v>46092</v>
      </c>
      <c r="N44" s="47" t="n">
        <v>46105</v>
      </c>
      <c r="O44" s="49">
        <f>IF(OR(L44="",M44=""),"",M44-L44)</f>
        <v/>
      </c>
      <c r="P44" s="49">
        <f>IFERROR(VLOOKUP(B44,Deals[#All],7,FALSE),DEF_LAYTIME)</f>
        <v/>
      </c>
      <c r="Q44" s="49">
        <f>IF(O44="","",MAX(0,O44-P44))</f>
        <v/>
      </c>
      <c r="R44" s="50">
        <f>IFERROR(VLOOKUP(B44,Deals[#All],8,FALSE),DEF_RATE)</f>
        <v/>
      </c>
      <c r="S44" s="50">
        <f>IF(Q44="","",Q44*R44)</f>
        <v/>
      </c>
      <c r="T44" s="46">
        <f>IF(O44="","PENDING",IF(Q44&gt;0,"DEMURRAGE","ON-TIME"))</f>
        <v/>
      </c>
      <c r="U44" s="46">
        <f>IF(AND(E44&lt;&gt;"",M44&lt;&gt;"",M44&lt;E44),"⚠ Arr&lt;Loaded",IF(AND(M44&lt;&gt;"",N44&lt;&gt;"",N44&lt;M44),"⚠ Off&lt;Arr","OK"))</f>
        <v/>
      </c>
      <c r="V44" s="46">
        <f>IF(E44="","",TEXT(E44,"yyyy-mm"))</f>
        <v/>
      </c>
    </row>
    <row r="45">
      <c r="B45" s="46" t="n">
        <v>187293</v>
      </c>
      <c r="C45" s="46" t="inlineStr">
        <is>
          <t>CLM-2026-004</t>
        </is>
      </c>
      <c r="D45" s="48" t="inlineStr">
        <is>
          <t>Lake Petroleum Zambia</t>
        </is>
      </c>
      <c r="E45" s="47" t="n">
        <v>46085</v>
      </c>
      <c r="F45" s="48" t="inlineStr">
        <is>
          <t>Beira</t>
        </is>
      </c>
      <c r="G45" s="48" t="inlineStr">
        <is>
          <t>Lusaka</t>
        </is>
      </c>
      <c r="H45" s="48" t="inlineStr">
        <is>
          <t>PMS</t>
        </is>
      </c>
      <c r="I45" s="48" t="inlineStr">
        <is>
          <t>AIB 236 MC</t>
        </is>
      </c>
      <c r="J45" s="48" t="inlineStr">
        <is>
          <t>AA 486 MC</t>
        </is>
      </c>
      <c r="K45" s="48" t="inlineStr">
        <is>
          <t>TRANSIR</t>
        </is>
      </c>
      <c r="L45" s="48" t="inlineStr">
        <is>
          <t>INNOCENT MPOSHI</t>
        </is>
      </c>
      <c r="M45" s="47" t="n">
        <v>46092</v>
      </c>
      <c r="N45" s="47" t="n">
        <v>46105</v>
      </c>
      <c r="O45" s="49">
        <f>IF(OR(L45="",M45=""),"",M45-L45)</f>
        <v/>
      </c>
      <c r="P45" s="49">
        <f>IFERROR(VLOOKUP(B45,Deals[#All],7,FALSE),DEF_LAYTIME)</f>
        <v/>
      </c>
      <c r="Q45" s="49">
        <f>IF(O45="","",MAX(0,O45-P45))</f>
        <v/>
      </c>
      <c r="R45" s="50">
        <f>IFERROR(VLOOKUP(B45,Deals[#All],8,FALSE),DEF_RATE)</f>
        <v/>
      </c>
      <c r="S45" s="50">
        <f>IF(Q45="","",Q45*R45)</f>
        <v/>
      </c>
      <c r="T45" s="46">
        <f>IF(O45="","PENDING",IF(Q45&gt;0,"DEMURRAGE","ON-TIME"))</f>
        <v/>
      </c>
      <c r="U45" s="46">
        <f>IF(AND(E45&lt;&gt;"",M45&lt;&gt;"",M45&lt;E45),"⚠ Arr&lt;Loaded",IF(AND(M45&lt;&gt;"",N45&lt;&gt;"",N45&lt;M45),"⚠ Off&lt;Arr","OK"))</f>
        <v/>
      </c>
      <c r="V45" s="46">
        <f>IF(E45="","",TEXT(E45,"yyyy-mm"))</f>
        <v/>
      </c>
    </row>
    <row r="46">
      <c r="B46" s="46" t="n">
        <v>187293</v>
      </c>
      <c r="C46" s="46" t="inlineStr">
        <is>
          <t>CLM-2026-004</t>
        </is>
      </c>
      <c r="D46" s="48" t="inlineStr">
        <is>
          <t>Lake Petroleum Zambia</t>
        </is>
      </c>
      <c r="E46" s="47" t="n">
        <v>46085</v>
      </c>
      <c r="F46" s="48" t="inlineStr">
        <is>
          <t>Beira</t>
        </is>
      </c>
      <c r="G46" s="48" t="inlineStr">
        <is>
          <t>Lusaka</t>
        </is>
      </c>
      <c r="H46" s="48" t="inlineStr">
        <is>
          <t>PMS</t>
        </is>
      </c>
      <c r="I46" s="48" t="inlineStr">
        <is>
          <t>AAX 014 SF</t>
        </is>
      </c>
      <c r="J46" s="48" t="inlineStr">
        <is>
          <t>AA 475 MC</t>
        </is>
      </c>
      <c r="K46" s="48" t="inlineStr">
        <is>
          <t>TRANSIR</t>
        </is>
      </c>
      <c r="L46" s="48" t="inlineStr">
        <is>
          <t>CLAYTON KAMUDZEYA</t>
        </is>
      </c>
      <c r="M46" s="47" t="n">
        <v>46092</v>
      </c>
      <c r="N46" s="47" t="n">
        <v>46097</v>
      </c>
      <c r="O46" s="49">
        <f>IF(OR(L46="",M46=""),"",M46-L46)</f>
        <v/>
      </c>
      <c r="P46" s="49">
        <f>IFERROR(VLOOKUP(B46,Deals[#All],7,FALSE),DEF_LAYTIME)</f>
        <v/>
      </c>
      <c r="Q46" s="49">
        <f>IF(O46="","",MAX(0,O46-P46))</f>
        <v/>
      </c>
      <c r="R46" s="50">
        <f>IFERROR(VLOOKUP(B46,Deals[#All],8,FALSE),DEF_RATE)</f>
        <v/>
      </c>
      <c r="S46" s="50">
        <f>IF(Q46="","",Q46*R46)</f>
        <v/>
      </c>
      <c r="T46" s="46">
        <f>IF(O46="","PENDING",IF(Q46&gt;0,"DEMURRAGE","ON-TIME"))</f>
        <v/>
      </c>
      <c r="U46" s="46">
        <f>IF(AND(E46&lt;&gt;"",M46&lt;&gt;"",M46&lt;E46),"⚠ Arr&lt;Loaded",IF(AND(M46&lt;&gt;"",N46&lt;&gt;"",N46&lt;M46),"⚠ Off&lt;Arr","OK"))</f>
        <v/>
      </c>
      <c r="V46" s="46">
        <f>IF(E46="","",TEXT(E46,"yyyy-mm"))</f>
        <v/>
      </c>
    </row>
    <row r="47">
      <c r="B47" s="46" t="n">
        <v>187293</v>
      </c>
      <c r="C47" s="46" t="inlineStr">
        <is>
          <t>CLM-2026-004</t>
        </is>
      </c>
      <c r="D47" s="48" t="inlineStr">
        <is>
          <t>Lake Petroleum Zambia</t>
        </is>
      </c>
      <c r="E47" s="47" t="n">
        <v>46085</v>
      </c>
      <c r="F47" s="48" t="inlineStr">
        <is>
          <t>Beira</t>
        </is>
      </c>
      <c r="G47" s="48" t="inlineStr">
        <is>
          <t>Lusaka</t>
        </is>
      </c>
      <c r="H47" s="48" t="inlineStr">
        <is>
          <t>PMS</t>
        </is>
      </c>
      <c r="I47" s="48" t="inlineStr">
        <is>
          <t>AFV 439 MP</t>
        </is>
      </c>
      <c r="J47" s="48" t="inlineStr">
        <is>
          <t>AE 760 MC</t>
        </is>
      </c>
      <c r="K47" s="48" t="inlineStr">
        <is>
          <t>TRANSIR</t>
        </is>
      </c>
      <c r="L47" s="48" t="inlineStr">
        <is>
          <t>ALBERT ADELINO SILIRA</t>
        </is>
      </c>
      <c r="M47" s="47" t="n">
        <v>46092</v>
      </c>
      <c r="N47" s="47" t="n">
        <v>46102</v>
      </c>
      <c r="O47" s="49">
        <f>IF(OR(L47="",M47=""),"",M47-L47)</f>
        <v/>
      </c>
      <c r="P47" s="49">
        <f>IFERROR(VLOOKUP(B47,Deals[#All],7,FALSE),DEF_LAYTIME)</f>
        <v/>
      </c>
      <c r="Q47" s="49">
        <f>IF(O47="","",MAX(0,O47-P47))</f>
        <v/>
      </c>
      <c r="R47" s="50">
        <f>IFERROR(VLOOKUP(B47,Deals[#All],8,FALSE),DEF_RATE)</f>
        <v/>
      </c>
      <c r="S47" s="50">
        <f>IF(Q47="","",Q47*R47)</f>
        <v/>
      </c>
      <c r="T47" s="46">
        <f>IF(O47="","PENDING",IF(Q47&gt;0,"DEMURRAGE","ON-TIME"))</f>
        <v/>
      </c>
      <c r="U47" s="46">
        <f>IF(AND(E47&lt;&gt;"",M47&lt;&gt;"",M47&lt;E47),"⚠ Arr&lt;Loaded",IF(AND(M47&lt;&gt;"",N47&lt;&gt;"",N47&lt;M47),"⚠ Off&lt;Arr","OK"))</f>
        <v/>
      </c>
      <c r="V47" s="46">
        <f>IF(E47="","",TEXT(E47,"yyyy-mm"))</f>
        <v/>
      </c>
    </row>
    <row r="48">
      <c r="B48" s="46" t="n">
        <v>187293</v>
      </c>
      <c r="C48" s="46" t="inlineStr">
        <is>
          <t>CLM-2026-004</t>
        </is>
      </c>
      <c r="D48" s="48" t="inlineStr">
        <is>
          <t>Lake Petroleum Zambia</t>
        </is>
      </c>
      <c r="E48" s="47" t="n">
        <v>46085</v>
      </c>
      <c r="F48" s="48" t="inlineStr">
        <is>
          <t>Beira</t>
        </is>
      </c>
      <c r="G48" s="48" t="inlineStr">
        <is>
          <t>Lusaka</t>
        </is>
      </c>
      <c r="H48" s="48" t="inlineStr">
        <is>
          <t>PMS</t>
        </is>
      </c>
      <c r="I48" s="48" t="inlineStr">
        <is>
          <t>AIQ 955 MP</t>
        </is>
      </c>
      <c r="J48" s="48" t="inlineStr">
        <is>
          <t>AJ 042 MC</t>
        </is>
      </c>
      <c r="K48" s="48" t="inlineStr">
        <is>
          <t>TRANSIR</t>
        </is>
      </c>
      <c r="L48" s="48" t="inlineStr">
        <is>
          <t>MAXWELL SHAMU</t>
        </is>
      </c>
      <c r="M48" s="47" t="n">
        <v>46092</v>
      </c>
      <c r="N48" s="47" t="n">
        <v>46104</v>
      </c>
      <c r="O48" s="49">
        <f>IF(OR(L48="",M48=""),"",M48-L48)</f>
        <v/>
      </c>
      <c r="P48" s="49">
        <f>IFERROR(VLOOKUP(B48,Deals[#All],7,FALSE),DEF_LAYTIME)</f>
        <v/>
      </c>
      <c r="Q48" s="49">
        <f>IF(O48="","",MAX(0,O48-P48))</f>
        <v/>
      </c>
      <c r="R48" s="50">
        <f>IFERROR(VLOOKUP(B48,Deals[#All],8,FALSE),DEF_RATE)</f>
        <v/>
      </c>
      <c r="S48" s="50">
        <f>IF(Q48="","",Q48*R48)</f>
        <v/>
      </c>
      <c r="T48" s="46">
        <f>IF(O48="","PENDING",IF(Q48&gt;0,"DEMURRAGE","ON-TIME"))</f>
        <v/>
      </c>
      <c r="U48" s="46">
        <f>IF(AND(E48&lt;&gt;"",M48&lt;&gt;"",M48&lt;E48),"⚠ Arr&lt;Loaded",IF(AND(M48&lt;&gt;"",N48&lt;&gt;"",N48&lt;M48),"⚠ Off&lt;Arr","OK"))</f>
        <v/>
      </c>
      <c r="V48" s="46">
        <f>IF(E48="","",TEXT(E48,"yyyy-mm"))</f>
        <v/>
      </c>
    </row>
    <row r="49">
      <c r="B49" s="46" t="n">
        <v>187293</v>
      </c>
      <c r="C49" s="46" t="inlineStr">
        <is>
          <t>CLM-2026-004</t>
        </is>
      </c>
      <c r="D49" s="48" t="inlineStr">
        <is>
          <t>Lake Petroleum Zambia</t>
        </is>
      </c>
      <c r="E49" s="47" t="n">
        <v>46093</v>
      </c>
      <c r="F49" s="48" t="inlineStr">
        <is>
          <t>Beira</t>
        </is>
      </c>
      <c r="G49" s="48" t="inlineStr">
        <is>
          <t>Lusaka</t>
        </is>
      </c>
      <c r="H49" s="48" t="inlineStr">
        <is>
          <t>PMS</t>
        </is>
      </c>
      <c r="I49" s="48" t="inlineStr">
        <is>
          <t>AIB 049 MC</t>
        </is>
      </c>
      <c r="J49" s="48" t="inlineStr">
        <is>
          <t>AF 715 MC</t>
        </is>
      </c>
      <c r="K49" s="48" t="inlineStr">
        <is>
          <t>TRANSIR</t>
        </is>
      </c>
      <c r="L49" s="48" t="inlineStr">
        <is>
          <t>KUMIRAI KRISPEN</t>
        </is>
      </c>
      <c r="M49" s="47" t="n">
        <v>46098</v>
      </c>
      <c r="N49" s="47" t="n">
        <v>46108</v>
      </c>
      <c r="O49" s="49">
        <f>IF(OR(L49="",M49=""),"",M49-L49)</f>
        <v/>
      </c>
      <c r="P49" s="49">
        <f>IFERROR(VLOOKUP(B49,Deals[#All],7,FALSE),DEF_LAYTIME)</f>
        <v/>
      </c>
      <c r="Q49" s="49">
        <f>IF(O49="","",MAX(0,O49-P49))</f>
        <v/>
      </c>
      <c r="R49" s="50">
        <f>IFERROR(VLOOKUP(B49,Deals[#All],8,FALSE),DEF_RATE)</f>
        <v/>
      </c>
      <c r="S49" s="50">
        <f>IF(Q49="","",Q49*R49)</f>
        <v/>
      </c>
      <c r="T49" s="46">
        <f>IF(O49="","PENDING",IF(Q49&gt;0,"DEMURRAGE","ON-TIME"))</f>
        <v/>
      </c>
      <c r="U49" s="46">
        <f>IF(AND(E49&lt;&gt;"",M49&lt;&gt;"",M49&lt;E49),"⚠ Arr&lt;Loaded",IF(AND(M49&lt;&gt;"",N49&lt;&gt;"",N49&lt;M49),"⚠ Off&lt;Arr","OK"))</f>
        <v/>
      </c>
      <c r="V49" s="46">
        <f>IF(E49="","",TEXT(E49,"yyyy-mm"))</f>
        <v/>
      </c>
    </row>
    <row r="50">
      <c r="B50" s="46" t="n">
        <v>187296</v>
      </c>
      <c r="C50" s="46" t="inlineStr">
        <is>
          <t>CLM-2026-005</t>
        </is>
      </c>
      <c r="D50" s="48" t="inlineStr">
        <is>
          <t>Rubis Energy Zambia</t>
        </is>
      </c>
      <c r="E50" s="47" t="n">
        <v>46072</v>
      </c>
      <c r="F50" s="48" t="inlineStr">
        <is>
          <t>Beira</t>
        </is>
      </c>
      <c r="G50" s="48" t="inlineStr">
        <is>
          <t>Lusaka</t>
        </is>
      </c>
      <c r="H50" s="48" t="inlineStr">
        <is>
          <t>PMS</t>
        </is>
      </c>
      <c r="I50" s="48" t="inlineStr">
        <is>
          <t>AKN 021 MC</t>
        </is>
      </c>
      <c r="J50" s="48" t="inlineStr">
        <is>
          <t>AH430MC</t>
        </is>
      </c>
      <c r="K50" s="48" t="inlineStr">
        <is>
          <t>PETRODA</t>
        </is>
      </c>
      <c r="L50" s="48" t="inlineStr">
        <is>
          <t>JOSE MORAIS AUGUSTO</t>
        </is>
      </c>
      <c r="M50" s="47" t="n">
        <v>46076</v>
      </c>
      <c r="N50" s="47" t="n">
        <v>46084</v>
      </c>
      <c r="O50" s="49">
        <f>IF(OR(L50="",M50=""),"",M50-L50)</f>
        <v/>
      </c>
      <c r="P50" s="49">
        <f>IFERROR(VLOOKUP(B50,Deals[#All],7,FALSE),DEF_LAYTIME)</f>
        <v/>
      </c>
      <c r="Q50" s="49">
        <f>IF(O50="","",MAX(0,O50-P50))</f>
        <v/>
      </c>
      <c r="R50" s="50">
        <f>IFERROR(VLOOKUP(B50,Deals[#All],8,FALSE),DEF_RATE)</f>
        <v/>
      </c>
      <c r="S50" s="50">
        <f>IF(Q50="","",Q50*R50)</f>
        <v/>
      </c>
      <c r="T50" s="46">
        <f>IF(O50="","PENDING",IF(Q50&gt;0,"DEMURRAGE","ON-TIME"))</f>
        <v/>
      </c>
      <c r="U50" s="46">
        <f>IF(AND(E50&lt;&gt;"",M50&lt;&gt;"",M50&lt;E50),"⚠ Arr&lt;Loaded",IF(AND(M50&lt;&gt;"",N50&lt;&gt;"",N50&lt;M50),"⚠ Off&lt;Arr","OK"))</f>
        <v/>
      </c>
      <c r="V50" s="46">
        <f>IF(E50="","",TEXT(E50,"yyyy-mm"))</f>
        <v/>
      </c>
    </row>
    <row r="51">
      <c r="B51" s="46" t="n">
        <v>187296</v>
      </c>
      <c r="C51" s="46" t="inlineStr">
        <is>
          <t>CLM-2026-005</t>
        </is>
      </c>
      <c r="D51" s="48" t="inlineStr">
        <is>
          <t>Rubis Energy Zambia</t>
        </is>
      </c>
      <c r="E51" s="47" t="n">
        <v>46072</v>
      </c>
      <c r="F51" s="48" t="inlineStr">
        <is>
          <t>Beira</t>
        </is>
      </c>
      <c r="G51" s="48" t="inlineStr">
        <is>
          <t>Lusaka</t>
        </is>
      </c>
      <c r="H51" s="48" t="inlineStr">
        <is>
          <t>PMS</t>
        </is>
      </c>
      <c r="I51" s="48" t="inlineStr">
        <is>
          <t>ABC 281 SF</t>
        </is>
      </c>
      <c r="J51" s="48" t="inlineStr">
        <is>
          <t>AH 405 SF</t>
        </is>
      </c>
      <c r="K51" s="48" t="inlineStr">
        <is>
          <t>PETRODA</t>
        </is>
      </c>
      <c r="L51" s="48" t="inlineStr">
        <is>
          <t xml:space="preserve">DAUTI GUBE </t>
        </is>
      </c>
      <c r="M51" s="47" t="n">
        <v>46076</v>
      </c>
      <c r="N51" s="47" t="n">
        <v>46080</v>
      </c>
      <c r="O51" s="49">
        <f>IF(OR(L51="",M51=""),"",M51-L51)</f>
        <v/>
      </c>
      <c r="P51" s="49">
        <f>IFERROR(VLOOKUP(B51,Deals[#All],7,FALSE),DEF_LAYTIME)</f>
        <v/>
      </c>
      <c r="Q51" s="49">
        <f>IF(O51="","",MAX(0,O51-P51))</f>
        <v/>
      </c>
      <c r="R51" s="50">
        <f>IFERROR(VLOOKUP(B51,Deals[#All],8,FALSE),DEF_RATE)</f>
        <v/>
      </c>
      <c r="S51" s="50">
        <f>IF(Q51="","",Q51*R51)</f>
        <v/>
      </c>
      <c r="T51" s="46">
        <f>IF(O51="","PENDING",IF(Q51&gt;0,"DEMURRAGE","ON-TIME"))</f>
        <v/>
      </c>
      <c r="U51" s="46">
        <f>IF(AND(E51&lt;&gt;"",M51&lt;&gt;"",M51&lt;E51),"⚠ Arr&lt;Loaded",IF(AND(M51&lt;&gt;"",N51&lt;&gt;"",N51&lt;M51),"⚠ Off&lt;Arr","OK"))</f>
        <v/>
      </c>
      <c r="V51" s="46">
        <f>IF(E51="","",TEXT(E51,"yyyy-mm"))</f>
        <v/>
      </c>
    </row>
    <row r="52">
      <c r="B52" s="46" t="n">
        <v>187296</v>
      </c>
      <c r="C52" s="46" t="inlineStr">
        <is>
          <t>CLM-2026-005</t>
        </is>
      </c>
      <c r="D52" s="48" t="inlineStr">
        <is>
          <t>Rubis Energy Zambia</t>
        </is>
      </c>
      <c r="E52" s="47" t="n">
        <v>46072</v>
      </c>
      <c r="F52" s="48" t="inlineStr">
        <is>
          <t>Beira</t>
        </is>
      </c>
      <c r="G52" s="48" t="inlineStr">
        <is>
          <t>Lusaka</t>
        </is>
      </c>
      <c r="H52" s="48" t="inlineStr">
        <is>
          <t>PMS</t>
        </is>
      </c>
      <c r="I52" s="48" t="inlineStr">
        <is>
          <t>ABC 296 SF</t>
        </is>
      </c>
      <c r="J52" s="48" t="inlineStr">
        <is>
          <t>AH 396 SF</t>
        </is>
      </c>
      <c r="K52" s="48" t="inlineStr">
        <is>
          <t>PETRODA</t>
        </is>
      </c>
      <c r="L52" s="48" t="inlineStr">
        <is>
          <t>CHICONDI RAIMUNDO TEMBO</t>
        </is>
      </c>
      <c r="M52" s="47" t="n">
        <v>46076</v>
      </c>
      <c r="N52" s="47" t="n">
        <v>46080</v>
      </c>
      <c r="O52" s="49">
        <f>IF(OR(L52="",M52=""),"",M52-L52)</f>
        <v/>
      </c>
      <c r="P52" s="49">
        <f>IFERROR(VLOOKUP(B52,Deals[#All],7,FALSE),DEF_LAYTIME)</f>
        <v/>
      </c>
      <c r="Q52" s="49">
        <f>IF(O52="","",MAX(0,O52-P52))</f>
        <v/>
      </c>
      <c r="R52" s="50">
        <f>IFERROR(VLOOKUP(B52,Deals[#All],8,FALSE),DEF_RATE)</f>
        <v/>
      </c>
      <c r="S52" s="50">
        <f>IF(Q52="","",Q52*R52)</f>
        <v/>
      </c>
      <c r="T52" s="46">
        <f>IF(O52="","PENDING",IF(Q52&gt;0,"DEMURRAGE","ON-TIME"))</f>
        <v/>
      </c>
      <c r="U52" s="46">
        <f>IF(AND(E52&lt;&gt;"",M52&lt;&gt;"",M52&lt;E52),"⚠ Arr&lt;Loaded",IF(AND(M52&lt;&gt;"",N52&lt;&gt;"",N52&lt;M52),"⚠ Off&lt;Arr","OK"))</f>
        <v/>
      </c>
      <c r="V52" s="46">
        <f>IF(E52="","",TEXT(E52,"yyyy-mm"))</f>
        <v/>
      </c>
    </row>
    <row r="53">
      <c r="B53" s="46" t="n">
        <v>187296</v>
      </c>
      <c r="C53" s="46" t="inlineStr">
        <is>
          <t>CLM-2026-005</t>
        </is>
      </c>
      <c r="D53" s="48" t="inlineStr">
        <is>
          <t>Rubis Energy Zambia</t>
        </is>
      </c>
      <c r="E53" s="47" t="n">
        <v>46072</v>
      </c>
      <c r="F53" s="48" t="inlineStr">
        <is>
          <t>Beira</t>
        </is>
      </c>
      <c r="G53" s="48" t="inlineStr">
        <is>
          <t>Lusaka</t>
        </is>
      </c>
      <c r="H53" s="48" t="inlineStr">
        <is>
          <t>PMS</t>
        </is>
      </c>
      <c r="I53" s="48" t="inlineStr">
        <is>
          <t>ABC 288 SF</t>
        </is>
      </c>
      <c r="J53" s="48" t="inlineStr">
        <is>
          <t>AH 388 SF</t>
        </is>
      </c>
      <c r="K53" s="48" t="inlineStr">
        <is>
          <t>PETRODA</t>
        </is>
      </c>
      <c r="L53" s="48" t="inlineStr">
        <is>
          <t>ANTONIO  ZECA  NDATCHERENGA</t>
        </is>
      </c>
      <c r="M53" s="47" t="n">
        <v>46076</v>
      </c>
      <c r="N53" s="47" t="n">
        <v>46084</v>
      </c>
      <c r="O53" s="49">
        <f>IF(OR(L53="",M53=""),"",M53-L53)</f>
        <v/>
      </c>
      <c r="P53" s="49">
        <f>IFERROR(VLOOKUP(B53,Deals[#All],7,FALSE),DEF_LAYTIME)</f>
        <v/>
      </c>
      <c r="Q53" s="49">
        <f>IF(O53="","",MAX(0,O53-P53))</f>
        <v/>
      </c>
      <c r="R53" s="50">
        <f>IFERROR(VLOOKUP(B53,Deals[#All],8,FALSE),DEF_RATE)</f>
        <v/>
      </c>
      <c r="S53" s="50">
        <f>IF(Q53="","",Q53*R53)</f>
        <v/>
      </c>
      <c r="T53" s="46">
        <f>IF(O53="","PENDING",IF(Q53&gt;0,"DEMURRAGE","ON-TIME"))</f>
        <v/>
      </c>
      <c r="U53" s="46">
        <f>IF(AND(E53&lt;&gt;"",M53&lt;&gt;"",M53&lt;E53),"⚠ Arr&lt;Loaded",IF(AND(M53&lt;&gt;"",N53&lt;&gt;"",N53&lt;M53),"⚠ Off&lt;Arr","OK"))</f>
        <v/>
      </c>
      <c r="V53" s="46">
        <f>IF(E53="","",TEXT(E53,"yyyy-mm"))</f>
        <v/>
      </c>
    </row>
    <row r="54">
      <c r="B54" s="46" t="n">
        <v>187296</v>
      </c>
      <c r="C54" s="46" t="inlineStr">
        <is>
          <t>CLM-2026-005</t>
        </is>
      </c>
      <c r="D54" s="48" t="inlineStr">
        <is>
          <t>Rubis Energy Zambia</t>
        </is>
      </c>
      <c r="E54" s="47" t="n">
        <v>46072</v>
      </c>
      <c r="F54" s="48" t="inlineStr">
        <is>
          <t>Beira</t>
        </is>
      </c>
      <c r="G54" s="48" t="inlineStr">
        <is>
          <t>Lusaka</t>
        </is>
      </c>
      <c r="H54" s="48" t="inlineStr">
        <is>
          <t>PMS</t>
        </is>
      </c>
      <c r="I54" s="48" t="inlineStr">
        <is>
          <t>AKO 096 MC</t>
        </is>
      </c>
      <c r="J54" s="48" t="inlineStr">
        <is>
          <t>AH 452 MC</t>
        </is>
      </c>
      <c r="K54" s="48" t="inlineStr">
        <is>
          <t>PETRODA</t>
        </is>
      </c>
      <c r="L54" s="48" t="inlineStr">
        <is>
          <t>EMIDIO SEBASTIAO JOAO MUSSAFE</t>
        </is>
      </c>
      <c r="M54" s="47" t="n">
        <v>46076</v>
      </c>
      <c r="N54" s="47" t="n">
        <v>46087</v>
      </c>
      <c r="O54" s="49">
        <f>IF(OR(L54="",M54=""),"",M54-L54)</f>
        <v/>
      </c>
      <c r="P54" s="49">
        <f>IFERROR(VLOOKUP(B54,Deals[#All],7,FALSE),DEF_LAYTIME)</f>
        <v/>
      </c>
      <c r="Q54" s="49">
        <f>IF(O54="","",MAX(0,O54-P54))</f>
        <v/>
      </c>
      <c r="R54" s="50">
        <f>IFERROR(VLOOKUP(B54,Deals[#All],8,FALSE),DEF_RATE)</f>
        <v/>
      </c>
      <c r="S54" s="50">
        <f>IF(Q54="","",Q54*R54)</f>
        <v/>
      </c>
      <c r="T54" s="46">
        <f>IF(O54="","PENDING",IF(Q54&gt;0,"DEMURRAGE","ON-TIME"))</f>
        <v/>
      </c>
      <c r="U54" s="46">
        <f>IF(AND(E54&lt;&gt;"",M54&lt;&gt;"",M54&lt;E54),"⚠ Arr&lt;Loaded",IF(AND(M54&lt;&gt;"",N54&lt;&gt;"",N54&lt;M54),"⚠ Off&lt;Arr","OK"))</f>
        <v/>
      </c>
      <c r="V54" s="46">
        <f>IF(E54="","",TEXT(E54,"yyyy-mm"))</f>
        <v/>
      </c>
    </row>
    <row r="55">
      <c r="B55" s="46" t="n">
        <v>187296</v>
      </c>
      <c r="C55" s="46" t="inlineStr">
        <is>
          <t>CLM-2026-005</t>
        </is>
      </c>
      <c r="D55" s="48" t="inlineStr">
        <is>
          <t>Rubis Energy Zambia</t>
        </is>
      </c>
      <c r="E55" s="47" t="n">
        <v>46072</v>
      </c>
      <c r="F55" s="48" t="inlineStr">
        <is>
          <t>Beira</t>
        </is>
      </c>
      <c r="G55" s="48" t="inlineStr">
        <is>
          <t>Lusaka</t>
        </is>
      </c>
      <c r="H55" s="48" t="inlineStr">
        <is>
          <t>PMS</t>
        </is>
      </c>
      <c r="I55" s="48" t="inlineStr">
        <is>
          <t>AKN 003 MC</t>
        </is>
      </c>
      <c r="J55" s="48" t="inlineStr">
        <is>
          <t>AH426MC</t>
        </is>
      </c>
      <c r="K55" s="48" t="inlineStr">
        <is>
          <t>PETRODA</t>
        </is>
      </c>
      <c r="L55" s="48" t="inlineStr">
        <is>
          <t>PAULO INACIO</t>
        </is>
      </c>
      <c r="M55" s="47" t="n">
        <v>46077</v>
      </c>
      <c r="N55" s="47" t="n">
        <v>46087</v>
      </c>
      <c r="O55" s="49">
        <f>IF(OR(L55="",M55=""),"",M55-L55)</f>
        <v/>
      </c>
      <c r="P55" s="49">
        <f>IFERROR(VLOOKUP(B55,Deals[#All],7,FALSE),DEF_LAYTIME)</f>
        <v/>
      </c>
      <c r="Q55" s="49">
        <f>IF(O55="","",MAX(0,O55-P55))</f>
        <v/>
      </c>
      <c r="R55" s="50">
        <f>IFERROR(VLOOKUP(B55,Deals[#All],8,FALSE),DEF_RATE)</f>
        <v/>
      </c>
      <c r="S55" s="50">
        <f>IF(Q55="","",Q55*R55)</f>
        <v/>
      </c>
      <c r="T55" s="46">
        <f>IF(O55="","PENDING",IF(Q55&gt;0,"DEMURRAGE","ON-TIME"))</f>
        <v/>
      </c>
      <c r="U55" s="46">
        <f>IF(AND(E55&lt;&gt;"",M55&lt;&gt;"",M55&lt;E55),"⚠ Arr&lt;Loaded",IF(AND(M55&lt;&gt;"",N55&lt;&gt;"",N55&lt;M55),"⚠ Off&lt;Arr","OK"))</f>
        <v/>
      </c>
      <c r="V55" s="46">
        <f>IF(E55="","",TEXT(E55,"yyyy-mm"))</f>
        <v/>
      </c>
    </row>
    <row r="56">
      <c r="B56" s="46" t="n">
        <v>187296</v>
      </c>
      <c r="C56" s="46" t="inlineStr">
        <is>
          <t>CLM-2026-005</t>
        </is>
      </c>
      <c r="D56" s="48" t="inlineStr">
        <is>
          <t>Rubis Energy Zambia</t>
        </is>
      </c>
      <c r="E56" s="47" t="n">
        <v>46072</v>
      </c>
      <c r="F56" s="48" t="inlineStr">
        <is>
          <t>Beira</t>
        </is>
      </c>
      <c r="G56" s="48" t="inlineStr">
        <is>
          <t>Lusaka</t>
        </is>
      </c>
      <c r="H56" s="48" t="inlineStr">
        <is>
          <t>PMS</t>
        </is>
      </c>
      <c r="I56" s="48" t="inlineStr">
        <is>
          <t>AKN 017 MC</t>
        </is>
      </c>
      <c r="J56" s="48" t="inlineStr">
        <is>
          <t>AH 424 MC</t>
        </is>
      </c>
      <c r="K56" s="48" t="inlineStr">
        <is>
          <t>PETRODA</t>
        </is>
      </c>
      <c r="L56" s="48" t="inlineStr">
        <is>
          <t>RAUL UARROTA JORGE</t>
        </is>
      </c>
      <c r="M56" s="47" t="n">
        <v>46076</v>
      </c>
      <c r="N56" s="47" t="n">
        <v>46087</v>
      </c>
      <c r="O56" s="49">
        <f>IF(OR(L56="",M56=""),"",M56-L56)</f>
        <v/>
      </c>
      <c r="P56" s="49">
        <f>IFERROR(VLOOKUP(B56,Deals[#All],7,FALSE),DEF_LAYTIME)</f>
        <v/>
      </c>
      <c r="Q56" s="49">
        <f>IF(O56="","",MAX(0,O56-P56))</f>
        <v/>
      </c>
      <c r="R56" s="50">
        <f>IFERROR(VLOOKUP(B56,Deals[#All],8,FALSE),DEF_RATE)</f>
        <v/>
      </c>
      <c r="S56" s="50">
        <f>IF(Q56="","",Q56*R56)</f>
        <v/>
      </c>
      <c r="T56" s="46">
        <f>IF(O56="","PENDING",IF(Q56&gt;0,"DEMURRAGE","ON-TIME"))</f>
        <v/>
      </c>
      <c r="U56" s="46">
        <f>IF(AND(E56&lt;&gt;"",M56&lt;&gt;"",M56&lt;E56),"⚠ Arr&lt;Loaded",IF(AND(M56&lt;&gt;"",N56&lt;&gt;"",N56&lt;M56),"⚠ Off&lt;Arr","OK"))</f>
        <v/>
      </c>
      <c r="V56" s="46">
        <f>IF(E56="","",TEXT(E56,"yyyy-mm"))</f>
        <v/>
      </c>
    </row>
    <row r="57">
      <c r="B57" s="46" t="n">
        <v>187296</v>
      </c>
      <c r="C57" s="46" t="inlineStr">
        <is>
          <t>CLM-2026-005</t>
        </is>
      </c>
      <c r="D57" s="48" t="inlineStr">
        <is>
          <t>Rubis Energy Zambia</t>
        </is>
      </c>
      <c r="E57" s="47" t="n">
        <v>46072</v>
      </c>
      <c r="F57" s="48" t="inlineStr">
        <is>
          <t>Beira</t>
        </is>
      </c>
      <c r="G57" s="48" t="inlineStr">
        <is>
          <t>Lusaka</t>
        </is>
      </c>
      <c r="H57" s="48" t="inlineStr">
        <is>
          <t>PMS</t>
        </is>
      </c>
      <c r="I57" s="48" t="inlineStr">
        <is>
          <t>AKO 141 MC</t>
        </is>
      </c>
      <c r="J57" s="48" t="inlineStr">
        <is>
          <t>AH449MC</t>
        </is>
      </c>
      <c r="K57" s="48" t="inlineStr">
        <is>
          <t>PETRODA</t>
        </is>
      </c>
      <c r="L57" s="48" t="inlineStr">
        <is>
          <t>SILVIO MARIANO</t>
        </is>
      </c>
      <c r="M57" s="47" t="n">
        <v>46076</v>
      </c>
      <c r="N57" s="47" t="n">
        <v>46086</v>
      </c>
      <c r="O57" s="49">
        <f>IF(OR(L57="",M57=""),"",M57-L57)</f>
        <v/>
      </c>
      <c r="P57" s="49">
        <f>IFERROR(VLOOKUP(B57,Deals[#All],7,FALSE),DEF_LAYTIME)</f>
        <v/>
      </c>
      <c r="Q57" s="49">
        <f>IF(O57="","",MAX(0,O57-P57))</f>
        <v/>
      </c>
      <c r="R57" s="50">
        <f>IFERROR(VLOOKUP(B57,Deals[#All],8,FALSE),DEF_RATE)</f>
        <v/>
      </c>
      <c r="S57" s="50">
        <f>IF(Q57="","",Q57*R57)</f>
        <v/>
      </c>
      <c r="T57" s="46">
        <f>IF(O57="","PENDING",IF(Q57&gt;0,"DEMURRAGE","ON-TIME"))</f>
        <v/>
      </c>
      <c r="U57" s="46">
        <f>IF(AND(E57&lt;&gt;"",M57&lt;&gt;"",M57&lt;E57),"⚠ Arr&lt;Loaded",IF(AND(M57&lt;&gt;"",N57&lt;&gt;"",N57&lt;M57),"⚠ Off&lt;Arr","OK"))</f>
        <v/>
      </c>
      <c r="V57" s="46">
        <f>IF(E57="","",TEXT(E57,"yyyy-mm"))</f>
        <v/>
      </c>
    </row>
    <row r="58">
      <c r="B58" s="46" t="n">
        <v>187296</v>
      </c>
      <c r="C58" s="46" t="inlineStr">
        <is>
          <t>CLM-2026-005</t>
        </is>
      </c>
      <c r="D58" s="48" t="inlineStr">
        <is>
          <t>Rubis Energy Zambia</t>
        </is>
      </c>
      <c r="E58" s="47" t="n">
        <v>46072</v>
      </c>
      <c r="F58" s="48" t="inlineStr">
        <is>
          <t>Beira</t>
        </is>
      </c>
      <c r="G58" s="48" t="inlineStr">
        <is>
          <t>Lusaka</t>
        </is>
      </c>
      <c r="H58" s="48" t="inlineStr">
        <is>
          <t>PMS</t>
        </is>
      </c>
      <c r="I58" s="48" t="inlineStr">
        <is>
          <t>ABC 257 SF</t>
        </is>
      </c>
      <c r="J58" s="48" t="inlineStr">
        <is>
          <t>AH 420 SF</t>
        </is>
      </c>
      <c r="K58" s="48" t="inlineStr">
        <is>
          <t>PETRODA</t>
        </is>
      </c>
      <c r="L58" s="48" t="inlineStr">
        <is>
          <t>INACIO NUNES LANGA</t>
        </is>
      </c>
      <c r="M58" s="47" t="n">
        <v>46076</v>
      </c>
      <c r="N58" s="47" t="n">
        <v>46087</v>
      </c>
      <c r="O58" s="49">
        <f>IF(OR(L58="",M58=""),"",M58-L58)</f>
        <v/>
      </c>
      <c r="P58" s="49">
        <f>IFERROR(VLOOKUP(B58,Deals[#All],7,FALSE),DEF_LAYTIME)</f>
        <v/>
      </c>
      <c r="Q58" s="49">
        <f>IF(O58="","",MAX(0,O58-P58))</f>
        <v/>
      </c>
      <c r="R58" s="50">
        <f>IFERROR(VLOOKUP(B58,Deals[#All],8,FALSE),DEF_RATE)</f>
        <v/>
      </c>
      <c r="S58" s="50">
        <f>IF(Q58="","",Q58*R58)</f>
        <v/>
      </c>
      <c r="T58" s="46">
        <f>IF(O58="","PENDING",IF(Q58&gt;0,"DEMURRAGE","ON-TIME"))</f>
        <v/>
      </c>
      <c r="U58" s="46">
        <f>IF(AND(E58&lt;&gt;"",M58&lt;&gt;"",M58&lt;E58),"⚠ Arr&lt;Loaded",IF(AND(M58&lt;&gt;"",N58&lt;&gt;"",N58&lt;M58),"⚠ Off&lt;Arr","OK"))</f>
        <v/>
      </c>
      <c r="V58" s="46">
        <f>IF(E58="","",TEXT(E58,"yyyy-mm"))</f>
        <v/>
      </c>
    </row>
    <row r="59">
      <c r="B59" s="46" t="n">
        <v>187296</v>
      </c>
      <c r="C59" s="46" t="inlineStr">
        <is>
          <t>CLM-2026-005</t>
        </is>
      </c>
      <c r="D59" s="48" t="inlineStr">
        <is>
          <t>Rubis Energy Zambia</t>
        </is>
      </c>
      <c r="E59" s="47" t="n">
        <v>46073</v>
      </c>
      <c r="F59" s="48" t="inlineStr">
        <is>
          <t>Beira</t>
        </is>
      </c>
      <c r="G59" s="48" t="inlineStr">
        <is>
          <t>Lusaka</t>
        </is>
      </c>
      <c r="H59" s="48" t="inlineStr">
        <is>
          <t>PMS</t>
        </is>
      </c>
      <c r="I59" s="48" t="inlineStr">
        <is>
          <t>AKN 777 MC</t>
        </is>
      </c>
      <c r="J59" s="48" t="inlineStr">
        <is>
          <t>AH415MC</t>
        </is>
      </c>
      <c r="K59" s="48" t="inlineStr">
        <is>
          <t>PETRODA</t>
        </is>
      </c>
      <c r="L59" s="48" t="inlineStr">
        <is>
          <t>PAULINO CHICO GUILHERME</t>
        </is>
      </c>
      <c r="M59" s="47" t="n">
        <v>46077</v>
      </c>
      <c r="N59" s="47" t="n">
        <v>46087</v>
      </c>
      <c r="O59" s="49">
        <f>IF(OR(L59="",M59=""),"",M59-L59)</f>
        <v/>
      </c>
      <c r="P59" s="49">
        <f>IFERROR(VLOOKUP(B59,Deals[#All],7,FALSE),DEF_LAYTIME)</f>
        <v/>
      </c>
      <c r="Q59" s="49">
        <f>IF(O59="","",MAX(0,O59-P59))</f>
        <v/>
      </c>
      <c r="R59" s="50">
        <f>IFERROR(VLOOKUP(B59,Deals[#All],8,FALSE),DEF_RATE)</f>
        <v/>
      </c>
      <c r="S59" s="50">
        <f>IF(Q59="","",Q59*R59)</f>
        <v/>
      </c>
      <c r="T59" s="46">
        <f>IF(O59="","PENDING",IF(Q59&gt;0,"DEMURRAGE","ON-TIME"))</f>
        <v/>
      </c>
      <c r="U59" s="46">
        <f>IF(AND(E59&lt;&gt;"",M59&lt;&gt;"",M59&lt;E59),"⚠ Arr&lt;Loaded",IF(AND(M59&lt;&gt;"",N59&lt;&gt;"",N59&lt;M59),"⚠ Off&lt;Arr","OK"))</f>
        <v/>
      </c>
      <c r="V59" s="46">
        <f>IF(E59="","",TEXT(E59,"yyyy-mm"))</f>
        <v/>
      </c>
    </row>
    <row r="60">
      <c r="B60" s="46" t="n">
        <v>187296</v>
      </c>
      <c r="C60" s="46" t="inlineStr">
        <is>
          <t>CLM-2026-005</t>
        </is>
      </c>
      <c r="D60" s="48" t="inlineStr">
        <is>
          <t>Rubis Energy Zambia</t>
        </is>
      </c>
      <c r="E60" s="47" t="n">
        <v>46073</v>
      </c>
      <c r="F60" s="48" t="inlineStr">
        <is>
          <t>Beira</t>
        </is>
      </c>
      <c r="G60" s="48" t="inlineStr">
        <is>
          <t>Lusaka</t>
        </is>
      </c>
      <c r="H60" s="48" t="inlineStr">
        <is>
          <t>PMS</t>
        </is>
      </c>
      <c r="I60" s="48" t="inlineStr">
        <is>
          <t>ABC 241 SF</t>
        </is>
      </c>
      <c r="J60" s="48" t="inlineStr">
        <is>
          <t>AH 421 SF</t>
        </is>
      </c>
      <c r="K60" s="48" t="inlineStr">
        <is>
          <t>PETRODA</t>
        </is>
      </c>
      <c r="L60" s="48" t="inlineStr">
        <is>
          <t>FELIX VIEGAS</t>
        </is>
      </c>
      <c r="M60" s="47" t="n">
        <v>46077</v>
      </c>
      <c r="N60" s="47" t="n">
        <v>46090</v>
      </c>
      <c r="O60" s="49">
        <f>IF(OR(L60="",M60=""),"",M60-L60)</f>
        <v/>
      </c>
      <c r="P60" s="49">
        <f>IFERROR(VLOOKUP(B60,Deals[#All],7,FALSE),DEF_LAYTIME)</f>
        <v/>
      </c>
      <c r="Q60" s="49">
        <f>IF(O60="","",MAX(0,O60-P60))</f>
        <v/>
      </c>
      <c r="R60" s="50">
        <f>IFERROR(VLOOKUP(B60,Deals[#All],8,FALSE),DEF_RATE)</f>
        <v/>
      </c>
      <c r="S60" s="50">
        <f>IF(Q60="","",Q60*R60)</f>
        <v/>
      </c>
      <c r="T60" s="46">
        <f>IF(O60="","PENDING",IF(Q60&gt;0,"DEMURRAGE","ON-TIME"))</f>
        <v/>
      </c>
      <c r="U60" s="46">
        <f>IF(AND(E60&lt;&gt;"",M60&lt;&gt;"",M60&lt;E60),"⚠ Arr&lt;Loaded",IF(AND(M60&lt;&gt;"",N60&lt;&gt;"",N60&lt;M60),"⚠ Off&lt;Arr","OK"))</f>
        <v/>
      </c>
      <c r="V60" s="46">
        <f>IF(E60="","",TEXT(E60,"yyyy-mm"))</f>
        <v/>
      </c>
    </row>
    <row r="61">
      <c r="B61" s="46" t="n">
        <v>187296</v>
      </c>
      <c r="C61" s="46" t="inlineStr">
        <is>
          <t>CLM-2026-005</t>
        </is>
      </c>
      <c r="D61" s="48" t="inlineStr">
        <is>
          <t>Rubis Energy Zambia</t>
        </is>
      </c>
      <c r="E61" s="47" t="n">
        <v>46073</v>
      </c>
      <c r="F61" s="48" t="inlineStr">
        <is>
          <t>Beira</t>
        </is>
      </c>
      <c r="G61" s="48" t="inlineStr">
        <is>
          <t>Lusaka</t>
        </is>
      </c>
      <c r="H61" s="48" t="inlineStr">
        <is>
          <t>PMS</t>
        </is>
      </c>
      <c r="I61" s="48" t="inlineStr">
        <is>
          <t>ABC 248 SF</t>
        </is>
      </c>
      <c r="J61" s="48" t="inlineStr">
        <is>
          <t>AH 418 SF</t>
        </is>
      </c>
      <c r="K61" s="48" t="inlineStr">
        <is>
          <t>PETRODA</t>
        </is>
      </c>
      <c r="L61" s="48" t="inlineStr">
        <is>
          <t>ARAUJO MARCELINO RAFAEL NOTICE</t>
        </is>
      </c>
      <c r="M61" s="47" t="n">
        <v>46077</v>
      </c>
      <c r="N61" s="47" t="n">
        <v>46087</v>
      </c>
      <c r="O61" s="49">
        <f>IF(OR(L61="",M61=""),"",M61-L61)</f>
        <v/>
      </c>
      <c r="P61" s="49">
        <f>IFERROR(VLOOKUP(B61,Deals[#All],7,FALSE),DEF_LAYTIME)</f>
        <v/>
      </c>
      <c r="Q61" s="49">
        <f>IF(O61="","",MAX(0,O61-P61))</f>
        <v/>
      </c>
      <c r="R61" s="50">
        <f>IFERROR(VLOOKUP(B61,Deals[#All],8,FALSE),DEF_RATE)</f>
        <v/>
      </c>
      <c r="S61" s="50">
        <f>IF(Q61="","",Q61*R61)</f>
        <v/>
      </c>
      <c r="T61" s="46">
        <f>IF(O61="","PENDING",IF(Q61&gt;0,"DEMURRAGE","ON-TIME"))</f>
        <v/>
      </c>
      <c r="U61" s="46">
        <f>IF(AND(E61&lt;&gt;"",M61&lt;&gt;"",M61&lt;E61),"⚠ Arr&lt;Loaded",IF(AND(M61&lt;&gt;"",N61&lt;&gt;"",N61&lt;M61),"⚠ Off&lt;Arr","OK"))</f>
        <v/>
      </c>
      <c r="V61" s="46">
        <f>IF(E61="","",TEXT(E61,"yyyy-mm"))</f>
        <v/>
      </c>
    </row>
    <row r="62">
      <c r="B62" s="46" t="n">
        <v>189084</v>
      </c>
      <c r="C62" s="46" t="inlineStr">
        <is>
          <t>CLM-2026-006</t>
        </is>
      </c>
      <c r="D62" s="48" t="inlineStr">
        <is>
          <t>Rubis Energy Zambia</t>
        </is>
      </c>
      <c r="E62" s="47" t="n">
        <v>46105</v>
      </c>
      <c r="F62" s="48" t="inlineStr">
        <is>
          <t>Beira</t>
        </is>
      </c>
      <c r="G62" s="48" t="inlineStr">
        <is>
          <t>Lusaka</t>
        </is>
      </c>
      <c r="H62" s="48" t="inlineStr">
        <is>
          <t>PMS</t>
        </is>
      </c>
      <c r="I62" s="48" t="inlineStr">
        <is>
          <t>ABC 251 SF</t>
        </is>
      </c>
      <c r="J62" s="48" t="inlineStr">
        <is>
          <t>AH 395 SF</t>
        </is>
      </c>
      <c r="K62" s="48" t="inlineStr">
        <is>
          <t>PETRODA</t>
        </is>
      </c>
      <c r="L62" s="48" t="inlineStr">
        <is>
          <t>GERITO AVELINO JOAQUIM</t>
        </is>
      </c>
      <c r="M62" s="47" t="n">
        <v>46110</v>
      </c>
      <c r="N62" s="47" t="n">
        <v>46112</v>
      </c>
      <c r="O62" s="49">
        <f>IF(OR(L62="",M62=""),"",M62-L62)</f>
        <v/>
      </c>
      <c r="P62" s="49">
        <f>IFERROR(VLOOKUP(B62,Deals[#All],7,FALSE),DEF_LAYTIME)</f>
        <v/>
      </c>
      <c r="Q62" s="49">
        <f>IF(O62="","",MAX(0,O62-P62))</f>
        <v/>
      </c>
      <c r="R62" s="50">
        <f>IFERROR(VLOOKUP(B62,Deals[#All],8,FALSE),DEF_RATE)</f>
        <v/>
      </c>
      <c r="S62" s="50">
        <f>IF(Q62="","",Q62*R62)</f>
        <v/>
      </c>
      <c r="T62" s="46">
        <f>IF(O62="","PENDING",IF(Q62&gt;0,"DEMURRAGE","ON-TIME"))</f>
        <v/>
      </c>
      <c r="U62" s="46">
        <f>IF(AND(E62&lt;&gt;"",M62&lt;&gt;"",M62&lt;E62),"⚠ Arr&lt;Loaded",IF(AND(M62&lt;&gt;"",N62&lt;&gt;"",N62&lt;M62),"⚠ Off&lt;Arr","OK"))</f>
        <v/>
      </c>
      <c r="V62" s="46">
        <f>IF(E62="","",TEXT(E62,"yyyy-mm"))</f>
        <v/>
      </c>
    </row>
    <row r="63">
      <c r="B63" s="46" t="n">
        <v>189084</v>
      </c>
      <c r="C63" s="46" t="inlineStr">
        <is>
          <t>CLM-2026-006</t>
        </is>
      </c>
      <c r="D63" s="48" t="inlineStr">
        <is>
          <t>Rubis Energy Zambia</t>
        </is>
      </c>
      <c r="E63" s="47" t="n">
        <v>46105</v>
      </c>
      <c r="F63" s="48" t="inlineStr">
        <is>
          <t>Beira</t>
        </is>
      </c>
      <c r="G63" s="48" t="inlineStr">
        <is>
          <t>Lusaka</t>
        </is>
      </c>
      <c r="H63" s="48" t="inlineStr">
        <is>
          <t>PMS</t>
        </is>
      </c>
      <c r="I63" s="48" t="inlineStr">
        <is>
          <t>ABC 255 SF</t>
        </is>
      </c>
      <c r="J63" s="48" t="inlineStr">
        <is>
          <t>AH 397 SF</t>
        </is>
      </c>
      <c r="K63" s="48" t="inlineStr">
        <is>
          <t>PETRODA</t>
        </is>
      </c>
      <c r="L63" s="48" t="inlineStr">
        <is>
          <t>EDIMO M.S AINOSSE BOBO</t>
        </is>
      </c>
      <c r="M63" s="47" t="n">
        <v>46110</v>
      </c>
      <c r="N63" s="47" t="n">
        <v>46113</v>
      </c>
      <c r="O63" s="49">
        <f>IF(OR(L63="",M63=""),"",M63-L63)</f>
        <v/>
      </c>
      <c r="P63" s="49">
        <f>IFERROR(VLOOKUP(B63,Deals[#All],7,FALSE),DEF_LAYTIME)</f>
        <v/>
      </c>
      <c r="Q63" s="49">
        <f>IF(O63="","",MAX(0,O63-P63))</f>
        <v/>
      </c>
      <c r="R63" s="50">
        <f>IFERROR(VLOOKUP(B63,Deals[#All],8,FALSE),DEF_RATE)</f>
        <v/>
      </c>
      <c r="S63" s="50">
        <f>IF(Q63="","",Q63*R63)</f>
        <v/>
      </c>
      <c r="T63" s="46">
        <f>IF(O63="","PENDING",IF(Q63&gt;0,"DEMURRAGE","ON-TIME"))</f>
        <v/>
      </c>
      <c r="U63" s="46">
        <f>IF(AND(E63&lt;&gt;"",M63&lt;&gt;"",M63&lt;E63),"⚠ Arr&lt;Loaded",IF(AND(M63&lt;&gt;"",N63&lt;&gt;"",N63&lt;M63),"⚠ Off&lt;Arr","OK"))</f>
        <v/>
      </c>
      <c r="V63" s="46">
        <f>IF(E63="","",TEXT(E63,"yyyy-mm"))</f>
        <v/>
      </c>
    </row>
    <row r="64">
      <c r="B64" s="46" t="n">
        <v>189084</v>
      </c>
      <c r="C64" s="46" t="inlineStr">
        <is>
          <t>CLM-2026-006</t>
        </is>
      </c>
      <c r="D64" s="48" t="inlineStr">
        <is>
          <t>Rubis Energy Zambia</t>
        </is>
      </c>
      <c r="E64" s="47" t="n">
        <v>46105</v>
      </c>
      <c r="F64" s="48" t="inlineStr">
        <is>
          <t>Beira</t>
        </is>
      </c>
      <c r="G64" s="48" t="inlineStr">
        <is>
          <t>Lusaka</t>
        </is>
      </c>
      <c r="H64" s="48" t="inlineStr">
        <is>
          <t>PMS</t>
        </is>
      </c>
      <c r="I64" s="48" t="inlineStr">
        <is>
          <t>ABC 282 SF</t>
        </is>
      </c>
      <c r="J64" s="48" t="inlineStr">
        <is>
          <t>AH 382 SF</t>
        </is>
      </c>
      <c r="K64" s="48" t="inlineStr">
        <is>
          <t>PETRODA</t>
        </is>
      </c>
      <c r="L64" s="48" t="inlineStr">
        <is>
          <t>BAPTISTA SAENE RUPIA</t>
        </is>
      </c>
      <c r="M64" s="47" t="n">
        <v>46110</v>
      </c>
      <c r="N64" s="47" t="n">
        <v>46113</v>
      </c>
      <c r="O64" s="49">
        <f>IF(OR(L64="",M64=""),"",M64-L64)</f>
        <v/>
      </c>
      <c r="P64" s="49">
        <f>IFERROR(VLOOKUP(B64,Deals[#All],7,FALSE),DEF_LAYTIME)</f>
        <v/>
      </c>
      <c r="Q64" s="49">
        <f>IF(O64="","",MAX(0,O64-P64))</f>
        <v/>
      </c>
      <c r="R64" s="50">
        <f>IFERROR(VLOOKUP(B64,Deals[#All],8,FALSE),DEF_RATE)</f>
        <v/>
      </c>
      <c r="S64" s="50">
        <f>IF(Q64="","",Q64*R64)</f>
        <v/>
      </c>
      <c r="T64" s="46">
        <f>IF(O64="","PENDING",IF(Q64&gt;0,"DEMURRAGE","ON-TIME"))</f>
        <v/>
      </c>
      <c r="U64" s="46">
        <f>IF(AND(E64&lt;&gt;"",M64&lt;&gt;"",M64&lt;E64),"⚠ Arr&lt;Loaded",IF(AND(M64&lt;&gt;"",N64&lt;&gt;"",N64&lt;M64),"⚠ Off&lt;Arr","OK"))</f>
        <v/>
      </c>
      <c r="V64" s="46">
        <f>IF(E64="","",TEXT(E64,"yyyy-mm"))</f>
        <v/>
      </c>
    </row>
    <row r="65">
      <c r="B65" s="46" t="n">
        <v>189084</v>
      </c>
      <c r="C65" s="46" t="inlineStr">
        <is>
          <t>CLM-2026-006</t>
        </is>
      </c>
      <c r="D65" s="48" t="inlineStr">
        <is>
          <t>Rubis Energy Zambia</t>
        </is>
      </c>
      <c r="E65" s="47" t="n">
        <v>46105</v>
      </c>
      <c r="F65" s="48" t="inlineStr">
        <is>
          <t>Beira</t>
        </is>
      </c>
      <c r="G65" s="48" t="inlineStr">
        <is>
          <t>Lusaka</t>
        </is>
      </c>
      <c r="H65" s="48" t="inlineStr">
        <is>
          <t>PMS</t>
        </is>
      </c>
      <c r="I65" s="48" t="inlineStr">
        <is>
          <t>ABC 276 SF</t>
        </is>
      </c>
      <c r="J65" s="48" t="inlineStr">
        <is>
          <t>AH 416 SF</t>
        </is>
      </c>
      <c r="K65" s="48" t="inlineStr">
        <is>
          <t>PETRODA</t>
        </is>
      </c>
      <c r="L65" s="48" t="inlineStr">
        <is>
          <t>ISSUFO ASSANE AMADE</t>
        </is>
      </c>
      <c r="M65" s="47" t="n">
        <v>46111</v>
      </c>
      <c r="N65" s="47" t="n">
        <v>46112</v>
      </c>
      <c r="O65" s="49">
        <f>IF(OR(L65="",M65=""),"",M65-L65)</f>
        <v/>
      </c>
      <c r="P65" s="49">
        <f>IFERROR(VLOOKUP(B65,Deals[#All],7,FALSE),DEF_LAYTIME)</f>
        <v/>
      </c>
      <c r="Q65" s="49">
        <f>IF(O65="","",MAX(0,O65-P65))</f>
        <v/>
      </c>
      <c r="R65" s="50">
        <f>IFERROR(VLOOKUP(B65,Deals[#All],8,FALSE),DEF_RATE)</f>
        <v/>
      </c>
      <c r="S65" s="50">
        <f>IF(Q65="","",Q65*R65)</f>
        <v/>
      </c>
      <c r="T65" s="46">
        <f>IF(O65="","PENDING",IF(Q65&gt;0,"DEMURRAGE","ON-TIME"))</f>
        <v/>
      </c>
      <c r="U65" s="46">
        <f>IF(AND(E65&lt;&gt;"",M65&lt;&gt;"",M65&lt;E65),"⚠ Arr&lt;Loaded",IF(AND(M65&lt;&gt;"",N65&lt;&gt;"",N65&lt;M65),"⚠ Off&lt;Arr","OK"))</f>
        <v/>
      </c>
      <c r="V65" s="46">
        <f>IF(E65="","",TEXT(E65,"yyyy-mm"))</f>
        <v/>
      </c>
    </row>
    <row r="66">
      <c r="B66" s="46" t="n">
        <v>189084</v>
      </c>
      <c r="C66" s="46" t="inlineStr">
        <is>
          <t>CLM-2026-006</t>
        </is>
      </c>
      <c r="D66" s="48" t="inlineStr">
        <is>
          <t>Rubis Energy Zambia</t>
        </is>
      </c>
      <c r="E66" s="47" t="n">
        <v>46107</v>
      </c>
      <c r="F66" s="48" t="inlineStr">
        <is>
          <t>Beira</t>
        </is>
      </c>
      <c r="G66" s="48" t="inlineStr">
        <is>
          <t>Lusaka</t>
        </is>
      </c>
      <c r="H66" s="48" t="inlineStr">
        <is>
          <t>PMS</t>
        </is>
      </c>
      <c r="I66" s="48" t="inlineStr">
        <is>
          <t>ABC 285 SF</t>
        </is>
      </c>
      <c r="J66" s="48" t="inlineStr">
        <is>
          <t>AH 461 MC</t>
        </is>
      </c>
      <c r="K66" s="48" t="inlineStr">
        <is>
          <t>PETRODA</t>
        </is>
      </c>
      <c r="L66" s="48" t="inlineStr">
        <is>
          <t>XADREQUE JORGE MAIBEQUE</t>
        </is>
      </c>
      <c r="M66" s="47" t="n">
        <v>46111</v>
      </c>
      <c r="N66" s="47" t="n">
        <v>46113</v>
      </c>
      <c r="O66" s="49">
        <f>IF(OR(L66="",M66=""),"",M66-L66)</f>
        <v/>
      </c>
      <c r="P66" s="49">
        <f>IFERROR(VLOOKUP(B66,Deals[#All],7,FALSE),DEF_LAYTIME)</f>
        <v/>
      </c>
      <c r="Q66" s="49">
        <f>IF(O66="","",MAX(0,O66-P66))</f>
        <v/>
      </c>
      <c r="R66" s="50">
        <f>IFERROR(VLOOKUP(B66,Deals[#All],8,FALSE),DEF_RATE)</f>
        <v/>
      </c>
      <c r="S66" s="50">
        <f>IF(Q66="","",Q66*R66)</f>
        <v/>
      </c>
      <c r="T66" s="46">
        <f>IF(O66="","PENDING",IF(Q66&gt;0,"DEMURRAGE","ON-TIME"))</f>
        <v/>
      </c>
      <c r="U66" s="46">
        <f>IF(AND(E66&lt;&gt;"",M66&lt;&gt;"",M66&lt;E66),"⚠ Arr&lt;Loaded",IF(AND(M66&lt;&gt;"",N66&lt;&gt;"",N66&lt;M66),"⚠ Off&lt;Arr","OK"))</f>
        <v/>
      </c>
      <c r="V66" s="46">
        <f>IF(E66="","",TEXT(E66,"yyyy-mm"))</f>
        <v/>
      </c>
    </row>
    <row r="67">
      <c r="B67" s="46" t="n">
        <v>189084</v>
      </c>
      <c r="C67" s="46" t="inlineStr">
        <is>
          <t>CLM-2026-006</t>
        </is>
      </c>
      <c r="D67" s="48" t="inlineStr">
        <is>
          <t>Rubis Energy Zambia</t>
        </is>
      </c>
      <c r="E67" s="47" t="n">
        <v>46106</v>
      </c>
      <c r="F67" s="48" t="inlineStr">
        <is>
          <t>Beira</t>
        </is>
      </c>
      <c r="G67" s="48" t="inlineStr">
        <is>
          <t>Lusaka</t>
        </is>
      </c>
      <c r="H67" s="48" t="inlineStr">
        <is>
          <t>PMS</t>
        </is>
      </c>
      <c r="I67" s="48" t="inlineStr">
        <is>
          <t>ABC 286 SF</t>
        </is>
      </c>
      <c r="J67" s="48" t="inlineStr">
        <is>
          <t>AH 406 SF</t>
        </is>
      </c>
      <c r="K67" s="48" t="inlineStr">
        <is>
          <t>PETRODA</t>
        </is>
      </c>
      <c r="L67" s="48" t="inlineStr">
        <is>
          <t>FERRAO AGOSTINHO SALICUCHEPA</t>
        </is>
      </c>
      <c r="M67" s="47" t="n">
        <v>46112</v>
      </c>
      <c r="N67" s="47" t="n">
        <v>46113</v>
      </c>
      <c r="O67" s="49">
        <f>IF(OR(L67="",M67=""),"",M67-L67)</f>
        <v/>
      </c>
      <c r="P67" s="49">
        <f>IFERROR(VLOOKUP(B67,Deals[#All],7,FALSE),DEF_LAYTIME)</f>
        <v/>
      </c>
      <c r="Q67" s="49">
        <f>IF(O67="","",MAX(0,O67-P67))</f>
        <v/>
      </c>
      <c r="R67" s="50">
        <f>IFERROR(VLOOKUP(B67,Deals[#All],8,FALSE),DEF_RATE)</f>
        <v/>
      </c>
      <c r="S67" s="50">
        <f>IF(Q67="","",Q67*R67)</f>
        <v/>
      </c>
      <c r="T67" s="46">
        <f>IF(O67="","PENDING",IF(Q67&gt;0,"DEMURRAGE","ON-TIME"))</f>
        <v/>
      </c>
      <c r="U67" s="46">
        <f>IF(AND(E67&lt;&gt;"",M67&lt;&gt;"",M67&lt;E67),"⚠ Arr&lt;Loaded",IF(AND(M67&lt;&gt;"",N67&lt;&gt;"",N67&lt;M67),"⚠ Off&lt;Arr","OK"))</f>
        <v/>
      </c>
      <c r="V67" s="46">
        <f>IF(E67="","",TEXT(E67,"yyyy-mm"))</f>
        <v/>
      </c>
    </row>
    <row r="68">
      <c r="B68" s="46" t="n">
        <v>189084</v>
      </c>
      <c r="C68" s="46" t="inlineStr">
        <is>
          <t>CLM-2026-006</t>
        </is>
      </c>
      <c r="D68" s="48" t="inlineStr">
        <is>
          <t>Rubis Energy Zambia</t>
        </is>
      </c>
      <c r="E68" s="47" t="n">
        <v>46108</v>
      </c>
      <c r="F68" s="48" t="inlineStr">
        <is>
          <t>Beira</t>
        </is>
      </c>
      <c r="G68" s="48" t="inlineStr">
        <is>
          <t>Lusaka</t>
        </is>
      </c>
      <c r="H68" s="48" t="inlineStr">
        <is>
          <t>PMS</t>
        </is>
      </c>
      <c r="I68" s="48" t="inlineStr">
        <is>
          <t>ABC 237 SF</t>
        </is>
      </c>
      <c r="J68" s="48" t="inlineStr">
        <is>
          <t>AH 393 SF</t>
        </is>
      </c>
      <c r="K68" s="48" t="inlineStr">
        <is>
          <t>PETRODA</t>
        </is>
      </c>
      <c r="L68" s="48" t="inlineStr">
        <is>
          <t>Issufo Paulino</t>
        </is>
      </c>
      <c r="M68" s="47" t="n">
        <v>46114</v>
      </c>
      <c r="N68" s="47" t="n">
        <v>46114</v>
      </c>
      <c r="O68" s="49">
        <f>IF(OR(L68="",M68=""),"",M68-L68)</f>
        <v/>
      </c>
      <c r="P68" s="49">
        <f>IFERROR(VLOOKUP(B68,Deals[#All],7,FALSE),DEF_LAYTIME)</f>
        <v/>
      </c>
      <c r="Q68" s="49">
        <f>IF(O68="","",MAX(0,O68-P68))</f>
        <v/>
      </c>
      <c r="R68" s="50">
        <f>IFERROR(VLOOKUP(B68,Deals[#All],8,FALSE),DEF_RATE)</f>
        <v/>
      </c>
      <c r="S68" s="50">
        <f>IF(Q68="","",Q68*R68)</f>
        <v/>
      </c>
      <c r="T68" s="46">
        <f>IF(O68="","PENDING",IF(Q68&gt;0,"DEMURRAGE","ON-TIME"))</f>
        <v/>
      </c>
      <c r="U68" s="46">
        <f>IF(AND(E68&lt;&gt;"",M68&lt;&gt;"",M68&lt;E68),"⚠ Arr&lt;Loaded",IF(AND(M68&lt;&gt;"",N68&lt;&gt;"",N68&lt;M68),"⚠ Off&lt;Arr","OK"))</f>
        <v/>
      </c>
      <c r="V68" s="46">
        <f>IF(E68="","",TEXT(E68,"yyyy-mm"))</f>
        <v/>
      </c>
    </row>
    <row r="69">
      <c r="B69" s="46" t="n">
        <v>189084</v>
      </c>
      <c r="C69" s="46" t="inlineStr">
        <is>
          <t>CLM-2026-006</t>
        </is>
      </c>
      <c r="D69" s="48" t="inlineStr">
        <is>
          <t>Rubis Energy Zambia</t>
        </is>
      </c>
      <c r="E69" s="47" t="n">
        <v>46109</v>
      </c>
      <c r="F69" s="48" t="inlineStr">
        <is>
          <t>Beira</t>
        </is>
      </c>
      <c r="G69" s="48" t="inlineStr">
        <is>
          <t>Lusaka</t>
        </is>
      </c>
      <c r="H69" s="48" t="inlineStr">
        <is>
          <t>PMS</t>
        </is>
      </c>
      <c r="I69" s="48" t="inlineStr">
        <is>
          <t>AKN 811 MC</t>
        </is>
      </c>
      <c r="J69" s="48" t="inlineStr">
        <is>
          <t>AH 419 MC</t>
        </is>
      </c>
      <c r="K69" s="48" t="inlineStr">
        <is>
          <t>PETRODA</t>
        </is>
      </c>
      <c r="L69" s="48" t="inlineStr">
        <is>
          <t>SAMUEL LOTI MATABWA</t>
        </is>
      </c>
      <c r="M69" s="47" t="n">
        <v>46114</v>
      </c>
      <c r="N69" s="47" t="n">
        <v>46114</v>
      </c>
      <c r="O69" s="49">
        <f>IF(OR(L69="",M69=""),"",M69-L69)</f>
        <v/>
      </c>
      <c r="P69" s="49">
        <f>IFERROR(VLOOKUP(B69,Deals[#All],7,FALSE),DEF_LAYTIME)</f>
        <v/>
      </c>
      <c r="Q69" s="49">
        <f>IF(O69="","",MAX(0,O69-P69))</f>
        <v/>
      </c>
      <c r="R69" s="50">
        <f>IFERROR(VLOOKUP(B69,Deals[#All],8,FALSE),DEF_RATE)</f>
        <v/>
      </c>
      <c r="S69" s="50">
        <f>IF(Q69="","",Q69*R69)</f>
        <v/>
      </c>
      <c r="T69" s="46">
        <f>IF(O69="","PENDING",IF(Q69&gt;0,"DEMURRAGE","ON-TIME"))</f>
        <v/>
      </c>
      <c r="U69" s="46">
        <f>IF(AND(E69&lt;&gt;"",M69&lt;&gt;"",M69&lt;E69),"⚠ Arr&lt;Loaded",IF(AND(M69&lt;&gt;"",N69&lt;&gt;"",N69&lt;M69),"⚠ Off&lt;Arr","OK"))</f>
        <v/>
      </c>
      <c r="V69" s="46">
        <f>IF(E69="","",TEXT(E69,"yyyy-mm"))</f>
        <v/>
      </c>
    </row>
    <row r="70">
      <c r="B70" s="46" t="n">
        <v>189084</v>
      </c>
      <c r="C70" s="46" t="inlineStr">
        <is>
          <t>CLM-2026-006</t>
        </is>
      </c>
      <c r="D70" s="48" t="inlineStr">
        <is>
          <t>Rubis Energy Zambia</t>
        </is>
      </c>
      <c r="E70" s="47" t="n">
        <v>46109</v>
      </c>
      <c r="F70" s="48" t="inlineStr">
        <is>
          <t>Beira</t>
        </is>
      </c>
      <c r="G70" s="48" t="inlineStr">
        <is>
          <t>Lusaka</t>
        </is>
      </c>
      <c r="H70" s="48" t="inlineStr">
        <is>
          <t>PMS</t>
        </is>
      </c>
      <c r="I70" s="48" t="inlineStr">
        <is>
          <t>ABC 283 SF</t>
        </is>
      </c>
      <c r="J70" s="48" t="inlineStr">
        <is>
          <t>AH 383 SF</t>
        </is>
      </c>
      <c r="K70" s="48" t="inlineStr">
        <is>
          <t>PETRODA</t>
        </is>
      </c>
      <c r="L70" s="48" t="inlineStr">
        <is>
          <t>WILLIAMO MALISHE</t>
        </is>
      </c>
      <c r="M70" s="47" t="n">
        <v>46114</v>
      </c>
      <c r="N70" s="47" t="n">
        <v>46114</v>
      </c>
      <c r="O70" s="49">
        <f>IF(OR(L70="",M70=""),"",M70-L70)</f>
        <v/>
      </c>
      <c r="P70" s="49">
        <f>IFERROR(VLOOKUP(B70,Deals[#All],7,FALSE),DEF_LAYTIME)</f>
        <v/>
      </c>
      <c r="Q70" s="49">
        <f>IF(O70="","",MAX(0,O70-P70))</f>
        <v/>
      </c>
      <c r="R70" s="50">
        <f>IFERROR(VLOOKUP(B70,Deals[#All],8,FALSE),DEF_RATE)</f>
        <v/>
      </c>
      <c r="S70" s="50">
        <f>IF(Q70="","",Q70*R70)</f>
        <v/>
      </c>
      <c r="T70" s="46">
        <f>IF(O70="","PENDING",IF(Q70&gt;0,"DEMURRAGE","ON-TIME"))</f>
        <v/>
      </c>
      <c r="U70" s="46">
        <f>IF(AND(E70&lt;&gt;"",M70&lt;&gt;"",M70&lt;E70),"⚠ Arr&lt;Loaded",IF(AND(M70&lt;&gt;"",N70&lt;&gt;"",N70&lt;M70),"⚠ Off&lt;Arr","OK"))</f>
        <v/>
      </c>
      <c r="V70" s="46">
        <f>IF(E70="","",TEXT(E70,"yyyy-mm"))</f>
        <v/>
      </c>
    </row>
    <row r="71">
      <c r="B71" s="46" t="n">
        <v>189084</v>
      </c>
      <c r="C71" s="46" t="inlineStr">
        <is>
          <t>CLM-2026-006</t>
        </is>
      </c>
      <c r="D71" s="48" t="inlineStr">
        <is>
          <t>Rubis Energy Zambia</t>
        </is>
      </c>
      <c r="E71" s="47" t="n">
        <v>46110</v>
      </c>
      <c r="F71" s="48" t="inlineStr">
        <is>
          <t>Beira</t>
        </is>
      </c>
      <c r="G71" s="48" t="inlineStr">
        <is>
          <t>Lusaka</t>
        </is>
      </c>
      <c r="H71" s="48" t="inlineStr">
        <is>
          <t>PMS</t>
        </is>
      </c>
      <c r="I71" s="48" t="inlineStr">
        <is>
          <t>AAO 766 SF</t>
        </is>
      </c>
      <c r="J71" s="48" t="inlineStr">
        <is>
          <t>AH 440 MC</t>
        </is>
      </c>
      <c r="K71" s="48" t="inlineStr">
        <is>
          <t>PETRODA</t>
        </is>
      </c>
      <c r="L71" s="48" t="inlineStr">
        <is>
          <t>DOMINGOS FRANCISCO ARGOLA</t>
        </is>
      </c>
      <c r="M71" s="47" t="n">
        <v>46114</v>
      </c>
      <c r="N71" s="47" t="n">
        <v>46114</v>
      </c>
      <c r="O71" s="49">
        <f>IF(OR(L71="",M71=""),"",M71-L71)</f>
        <v/>
      </c>
      <c r="P71" s="49">
        <f>IFERROR(VLOOKUP(B71,Deals[#All],7,FALSE),DEF_LAYTIME)</f>
        <v/>
      </c>
      <c r="Q71" s="49">
        <f>IF(O71="","",MAX(0,O71-P71))</f>
        <v/>
      </c>
      <c r="R71" s="50">
        <f>IFERROR(VLOOKUP(B71,Deals[#All],8,FALSE),DEF_RATE)</f>
        <v/>
      </c>
      <c r="S71" s="50">
        <f>IF(Q71="","",Q71*R71)</f>
        <v/>
      </c>
      <c r="T71" s="46">
        <f>IF(O71="","PENDING",IF(Q71&gt;0,"DEMURRAGE","ON-TIME"))</f>
        <v/>
      </c>
      <c r="U71" s="46">
        <f>IF(AND(E71&lt;&gt;"",M71&lt;&gt;"",M71&lt;E71),"⚠ Arr&lt;Loaded",IF(AND(M71&lt;&gt;"",N71&lt;&gt;"",N71&lt;M71),"⚠ Off&lt;Arr","OK"))</f>
        <v/>
      </c>
      <c r="V71" s="46">
        <f>IF(E71="","",TEXT(E71,"yyyy-mm"))</f>
        <v/>
      </c>
    </row>
    <row r="72">
      <c r="B72" s="46" t="n">
        <v>189084</v>
      </c>
      <c r="C72" s="46" t="inlineStr">
        <is>
          <t>CLM-2026-006</t>
        </is>
      </c>
      <c r="D72" s="48" t="inlineStr">
        <is>
          <t>Rubis Energy Zambia</t>
        </is>
      </c>
      <c r="E72" s="47" t="n">
        <v>46110</v>
      </c>
      <c r="F72" s="48" t="inlineStr">
        <is>
          <t>Beira</t>
        </is>
      </c>
      <c r="G72" s="48" t="inlineStr">
        <is>
          <t>Lusaka</t>
        </is>
      </c>
      <c r="H72" s="48" t="inlineStr">
        <is>
          <t>PMS</t>
        </is>
      </c>
      <c r="I72" s="48" t="inlineStr">
        <is>
          <t>AKN 003 MC</t>
        </is>
      </c>
      <c r="J72" s="48" t="inlineStr">
        <is>
          <t>AH 426 MC</t>
        </is>
      </c>
      <c r="K72" s="48" t="inlineStr">
        <is>
          <t>PETRODA</t>
        </is>
      </c>
      <c r="L72" s="48" t="inlineStr">
        <is>
          <t>GUERRA JULIAO</t>
        </is>
      </c>
      <c r="M72" s="47" t="n">
        <v>46114</v>
      </c>
      <c r="N72" s="47" t="n">
        <v>46114</v>
      </c>
      <c r="O72" s="49">
        <f>IF(OR(L72="",M72=""),"",M72-L72)</f>
        <v/>
      </c>
      <c r="P72" s="49">
        <f>IFERROR(VLOOKUP(B72,Deals[#All],7,FALSE),DEF_LAYTIME)</f>
        <v/>
      </c>
      <c r="Q72" s="49">
        <f>IF(O72="","",MAX(0,O72-P72))</f>
        <v/>
      </c>
      <c r="R72" s="50">
        <f>IFERROR(VLOOKUP(B72,Deals[#All],8,FALSE),DEF_RATE)</f>
        <v/>
      </c>
      <c r="S72" s="50">
        <f>IF(Q72="","",Q72*R72)</f>
        <v/>
      </c>
      <c r="T72" s="46">
        <f>IF(O72="","PENDING",IF(Q72&gt;0,"DEMURRAGE","ON-TIME"))</f>
        <v/>
      </c>
      <c r="U72" s="46">
        <f>IF(AND(E72&lt;&gt;"",M72&lt;&gt;"",M72&lt;E72),"⚠ Arr&lt;Loaded",IF(AND(M72&lt;&gt;"",N72&lt;&gt;"",N72&lt;M72),"⚠ Off&lt;Arr","OK"))</f>
        <v/>
      </c>
      <c r="V72" s="46">
        <f>IF(E72="","",TEXT(E72,"yyyy-mm"))</f>
        <v/>
      </c>
    </row>
    <row r="73">
      <c r="B73" s="46" t="n">
        <v>189084</v>
      </c>
      <c r="C73" s="46" t="inlineStr">
        <is>
          <t>CLM-2026-006</t>
        </is>
      </c>
      <c r="D73" s="48" t="inlineStr">
        <is>
          <t>Rubis Energy Zambia</t>
        </is>
      </c>
      <c r="E73" s="47" t="n">
        <v>46108</v>
      </c>
      <c r="F73" s="48" t="inlineStr">
        <is>
          <t>Beira</t>
        </is>
      </c>
      <c r="G73" s="48" t="inlineStr">
        <is>
          <t>Lusaka</t>
        </is>
      </c>
      <c r="H73" s="48" t="inlineStr">
        <is>
          <t>PMS</t>
        </is>
      </c>
      <c r="I73" s="48" t="inlineStr">
        <is>
          <t>AKO 144 MC</t>
        </is>
      </c>
      <c r="J73" s="48" t="inlineStr">
        <is>
          <t>AH 414 MC</t>
        </is>
      </c>
      <c r="K73" s="48" t="inlineStr">
        <is>
          <t>PETRODA</t>
        </is>
      </c>
      <c r="L73" s="48" t="inlineStr">
        <is>
          <t>CAPESSE LUIS CAPESSE</t>
        </is>
      </c>
      <c r="M73" s="47" t="n">
        <v>46115</v>
      </c>
      <c r="N73" s="47" t="n">
        <v>46116</v>
      </c>
      <c r="O73" s="49">
        <f>IF(OR(L73="",M73=""),"",M73-L73)</f>
        <v/>
      </c>
      <c r="P73" s="49">
        <f>IFERROR(VLOOKUP(B73,Deals[#All],7,FALSE),DEF_LAYTIME)</f>
        <v/>
      </c>
      <c r="Q73" s="49">
        <f>IF(O73="","",MAX(0,O73-P73))</f>
        <v/>
      </c>
      <c r="R73" s="50">
        <f>IFERROR(VLOOKUP(B73,Deals[#All],8,FALSE),DEF_RATE)</f>
        <v/>
      </c>
      <c r="S73" s="50">
        <f>IF(Q73="","",Q73*R73)</f>
        <v/>
      </c>
      <c r="T73" s="46">
        <f>IF(O73="","PENDING",IF(Q73&gt;0,"DEMURRAGE","ON-TIME"))</f>
        <v/>
      </c>
      <c r="U73" s="46">
        <f>IF(AND(E73&lt;&gt;"",M73&lt;&gt;"",M73&lt;E73),"⚠ Arr&lt;Loaded",IF(AND(M73&lt;&gt;"",N73&lt;&gt;"",N73&lt;M73),"⚠ Off&lt;Arr","OK"))</f>
        <v/>
      </c>
      <c r="V73" s="46">
        <f>IF(E73="","",TEXT(E73,"yyyy-mm"))</f>
        <v/>
      </c>
    </row>
    <row r="74">
      <c r="B74" s="46" t="n">
        <v>190261</v>
      </c>
      <c r="C74" s="46" t="inlineStr">
        <is>
          <t>CLM-2026-007</t>
        </is>
      </c>
      <c r="D74" s="48" t="inlineStr">
        <is>
          <t>Lake Petroleum Zambia</t>
        </is>
      </c>
      <c r="E74" s="47" t="n">
        <v>46149</v>
      </c>
      <c r="F74" s="48" t="inlineStr">
        <is>
          <t>Beira</t>
        </is>
      </c>
      <c r="G74" s="48" t="inlineStr">
        <is>
          <t>Lusaka</t>
        </is>
      </c>
      <c r="H74" s="48" t="inlineStr">
        <is>
          <t>PMS</t>
        </is>
      </c>
      <c r="I74" s="48" t="inlineStr">
        <is>
          <t>CAJ-4204 ZM</t>
        </is>
      </c>
      <c r="J74" s="48" t="inlineStr">
        <is>
          <t>CAJ-4195 ZM</t>
        </is>
      </c>
      <c r="K74" s="48" t="inlineStr">
        <is>
          <t>OASIS</t>
        </is>
      </c>
      <c r="L74" s="48" t="inlineStr">
        <is>
          <t>CHARLES PHIRI</t>
        </is>
      </c>
      <c r="M74" s="47" t="n">
        <v>46152</v>
      </c>
      <c r="N74" s="47" t="n"/>
      <c r="O74" s="49">
        <f>IF(OR(L74="",M74=""),"",M74-L74)</f>
        <v/>
      </c>
      <c r="P74" s="49">
        <f>IFERROR(VLOOKUP(B74,Deals[#All],7,FALSE),DEF_LAYTIME)</f>
        <v/>
      </c>
      <c r="Q74" s="49">
        <f>IF(O74="","",MAX(0,O74-P74))</f>
        <v/>
      </c>
      <c r="R74" s="50">
        <f>IFERROR(VLOOKUP(B74,Deals[#All],8,FALSE),DEF_RATE)</f>
        <v/>
      </c>
      <c r="S74" s="50">
        <f>IF(Q74="","",Q74*R74)</f>
        <v/>
      </c>
      <c r="T74" s="46">
        <f>IF(O74="","PENDING",IF(Q74&gt;0,"DEMURRAGE","ON-TIME"))</f>
        <v/>
      </c>
      <c r="U74" s="46">
        <f>IF(AND(E74&lt;&gt;"",M74&lt;&gt;"",M74&lt;E74),"⚠ Arr&lt;Loaded",IF(AND(M74&lt;&gt;"",N74&lt;&gt;"",N74&lt;M74),"⚠ Off&lt;Arr","OK"))</f>
        <v/>
      </c>
      <c r="V74" s="46">
        <f>IF(E74="","",TEXT(E74,"yyyy-mm"))</f>
        <v/>
      </c>
    </row>
    <row r="75">
      <c r="B75" s="46" t="n">
        <v>190261</v>
      </c>
      <c r="C75" s="46" t="inlineStr">
        <is>
          <t>CLM-2026-007</t>
        </is>
      </c>
      <c r="D75" s="48" t="inlineStr">
        <is>
          <t>Lake Petroleum Zambia</t>
        </is>
      </c>
      <c r="E75" s="47" t="n">
        <v>46147</v>
      </c>
      <c r="F75" s="48" t="inlineStr">
        <is>
          <t>Beira</t>
        </is>
      </c>
      <c r="G75" s="48" t="inlineStr">
        <is>
          <t>Lusaka</t>
        </is>
      </c>
      <c r="H75" s="48" t="inlineStr">
        <is>
          <t>PMS</t>
        </is>
      </c>
      <c r="I75" s="48" t="inlineStr">
        <is>
          <t>CAJ-4325 ZM</t>
        </is>
      </c>
      <c r="J75" s="48" t="inlineStr">
        <is>
          <t>CAJ-4321 ZM</t>
        </is>
      </c>
      <c r="K75" s="48" t="inlineStr">
        <is>
          <t>OASIS</t>
        </is>
      </c>
      <c r="L75" s="48" t="inlineStr">
        <is>
          <t>RAJ HILLARY DESAI</t>
        </is>
      </c>
      <c r="M75" s="47" t="n">
        <v>46152</v>
      </c>
      <c r="N75" s="47" t="n"/>
      <c r="O75" s="49">
        <f>IF(OR(L75="",M75=""),"",M75-L75)</f>
        <v/>
      </c>
      <c r="P75" s="49">
        <f>IFERROR(VLOOKUP(B75,Deals[#All],7,FALSE),DEF_LAYTIME)</f>
        <v/>
      </c>
      <c r="Q75" s="49">
        <f>IF(O75="","",MAX(0,O75-P75))</f>
        <v/>
      </c>
      <c r="R75" s="50">
        <f>IFERROR(VLOOKUP(B75,Deals[#All],8,FALSE),DEF_RATE)</f>
        <v/>
      </c>
      <c r="S75" s="50">
        <f>IF(Q75="","",Q75*R75)</f>
        <v/>
      </c>
      <c r="T75" s="46">
        <f>IF(O75="","PENDING",IF(Q75&gt;0,"DEMURRAGE","ON-TIME"))</f>
        <v/>
      </c>
      <c r="U75" s="46">
        <f>IF(AND(E75&lt;&gt;"",M75&lt;&gt;"",M75&lt;E75),"⚠ Arr&lt;Loaded",IF(AND(M75&lt;&gt;"",N75&lt;&gt;"",N75&lt;M75),"⚠ Off&lt;Arr","OK"))</f>
        <v/>
      </c>
      <c r="V75" s="46">
        <f>IF(E75="","",TEXT(E75,"yyyy-mm"))</f>
        <v/>
      </c>
    </row>
    <row r="76">
      <c r="B76" s="46" t="n">
        <v>190261</v>
      </c>
      <c r="C76" s="46" t="inlineStr">
        <is>
          <t>CLM-2026-007</t>
        </is>
      </c>
      <c r="D76" s="48" t="inlineStr">
        <is>
          <t>Lake Petroleum Zambia</t>
        </is>
      </c>
      <c r="E76" s="47" t="n">
        <v>46151</v>
      </c>
      <c r="F76" s="48" t="inlineStr">
        <is>
          <t>Beira</t>
        </is>
      </c>
      <c r="G76" s="48" t="inlineStr">
        <is>
          <t>Lusaka</t>
        </is>
      </c>
      <c r="H76" s="48" t="inlineStr">
        <is>
          <t>PMS</t>
        </is>
      </c>
      <c r="I76" s="48" t="inlineStr">
        <is>
          <t>CAF-8484ZM</t>
        </is>
      </c>
      <c r="J76" s="48" t="inlineStr">
        <is>
          <t>CAF-8530ZM</t>
        </is>
      </c>
      <c r="K76" s="48" t="inlineStr">
        <is>
          <t>OASIS</t>
        </is>
      </c>
      <c r="L76" s="48" t="inlineStr">
        <is>
          <t>STEVEN BANDA</t>
        </is>
      </c>
      <c r="M76" s="47" t="n"/>
      <c r="N76" s="47" t="n"/>
      <c r="O76" s="49">
        <f>IF(OR(L76="",M76=""),"",M76-L76)</f>
        <v/>
      </c>
      <c r="P76" s="49">
        <f>IFERROR(VLOOKUP(B76,Deals[#All],7,FALSE),DEF_LAYTIME)</f>
        <v/>
      </c>
      <c r="Q76" s="49">
        <f>IF(O76="","",MAX(0,O76-P76))</f>
        <v/>
      </c>
      <c r="R76" s="50">
        <f>IFERROR(VLOOKUP(B76,Deals[#All],8,FALSE),DEF_RATE)</f>
        <v/>
      </c>
      <c r="S76" s="50">
        <f>IF(Q76="","",Q76*R76)</f>
        <v/>
      </c>
      <c r="T76" s="46">
        <f>IF(O76="","PENDING",IF(Q76&gt;0,"DEMURRAGE","ON-TIME"))</f>
        <v/>
      </c>
      <c r="U76" s="46">
        <f>IF(AND(E76&lt;&gt;"",M76&lt;&gt;"",M76&lt;E76),"⚠ Arr&lt;Loaded",IF(AND(M76&lt;&gt;"",N76&lt;&gt;"",N76&lt;M76),"⚠ Off&lt;Arr","OK"))</f>
        <v/>
      </c>
      <c r="V76" s="46">
        <f>IF(E76="","",TEXT(E76,"yyyy-mm"))</f>
        <v/>
      </c>
    </row>
    <row r="77">
      <c r="B77" s="46" t="n">
        <v>190261</v>
      </c>
      <c r="C77" s="46" t="inlineStr">
        <is>
          <t>CLM-2026-007</t>
        </is>
      </c>
      <c r="D77" s="48" t="inlineStr">
        <is>
          <t>Lake Petroleum Zambia</t>
        </is>
      </c>
      <c r="E77" s="47" t="n">
        <v>46149</v>
      </c>
      <c r="F77" s="48" t="inlineStr">
        <is>
          <t>Beira</t>
        </is>
      </c>
      <c r="G77" s="48" t="inlineStr">
        <is>
          <t>Lusaka</t>
        </is>
      </c>
      <c r="H77" s="48" t="inlineStr">
        <is>
          <t>PMS</t>
        </is>
      </c>
      <c r="I77" s="48" t="inlineStr">
        <is>
          <t>CAJ-4322 ZM</t>
        </is>
      </c>
      <c r="J77" s="48" t="inlineStr">
        <is>
          <t>CAJ-4323 ZM</t>
        </is>
      </c>
      <c r="K77" s="48" t="inlineStr">
        <is>
          <t>OASIS</t>
        </is>
      </c>
      <c r="L77" s="48" t="inlineStr">
        <is>
          <t>STEVE KANENGO</t>
        </is>
      </c>
      <c r="M77" s="47" t="n">
        <v>46152</v>
      </c>
      <c r="N77" s="47" t="n"/>
      <c r="O77" s="49">
        <f>IF(OR(L77="",M77=""),"",M77-L77)</f>
        <v/>
      </c>
      <c r="P77" s="49">
        <f>IFERROR(VLOOKUP(B77,Deals[#All],7,FALSE),DEF_LAYTIME)</f>
        <v/>
      </c>
      <c r="Q77" s="49">
        <f>IF(O77="","",MAX(0,O77-P77))</f>
        <v/>
      </c>
      <c r="R77" s="50">
        <f>IFERROR(VLOOKUP(B77,Deals[#All],8,FALSE),DEF_RATE)</f>
        <v/>
      </c>
      <c r="S77" s="50">
        <f>IF(Q77="","",Q77*R77)</f>
        <v/>
      </c>
      <c r="T77" s="46">
        <f>IF(O77="","PENDING",IF(Q77&gt;0,"DEMURRAGE","ON-TIME"))</f>
        <v/>
      </c>
      <c r="U77" s="46">
        <f>IF(AND(E77&lt;&gt;"",M77&lt;&gt;"",M77&lt;E77),"⚠ Arr&lt;Loaded",IF(AND(M77&lt;&gt;"",N77&lt;&gt;"",N77&lt;M77),"⚠ Off&lt;Arr","OK"))</f>
        <v/>
      </c>
      <c r="V77" s="46">
        <f>IF(E77="","",TEXT(E77,"yyyy-mm"))</f>
        <v/>
      </c>
    </row>
    <row r="78">
      <c r="B78" s="46" t="n">
        <v>190261</v>
      </c>
      <c r="C78" s="46" t="inlineStr">
        <is>
          <t>CLM-2026-007</t>
        </is>
      </c>
      <c r="D78" s="48" t="inlineStr">
        <is>
          <t>Lake Petroleum Zambia</t>
        </is>
      </c>
      <c r="E78" s="47" t="n">
        <v>46147</v>
      </c>
      <c r="F78" s="48" t="inlineStr">
        <is>
          <t>Beira</t>
        </is>
      </c>
      <c r="G78" s="48" t="inlineStr">
        <is>
          <t>Lusaka</t>
        </is>
      </c>
      <c r="H78" s="48" t="inlineStr">
        <is>
          <t>PMS</t>
        </is>
      </c>
      <c r="I78" s="48" t="inlineStr">
        <is>
          <t>CAJ-4194ZM</t>
        </is>
      </c>
      <c r="J78" s="48" t="inlineStr">
        <is>
          <t>CAJ-4191ZM</t>
        </is>
      </c>
      <c r="K78" s="48" t="inlineStr">
        <is>
          <t>OASIS</t>
        </is>
      </c>
      <c r="L78" s="48" t="inlineStr">
        <is>
          <t>JOCKONIA SAKALA</t>
        </is>
      </c>
      <c r="M78" s="47" t="n">
        <v>46151</v>
      </c>
      <c r="N78" s="47" t="n"/>
      <c r="O78" s="49">
        <f>IF(OR(L78="",M78=""),"",M78-L78)</f>
        <v/>
      </c>
      <c r="P78" s="49">
        <f>IFERROR(VLOOKUP(B78,Deals[#All],7,FALSE),DEF_LAYTIME)</f>
        <v/>
      </c>
      <c r="Q78" s="49">
        <f>IF(O78="","",MAX(0,O78-P78))</f>
        <v/>
      </c>
      <c r="R78" s="50">
        <f>IFERROR(VLOOKUP(B78,Deals[#All],8,FALSE),DEF_RATE)</f>
        <v/>
      </c>
      <c r="S78" s="50">
        <f>IF(Q78="","",Q78*R78)</f>
        <v/>
      </c>
      <c r="T78" s="46">
        <f>IF(O78="","PENDING",IF(Q78&gt;0,"DEMURRAGE","ON-TIME"))</f>
        <v/>
      </c>
      <c r="U78" s="46">
        <f>IF(AND(E78&lt;&gt;"",M78&lt;&gt;"",M78&lt;E78),"⚠ Arr&lt;Loaded",IF(AND(M78&lt;&gt;"",N78&lt;&gt;"",N78&lt;M78),"⚠ Off&lt;Arr","OK"))</f>
        <v/>
      </c>
      <c r="V78" s="46">
        <f>IF(E78="","",TEXT(E78,"yyyy-mm"))</f>
        <v/>
      </c>
    </row>
    <row r="79">
      <c r="B79" s="46" t="n">
        <v>190261</v>
      </c>
      <c r="C79" s="46" t="inlineStr">
        <is>
          <t>CLM-2026-007</t>
        </is>
      </c>
      <c r="D79" s="48" t="inlineStr">
        <is>
          <t>Lake Petroleum Zambia</t>
        </is>
      </c>
      <c r="E79" s="47" t="n">
        <v>46149</v>
      </c>
      <c r="F79" s="48" t="inlineStr">
        <is>
          <t>Beira</t>
        </is>
      </c>
      <c r="G79" s="48" t="inlineStr">
        <is>
          <t>Lusaka</t>
        </is>
      </c>
      <c r="H79" s="48" t="inlineStr">
        <is>
          <t>PMS</t>
        </is>
      </c>
      <c r="I79" s="48" t="inlineStr">
        <is>
          <t>CAJ-4196 ZM</t>
        </is>
      </c>
      <c r="J79" s="48" t="inlineStr">
        <is>
          <t>CAJ-4189 ZM</t>
        </is>
      </c>
      <c r="K79" s="48" t="inlineStr">
        <is>
          <t>OASIS</t>
        </is>
      </c>
      <c r="L79" s="48" t="inlineStr">
        <is>
          <t>CHILESHE MUTALE</t>
        </is>
      </c>
      <c r="M79" s="47" t="n">
        <v>46152</v>
      </c>
      <c r="N79" s="47" t="n"/>
      <c r="O79" s="49">
        <f>IF(OR(L79="",M79=""),"",M79-L79)</f>
        <v/>
      </c>
      <c r="P79" s="49">
        <f>IFERROR(VLOOKUP(B79,Deals[#All],7,FALSE),DEF_LAYTIME)</f>
        <v/>
      </c>
      <c r="Q79" s="49">
        <f>IF(O79="","",MAX(0,O79-P79))</f>
        <v/>
      </c>
      <c r="R79" s="50">
        <f>IFERROR(VLOOKUP(B79,Deals[#All],8,FALSE),DEF_RATE)</f>
        <v/>
      </c>
      <c r="S79" s="50">
        <f>IF(Q79="","",Q79*R79)</f>
        <v/>
      </c>
      <c r="T79" s="46">
        <f>IF(O79="","PENDING",IF(Q79&gt;0,"DEMURRAGE","ON-TIME"))</f>
        <v/>
      </c>
      <c r="U79" s="46">
        <f>IF(AND(E79&lt;&gt;"",M79&lt;&gt;"",M79&lt;E79),"⚠ Arr&lt;Loaded",IF(AND(M79&lt;&gt;"",N79&lt;&gt;"",N79&lt;M79),"⚠ Off&lt;Arr","OK"))</f>
        <v/>
      </c>
      <c r="V79" s="46">
        <f>IF(E79="","",TEXT(E79,"yyyy-mm"))</f>
        <v/>
      </c>
    </row>
    <row r="80">
      <c r="B80" s="46" t="n">
        <v>190261</v>
      </c>
      <c r="C80" s="46" t="inlineStr">
        <is>
          <t>CLM-2026-007</t>
        </is>
      </c>
      <c r="D80" s="48" t="inlineStr">
        <is>
          <t>Lake Petroleum Zambia</t>
        </is>
      </c>
      <c r="E80" s="47" t="n">
        <v>46147</v>
      </c>
      <c r="F80" s="48" t="inlineStr">
        <is>
          <t>Beira</t>
        </is>
      </c>
      <c r="G80" s="48" t="inlineStr">
        <is>
          <t>Lusaka</t>
        </is>
      </c>
      <c r="H80" s="48" t="inlineStr">
        <is>
          <t>PMS</t>
        </is>
      </c>
      <c r="I80" s="48" t="inlineStr">
        <is>
          <t>CAJ-7173 ZM</t>
        </is>
      </c>
      <c r="J80" s="48" t="inlineStr">
        <is>
          <t>CAJ-7186 ZM</t>
        </is>
      </c>
      <c r="K80" s="48" t="inlineStr">
        <is>
          <t>OASIS</t>
        </is>
      </c>
      <c r="L80" s="48" t="inlineStr">
        <is>
          <t>MWACHATUBA ERIC MALUSA</t>
        </is>
      </c>
      <c r="M80" s="47" t="n">
        <v>46151</v>
      </c>
      <c r="N80" s="47" t="n"/>
      <c r="O80" s="49">
        <f>IF(OR(L80="",M80=""),"",M80-L80)</f>
        <v/>
      </c>
      <c r="P80" s="49">
        <f>IFERROR(VLOOKUP(B80,Deals[#All],7,FALSE),DEF_LAYTIME)</f>
        <v/>
      </c>
      <c r="Q80" s="49">
        <f>IF(O80="","",MAX(0,O80-P80))</f>
        <v/>
      </c>
      <c r="R80" s="50">
        <f>IFERROR(VLOOKUP(B80,Deals[#All],8,FALSE),DEF_RATE)</f>
        <v/>
      </c>
      <c r="S80" s="50">
        <f>IF(Q80="","",Q80*R80)</f>
        <v/>
      </c>
      <c r="T80" s="46">
        <f>IF(O80="","PENDING",IF(Q80&gt;0,"DEMURRAGE","ON-TIME"))</f>
        <v/>
      </c>
      <c r="U80" s="46">
        <f>IF(AND(E80&lt;&gt;"",M80&lt;&gt;"",M80&lt;E80),"⚠ Arr&lt;Loaded",IF(AND(M80&lt;&gt;"",N80&lt;&gt;"",N80&lt;M80),"⚠ Off&lt;Arr","OK"))</f>
        <v/>
      </c>
      <c r="V80" s="46">
        <f>IF(E80="","",TEXT(E80,"yyyy-mm"))</f>
        <v/>
      </c>
    </row>
    <row r="81">
      <c r="B81" s="46" t="n">
        <v>190261</v>
      </c>
      <c r="C81" s="46" t="inlineStr">
        <is>
          <t>CLM-2026-007</t>
        </is>
      </c>
      <c r="D81" s="48" t="inlineStr">
        <is>
          <t>Lake Petroleum Zambia</t>
        </is>
      </c>
      <c r="E81" s="47" t="n">
        <v>46148</v>
      </c>
      <c r="F81" s="48" t="inlineStr">
        <is>
          <t>Beira</t>
        </is>
      </c>
      <c r="G81" s="48" t="inlineStr">
        <is>
          <t>Lusaka</t>
        </is>
      </c>
      <c r="H81" s="48" t="inlineStr">
        <is>
          <t>PMS</t>
        </is>
      </c>
      <c r="I81" s="48" t="inlineStr">
        <is>
          <t>CAJ-7191 ZM</t>
        </is>
      </c>
      <c r="J81" s="48" t="inlineStr">
        <is>
          <t>CAJ-7179 ZM</t>
        </is>
      </c>
      <c r="K81" s="48" t="inlineStr">
        <is>
          <t>OASIS</t>
        </is>
      </c>
      <c r="L81" s="48" t="inlineStr">
        <is>
          <t>PHILLIMON NKHOMA</t>
        </is>
      </c>
      <c r="M81" s="47" t="n">
        <v>46151</v>
      </c>
      <c r="N81" s="47" t="n"/>
      <c r="O81" s="49">
        <f>IF(OR(L81="",M81=""),"",M81-L81)</f>
        <v/>
      </c>
      <c r="P81" s="49">
        <f>IFERROR(VLOOKUP(B81,Deals[#All],7,FALSE),DEF_LAYTIME)</f>
        <v/>
      </c>
      <c r="Q81" s="49">
        <f>IF(O81="","",MAX(0,O81-P81))</f>
        <v/>
      </c>
      <c r="R81" s="50">
        <f>IFERROR(VLOOKUP(B81,Deals[#All],8,FALSE),DEF_RATE)</f>
        <v/>
      </c>
      <c r="S81" s="50">
        <f>IF(Q81="","",Q81*R81)</f>
        <v/>
      </c>
      <c r="T81" s="46">
        <f>IF(O81="","PENDING",IF(Q81&gt;0,"DEMURRAGE","ON-TIME"))</f>
        <v/>
      </c>
      <c r="U81" s="46">
        <f>IF(AND(E81&lt;&gt;"",M81&lt;&gt;"",M81&lt;E81),"⚠ Arr&lt;Loaded",IF(AND(M81&lt;&gt;"",N81&lt;&gt;"",N81&lt;M81),"⚠ Off&lt;Arr","OK"))</f>
        <v/>
      </c>
      <c r="V81" s="46">
        <f>IF(E81="","",TEXT(E81,"yyyy-mm"))</f>
        <v/>
      </c>
    </row>
    <row r="82">
      <c r="B82" s="46" t="n">
        <v>190261</v>
      </c>
      <c r="C82" s="46" t="inlineStr">
        <is>
          <t>CLM-2026-007</t>
        </is>
      </c>
      <c r="D82" s="48" t="inlineStr">
        <is>
          <t>Lake Petroleum Zambia</t>
        </is>
      </c>
      <c r="E82" s="47" t="n">
        <v>46149</v>
      </c>
      <c r="F82" s="48" t="inlineStr">
        <is>
          <t>Beira</t>
        </is>
      </c>
      <c r="G82" s="48" t="inlineStr">
        <is>
          <t>Lusaka</t>
        </is>
      </c>
      <c r="H82" s="48" t="inlineStr">
        <is>
          <t>PMS</t>
        </is>
      </c>
      <c r="I82" s="48" t="inlineStr">
        <is>
          <t>CAJ-4193ZM</t>
        </is>
      </c>
      <c r="J82" s="48" t="inlineStr">
        <is>
          <t>BAZ-5057ZM</t>
        </is>
      </c>
      <c r="K82" s="48" t="inlineStr">
        <is>
          <t>OASIS</t>
        </is>
      </c>
      <c r="L82" s="48" t="inlineStr">
        <is>
          <t>LAFTON SHIPUNGA</t>
        </is>
      </c>
      <c r="M82" s="47" t="n">
        <v>46152</v>
      </c>
      <c r="N82" s="47" t="n"/>
      <c r="O82" s="49">
        <f>IF(OR(L82="",M82=""),"",M82-L82)</f>
        <v/>
      </c>
      <c r="P82" s="49">
        <f>IFERROR(VLOOKUP(B82,Deals[#All],7,FALSE),DEF_LAYTIME)</f>
        <v/>
      </c>
      <c r="Q82" s="49">
        <f>IF(O82="","",MAX(0,O82-P82))</f>
        <v/>
      </c>
      <c r="R82" s="50">
        <f>IFERROR(VLOOKUP(B82,Deals[#All],8,FALSE),DEF_RATE)</f>
        <v/>
      </c>
      <c r="S82" s="50">
        <f>IF(Q82="","",Q82*R82)</f>
        <v/>
      </c>
      <c r="T82" s="46">
        <f>IF(O82="","PENDING",IF(Q82&gt;0,"DEMURRAGE","ON-TIME"))</f>
        <v/>
      </c>
      <c r="U82" s="46">
        <f>IF(AND(E82&lt;&gt;"",M82&lt;&gt;"",M82&lt;E82),"⚠ Arr&lt;Loaded",IF(AND(M82&lt;&gt;"",N82&lt;&gt;"",N82&lt;M82),"⚠ Off&lt;Arr","OK"))</f>
        <v/>
      </c>
      <c r="V82" s="46">
        <f>IF(E82="","",TEXT(E82,"yyyy-mm"))</f>
        <v/>
      </c>
    </row>
    <row r="83">
      <c r="B83" s="46" t="n">
        <v>190261</v>
      </c>
      <c r="C83" s="46" t="inlineStr">
        <is>
          <t>CLM-2026-007</t>
        </is>
      </c>
      <c r="D83" s="48" t="inlineStr">
        <is>
          <t>Lake Petroleum Zambia</t>
        </is>
      </c>
      <c r="E83" s="47" t="n">
        <v>46147</v>
      </c>
      <c r="F83" s="48" t="inlineStr">
        <is>
          <t>Beira</t>
        </is>
      </c>
      <c r="G83" s="48" t="inlineStr">
        <is>
          <t>Lusaka</t>
        </is>
      </c>
      <c r="H83" s="48" t="inlineStr">
        <is>
          <t>PMS</t>
        </is>
      </c>
      <c r="I83" s="48" t="inlineStr">
        <is>
          <t>CAJ-4324 ZM</t>
        </is>
      </c>
      <c r="J83" s="48" t="inlineStr">
        <is>
          <t>CAJ-4326 ZM</t>
        </is>
      </c>
      <c r="K83" s="48" t="inlineStr">
        <is>
          <t>OASIS</t>
        </is>
      </c>
      <c r="L83" s="48" t="inlineStr">
        <is>
          <t>MICHEAL MAKEPESHI</t>
        </is>
      </c>
      <c r="M83" s="47" t="n">
        <v>46151</v>
      </c>
      <c r="N83" s="47" t="n"/>
      <c r="O83" s="49">
        <f>IF(OR(L83="",M83=""),"",M83-L83)</f>
        <v/>
      </c>
      <c r="P83" s="49">
        <f>IFERROR(VLOOKUP(B83,Deals[#All],7,FALSE),DEF_LAYTIME)</f>
        <v/>
      </c>
      <c r="Q83" s="49">
        <f>IF(O83="","",MAX(0,O83-P83))</f>
        <v/>
      </c>
      <c r="R83" s="50">
        <f>IFERROR(VLOOKUP(B83,Deals[#All],8,FALSE),DEF_RATE)</f>
        <v/>
      </c>
      <c r="S83" s="50">
        <f>IF(Q83="","",Q83*R83)</f>
        <v/>
      </c>
      <c r="T83" s="46">
        <f>IF(O83="","PENDING",IF(Q83&gt;0,"DEMURRAGE","ON-TIME"))</f>
        <v/>
      </c>
      <c r="U83" s="46">
        <f>IF(AND(E83&lt;&gt;"",M83&lt;&gt;"",M83&lt;E83),"⚠ Arr&lt;Loaded",IF(AND(M83&lt;&gt;"",N83&lt;&gt;"",N83&lt;M83),"⚠ Off&lt;Arr","OK"))</f>
        <v/>
      </c>
      <c r="V83" s="46">
        <f>IF(E83="","",TEXT(E83,"yyyy-mm"))</f>
        <v/>
      </c>
    </row>
    <row r="84">
      <c r="B84" s="46" t="n">
        <v>190664</v>
      </c>
      <c r="C84" s="46" t="inlineStr">
        <is>
          <t>CLM-2026-008</t>
        </is>
      </c>
      <c r="D84" s="48" t="inlineStr">
        <is>
          <t>Rubis Energy Zambia</t>
        </is>
      </c>
      <c r="E84" s="47" t="n">
        <v>46133</v>
      </c>
      <c r="F84" s="48" t="inlineStr">
        <is>
          <t>Beira</t>
        </is>
      </c>
      <c r="G84" s="48" t="inlineStr">
        <is>
          <t>Lusaka</t>
        </is>
      </c>
      <c r="H84" s="48" t="inlineStr">
        <is>
          <t>PMS</t>
        </is>
      </c>
      <c r="I84" s="48" t="inlineStr">
        <is>
          <t>ABC 234 SF</t>
        </is>
      </c>
      <c r="J84" s="48" t="inlineStr">
        <is>
          <t>AH 414 SF</t>
        </is>
      </c>
      <c r="K84" s="48" t="inlineStr">
        <is>
          <t>PETRODA</t>
        </is>
      </c>
      <c r="L84" s="48" t="inlineStr">
        <is>
          <t>OSMAN AFIYA YUNUSU</t>
        </is>
      </c>
      <c r="M84" s="47" t="n">
        <v>46138</v>
      </c>
      <c r="N84" s="47" t="n">
        <v>46151</v>
      </c>
      <c r="O84" s="49">
        <f>IF(OR(L84="",M84=""),"",M84-L84)</f>
        <v/>
      </c>
      <c r="P84" s="49">
        <f>IFERROR(VLOOKUP(B84,Deals[#All],7,FALSE),DEF_LAYTIME)</f>
        <v/>
      </c>
      <c r="Q84" s="49">
        <f>IF(O84="","",MAX(0,O84-P84))</f>
        <v/>
      </c>
      <c r="R84" s="50">
        <f>IFERROR(VLOOKUP(B84,Deals[#All],8,FALSE),DEF_RATE)</f>
        <v/>
      </c>
      <c r="S84" s="50">
        <f>IF(Q84="","",Q84*R84)</f>
        <v/>
      </c>
      <c r="T84" s="46">
        <f>IF(O84="","PENDING",IF(Q84&gt;0,"DEMURRAGE","ON-TIME"))</f>
        <v/>
      </c>
      <c r="U84" s="46">
        <f>IF(AND(E84&lt;&gt;"",M84&lt;&gt;"",M84&lt;E84),"⚠ Arr&lt;Loaded",IF(AND(M84&lt;&gt;"",N84&lt;&gt;"",N84&lt;M84),"⚠ Off&lt;Arr","OK"))</f>
        <v/>
      </c>
      <c r="V84" s="46">
        <f>IF(E84="","",TEXT(E84,"yyyy-mm"))</f>
        <v/>
      </c>
    </row>
    <row r="85">
      <c r="B85" s="46" t="n">
        <v>190664</v>
      </c>
      <c r="C85" s="46" t="inlineStr">
        <is>
          <t>CLM-2026-008</t>
        </is>
      </c>
      <c r="D85" s="48" t="inlineStr">
        <is>
          <t>Rubis Energy Zambia</t>
        </is>
      </c>
      <c r="E85" s="47" t="n">
        <v>46132</v>
      </c>
      <c r="F85" s="48" t="inlineStr">
        <is>
          <t>Beira</t>
        </is>
      </c>
      <c r="G85" s="48" t="inlineStr">
        <is>
          <t>Lusaka</t>
        </is>
      </c>
      <c r="H85" s="48" t="inlineStr">
        <is>
          <t>PMS</t>
        </is>
      </c>
      <c r="I85" s="48" t="inlineStr">
        <is>
          <t>AKN 848 MC</t>
        </is>
      </c>
      <c r="J85" s="48" t="inlineStr">
        <is>
          <t>AH 413 MC</t>
        </is>
      </c>
      <c r="K85" s="48" t="inlineStr">
        <is>
          <t>PETRODA</t>
        </is>
      </c>
      <c r="L85" s="48" t="inlineStr">
        <is>
          <t>BENEDITO ANTONIO DOMINGOS BUZI</t>
        </is>
      </c>
      <c r="M85" s="47" t="n">
        <v>46138</v>
      </c>
      <c r="N85" s="47" t="n">
        <v>46151</v>
      </c>
      <c r="O85" s="49">
        <f>IF(OR(L85="",M85=""),"",M85-L85)</f>
        <v/>
      </c>
      <c r="P85" s="49">
        <f>IFERROR(VLOOKUP(B85,Deals[#All],7,FALSE),DEF_LAYTIME)</f>
        <v/>
      </c>
      <c r="Q85" s="49">
        <f>IF(O85="","",MAX(0,O85-P85))</f>
        <v/>
      </c>
      <c r="R85" s="50">
        <f>IFERROR(VLOOKUP(B85,Deals[#All],8,FALSE),DEF_RATE)</f>
        <v/>
      </c>
      <c r="S85" s="50">
        <f>IF(Q85="","",Q85*R85)</f>
        <v/>
      </c>
      <c r="T85" s="46">
        <f>IF(O85="","PENDING",IF(Q85&gt;0,"DEMURRAGE","ON-TIME"))</f>
        <v/>
      </c>
      <c r="U85" s="46">
        <f>IF(AND(E85&lt;&gt;"",M85&lt;&gt;"",M85&lt;E85),"⚠ Arr&lt;Loaded",IF(AND(M85&lt;&gt;"",N85&lt;&gt;"",N85&lt;M85),"⚠ Off&lt;Arr","OK"))</f>
        <v/>
      </c>
      <c r="V85" s="46">
        <f>IF(E85="","",TEXT(E85,"yyyy-mm"))</f>
        <v/>
      </c>
    </row>
    <row r="86">
      <c r="B86" s="46" t="n">
        <v>190664</v>
      </c>
      <c r="C86" s="46" t="inlineStr">
        <is>
          <t>CLM-2026-008</t>
        </is>
      </c>
      <c r="D86" s="48" t="inlineStr">
        <is>
          <t>Rubis Energy Zambia</t>
        </is>
      </c>
      <c r="E86" s="47" t="n">
        <v>46133</v>
      </c>
      <c r="F86" s="48" t="inlineStr">
        <is>
          <t>Beira</t>
        </is>
      </c>
      <c r="G86" s="48" t="inlineStr">
        <is>
          <t>Lusaka</t>
        </is>
      </c>
      <c r="H86" s="48" t="inlineStr">
        <is>
          <t>PMS</t>
        </is>
      </c>
      <c r="I86" s="48" t="inlineStr">
        <is>
          <t>AKN 765 MC</t>
        </is>
      </c>
      <c r="J86" s="48" t="inlineStr">
        <is>
          <t>AH 427 MC</t>
        </is>
      </c>
      <c r="K86" s="48" t="inlineStr">
        <is>
          <t>PETRODA</t>
        </is>
      </c>
      <c r="L86" s="48" t="inlineStr">
        <is>
          <t>DANIEL WAIRESSE MUDUWA</t>
        </is>
      </c>
      <c r="M86" s="47" t="n">
        <v>46138</v>
      </c>
      <c r="N86" s="47" t="n">
        <v>46143</v>
      </c>
      <c r="O86" s="49">
        <f>IF(OR(L86="",M86=""),"",M86-L86)</f>
        <v/>
      </c>
      <c r="P86" s="49">
        <f>IFERROR(VLOOKUP(B86,Deals[#All],7,FALSE),DEF_LAYTIME)</f>
        <v/>
      </c>
      <c r="Q86" s="49">
        <f>IF(O86="","",MAX(0,O86-P86))</f>
        <v/>
      </c>
      <c r="R86" s="50">
        <f>IFERROR(VLOOKUP(B86,Deals[#All],8,FALSE),DEF_RATE)</f>
        <v/>
      </c>
      <c r="S86" s="50">
        <f>IF(Q86="","",Q86*R86)</f>
        <v/>
      </c>
      <c r="T86" s="46">
        <f>IF(O86="","PENDING",IF(Q86&gt;0,"DEMURRAGE","ON-TIME"))</f>
        <v/>
      </c>
      <c r="U86" s="46">
        <f>IF(AND(E86&lt;&gt;"",M86&lt;&gt;"",M86&lt;E86),"⚠ Arr&lt;Loaded",IF(AND(M86&lt;&gt;"",N86&lt;&gt;"",N86&lt;M86),"⚠ Off&lt;Arr","OK"))</f>
        <v/>
      </c>
      <c r="V86" s="46">
        <f>IF(E86="","",TEXT(E86,"yyyy-mm"))</f>
        <v/>
      </c>
    </row>
    <row r="87">
      <c r="B87" s="46" t="n">
        <v>190664</v>
      </c>
      <c r="C87" s="46" t="inlineStr">
        <is>
          <t>CLM-2026-008</t>
        </is>
      </c>
      <c r="D87" s="48" t="inlineStr">
        <is>
          <t>Rubis Energy Zambia</t>
        </is>
      </c>
      <c r="E87" s="47" t="n">
        <v>46133</v>
      </c>
      <c r="F87" s="48" t="inlineStr">
        <is>
          <t>Beira</t>
        </is>
      </c>
      <c r="G87" s="48" t="inlineStr">
        <is>
          <t>Lusaka</t>
        </is>
      </c>
      <c r="H87" s="48" t="inlineStr">
        <is>
          <t>PMS</t>
        </is>
      </c>
      <c r="I87" s="48" t="inlineStr">
        <is>
          <t>ABC 244 SF</t>
        </is>
      </c>
      <c r="J87" s="48" t="inlineStr">
        <is>
          <t>AH 424 SF</t>
        </is>
      </c>
      <c r="K87" s="48" t="inlineStr">
        <is>
          <t>PETRODA</t>
        </is>
      </c>
      <c r="L87" s="48" t="inlineStr">
        <is>
          <t>BRITO BITONE SEMENTE MUTANDO</t>
        </is>
      </c>
      <c r="M87" s="47" t="n">
        <v>46138</v>
      </c>
      <c r="N87" s="47" t="n">
        <v>46143</v>
      </c>
      <c r="O87" s="49">
        <f>IF(OR(L87="",M87=""),"",M87-L87)</f>
        <v/>
      </c>
      <c r="P87" s="49">
        <f>IFERROR(VLOOKUP(B87,Deals[#All],7,FALSE),DEF_LAYTIME)</f>
        <v/>
      </c>
      <c r="Q87" s="49">
        <f>IF(O87="","",MAX(0,O87-P87))</f>
        <v/>
      </c>
      <c r="R87" s="50">
        <f>IFERROR(VLOOKUP(B87,Deals[#All],8,FALSE),DEF_RATE)</f>
        <v/>
      </c>
      <c r="S87" s="50">
        <f>IF(Q87="","",Q87*R87)</f>
        <v/>
      </c>
      <c r="T87" s="46">
        <f>IF(O87="","PENDING",IF(Q87&gt;0,"DEMURRAGE","ON-TIME"))</f>
        <v/>
      </c>
      <c r="U87" s="46">
        <f>IF(AND(E87&lt;&gt;"",M87&lt;&gt;"",M87&lt;E87),"⚠ Arr&lt;Loaded",IF(AND(M87&lt;&gt;"",N87&lt;&gt;"",N87&lt;M87),"⚠ Off&lt;Arr","OK"))</f>
        <v/>
      </c>
      <c r="V87" s="46">
        <f>IF(E87="","",TEXT(E87,"yyyy-mm"))</f>
        <v/>
      </c>
    </row>
    <row r="88">
      <c r="B88" s="46" t="n">
        <v>190664</v>
      </c>
      <c r="C88" s="46" t="inlineStr">
        <is>
          <t>CLM-2026-008</t>
        </is>
      </c>
      <c r="D88" s="48" t="inlineStr">
        <is>
          <t>Rubis Energy Zambia</t>
        </is>
      </c>
      <c r="E88" s="47" t="n">
        <v>46133</v>
      </c>
      <c r="F88" s="48" t="inlineStr">
        <is>
          <t>Beira</t>
        </is>
      </c>
      <c r="G88" s="48" t="inlineStr">
        <is>
          <t>Lusaka</t>
        </is>
      </c>
      <c r="H88" s="48" t="inlineStr">
        <is>
          <t>PMS</t>
        </is>
      </c>
      <c r="I88" s="48" t="inlineStr">
        <is>
          <t>AAO 768 SF</t>
        </is>
      </c>
      <c r="J88" s="48" t="inlineStr">
        <is>
          <t>AH 421 MC</t>
        </is>
      </c>
      <c r="K88" s="48" t="inlineStr">
        <is>
          <t>PETRODA</t>
        </is>
      </c>
      <c r="L88" s="48" t="inlineStr">
        <is>
          <t>AGOSTINHO GONCALVES PIRES</t>
        </is>
      </c>
      <c r="M88" s="47" t="n">
        <v>46138</v>
      </c>
      <c r="N88" s="47" t="n">
        <v>46143</v>
      </c>
      <c r="O88" s="49">
        <f>IF(OR(L88="",M88=""),"",M88-L88)</f>
        <v/>
      </c>
      <c r="P88" s="49">
        <f>IFERROR(VLOOKUP(B88,Deals[#All],7,FALSE),DEF_LAYTIME)</f>
        <v/>
      </c>
      <c r="Q88" s="49">
        <f>IF(O88="","",MAX(0,O88-P88))</f>
        <v/>
      </c>
      <c r="R88" s="50">
        <f>IFERROR(VLOOKUP(B88,Deals[#All],8,FALSE),DEF_RATE)</f>
        <v/>
      </c>
      <c r="S88" s="50">
        <f>IF(Q88="","",Q88*R88)</f>
        <v/>
      </c>
      <c r="T88" s="46">
        <f>IF(O88="","PENDING",IF(Q88&gt;0,"DEMURRAGE","ON-TIME"))</f>
        <v/>
      </c>
      <c r="U88" s="46">
        <f>IF(AND(E88&lt;&gt;"",M88&lt;&gt;"",M88&lt;E88),"⚠ Arr&lt;Loaded",IF(AND(M88&lt;&gt;"",N88&lt;&gt;"",N88&lt;M88),"⚠ Off&lt;Arr","OK"))</f>
        <v/>
      </c>
      <c r="V88" s="46">
        <f>IF(E88="","",TEXT(E88,"yyyy-mm"))</f>
        <v/>
      </c>
    </row>
    <row r="89">
      <c r="B89" s="46" t="n">
        <v>190664</v>
      </c>
      <c r="C89" s="46" t="inlineStr">
        <is>
          <t>CLM-2026-008</t>
        </is>
      </c>
      <c r="D89" s="48" t="inlineStr">
        <is>
          <t>Rubis Energy Zambia</t>
        </is>
      </c>
      <c r="E89" s="47" t="n">
        <v>46133</v>
      </c>
      <c r="F89" s="48" t="inlineStr">
        <is>
          <t>Beira</t>
        </is>
      </c>
      <c r="G89" s="48" t="inlineStr">
        <is>
          <t>Lusaka</t>
        </is>
      </c>
      <c r="H89" s="48" t="inlineStr">
        <is>
          <t>PMS</t>
        </is>
      </c>
      <c r="I89" s="48" t="inlineStr">
        <is>
          <t>ABC 277 SF</t>
        </is>
      </c>
      <c r="J89" s="48" t="inlineStr">
        <is>
          <t>AH 377 SF</t>
        </is>
      </c>
      <c r="K89" s="48" t="inlineStr">
        <is>
          <t>PETRODA</t>
        </is>
      </c>
      <c r="L89" s="48" t="inlineStr">
        <is>
          <t>ALBERTO JOSE VASCO</t>
        </is>
      </c>
      <c r="M89" s="47" t="n">
        <v>46138</v>
      </c>
      <c r="N89" s="47" t="n">
        <v>46143</v>
      </c>
      <c r="O89" s="49">
        <f>IF(OR(L89="",M89=""),"",M89-L89)</f>
        <v/>
      </c>
      <c r="P89" s="49">
        <f>IFERROR(VLOOKUP(B89,Deals[#All],7,FALSE),DEF_LAYTIME)</f>
        <v/>
      </c>
      <c r="Q89" s="49">
        <f>IF(O89="","",MAX(0,O89-P89))</f>
        <v/>
      </c>
      <c r="R89" s="50">
        <f>IFERROR(VLOOKUP(B89,Deals[#All],8,FALSE),DEF_RATE)</f>
        <v/>
      </c>
      <c r="S89" s="50">
        <f>IF(Q89="","",Q89*R89)</f>
        <v/>
      </c>
      <c r="T89" s="46">
        <f>IF(O89="","PENDING",IF(Q89&gt;0,"DEMURRAGE","ON-TIME"))</f>
        <v/>
      </c>
      <c r="U89" s="46">
        <f>IF(AND(E89&lt;&gt;"",M89&lt;&gt;"",M89&lt;E89),"⚠ Arr&lt;Loaded",IF(AND(M89&lt;&gt;"",N89&lt;&gt;"",N89&lt;M89),"⚠ Off&lt;Arr","OK"))</f>
        <v/>
      </c>
      <c r="V89" s="46">
        <f>IF(E89="","",TEXT(E89,"yyyy-mm"))</f>
        <v/>
      </c>
    </row>
    <row r="90">
      <c r="B90" s="46" t="n">
        <v>190664</v>
      </c>
      <c r="C90" s="46" t="inlineStr">
        <is>
          <t>CLM-2026-008</t>
        </is>
      </c>
      <c r="D90" s="48" t="inlineStr">
        <is>
          <t>Rubis Energy Zambia</t>
        </is>
      </c>
      <c r="E90" s="47" t="n">
        <v>46133</v>
      </c>
      <c r="F90" s="48" t="inlineStr">
        <is>
          <t>Beira</t>
        </is>
      </c>
      <c r="G90" s="48" t="inlineStr">
        <is>
          <t>Lusaka</t>
        </is>
      </c>
      <c r="H90" s="48" t="inlineStr">
        <is>
          <t>PMS</t>
        </is>
      </c>
      <c r="I90" s="48" t="inlineStr">
        <is>
          <t>ABC 259 SF</t>
        </is>
      </c>
      <c r="J90" s="48" t="inlineStr">
        <is>
          <t>AH 419 SF</t>
        </is>
      </c>
      <c r="K90" s="48" t="inlineStr">
        <is>
          <t>PETRODA</t>
        </is>
      </c>
      <c r="L90" s="48" t="inlineStr">
        <is>
          <t>DOMINGOS CASTIGO</t>
        </is>
      </c>
      <c r="M90" s="47" t="n">
        <v>46138</v>
      </c>
      <c r="N90" s="47" t="n">
        <v>46143</v>
      </c>
      <c r="O90" s="49">
        <f>IF(OR(L90="",M90=""),"",M90-L90)</f>
        <v/>
      </c>
      <c r="P90" s="49">
        <f>IFERROR(VLOOKUP(B90,Deals[#All],7,FALSE),DEF_LAYTIME)</f>
        <v/>
      </c>
      <c r="Q90" s="49">
        <f>IF(O90="","",MAX(0,O90-P90))</f>
        <v/>
      </c>
      <c r="R90" s="50">
        <f>IFERROR(VLOOKUP(B90,Deals[#All],8,FALSE),DEF_RATE)</f>
        <v/>
      </c>
      <c r="S90" s="50">
        <f>IF(Q90="","",Q90*R90)</f>
        <v/>
      </c>
      <c r="T90" s="46">
        <f>IF(O90="","PENDING",IF(Q90&gt;0,"DEMURRAGE","ON-TIME"))</f>
        <v/>
      </c>
      <c r="U90" s="46">
        <f>IF(AND(E90&lt;&gt;"",M90&lt;&gt;"",M90&lt;E90),"⚠ Arr&lt;Loaded",IF(AND(M90&lt;&gt;"",N90&lt;&gt;"",N90&lt;M90),"⚠ Off&lt;Arr","OK"))</f>
        <v/>
      </c>
      <c r="V90" s="46">
        <f>IF(E90="","",TEXT(E90,"yyyy-mm"))</f>
        <v/>
      </c>
    </row>
    <row r="91">
      <c r="B91" s="46" t="n">
        <v>190664</v>
      </c>
      <c r="C91" s="46" t="inlineStr">
        <is>
          <t>CLM-2026-008</t>
        </is>
      </c>
      <c r="D91" s="48" t="inlineStr">
        <is>
          <t>Rubis Energy Zambia</t>
        </is>
      </c>
      <c r="E91" s="47" t="n">
        <v>46133</v>
      </c>
      <c r="F91" s="48" t="inlineStr">
        <is>
          <t>Beira</t>
        </is>
      </c>
      <c r="G91" s="48" t="inlineStr">
        <is>
          <t>Lusaka</t>
        </is>
      </c>
      <c r="H91" s="48" t="inlineStr">
        <is>
          <t>PMS</t>
        </is>
      </c>
      <c r="I91" s="48" t="inlineStr">
        <is>
          <t>AKM 997 MC</t>
        </is>
      </c>
      <c r="J91" s="48" t="inlineStr">
        <is>
          <t>AH 428 MC</t>
        </is>
      </c>
      <c r="K91" s="48" t="inlineStr">
        <is>
          <t>PETRODA</t>
        </is>
      </c>
      <c r="L91" s="48" t="inlineStr">
        <is>
          <t>JOAO XAVIER LEVANHE PAULINO</t>
        </is>
      </c>
      <c r="M91" s="47" t="n">
        <v>46139</v>
      </c>
      <c r="N91" s="47" t="n">
        <v>46146</v>
      </c>
      <c r="O91" s="49">
        <f>IF(OR(L91="",M91=""),"",M91-L91)</f>
        <v/>
      </c>
      <c r="P91" s="49">
        <f>IFERROR(VLOOKUP(B91,Deals[#All],7,FALSE),DEF_LAYTIME)</f>
        <v/>
      </c>
      <c r="Q91" s="49">
        <f>IF(O91="","",MAX(0,O91-P91))</f>
        <v/>
      </c>
      <c r="R91" s="50">
        <f>IFERROR(VLOOKUP(B91,Deals[#All],8,FALSE),DEF_RATE)</f>
        <v/>
      </c>
      <c r="S91" s="50">
        <f>IF(Q91="","",Q91*R91)</f>
        <v/>
      </c>
      <c r="T91" s="46">
        <f>IF(O91="","PENDING",IF(Q91&gt;0,"DEMURRAGE","ON-TIME"))</f>
        <v/>
      </c>
      <c r="U91" s="46">
        <f>IF(AND(E91&lt;&gt;"",M91&lt;&gt;"",M91&lt;E91),"⚠ Arr&lt;Loaded",IF(AND(M91&lt;&gt;"",N91&lt;&gt;"",N91&lt;M91),"⚠ Off&lt;Arr","OK"))</f>
        <v/>
      </c>
      <c r="V91" s="46">
        <f>IF(E91="","",TEXT(E91,"yyyy-mm"))</f>
        <v/>
      </c>
    </row>
    <row r="92">
      <c r="B92" s="46" t="n">
        <v>190664</v>
      </c>
      <c r="C92" s="46" t="inlineStr">
        <is>
          <t>CLM-2026-008</t>
        </is>
      </c>
      <c r="D92" s="48" t="inlineStr">
        <is>
          <t>Rubis Energy Zambia</t>
        </is>
      </c>
      <c r="E92" s="47" t="n">
        <v>46133</v>
      </c>
      <c r="F92" s="48" t="inlineStr">
        <is>
          <t>Beira</t>
        </is>
      </c>
      <c r="G92" s="48" t="inlineStr">
        <is>
          <t>Lusaka</t>
        </is>
      </c>
      <c r="H92" s="48" t="inlineStr">
        <is>
          <t>PMS</t>
        </is>
      </c>
      <c r="I92" s="48" t="inlineStr">
        <is>
          <t>AKN 779 MC</t>
        </is>
      </c>
      <c r="J92" s="48" t="inlineStr">
        <is>
          <t>AH 420 MC</t>
        </is>
      </c>
      <c r="K92" s="48" t="inlineStr">
        <is>
          <t>PETRODA</t>
        </is>
      </c>
      <c r="L92" s="48" t="inlineStr">
        <is>
          <t>LOURENCO JOSE JORGE</t>
        </is>
      </c>
      <c r="M92" s="47" t="n">
        <v>46138</v>
      </c>
      <c r="N92" s="47" t="n">
        <v>46146</v>
      </c>
      <c r="O92" s="49">
        <f>IF(OR(L92="",M92=""),"",M92-L92)</f>
        <v/>
      </c>
      <c r="P92" s="49">
        <f>IFERROR(VLOOKUP(B92,Deals[#All],7,FALSE),DEF_LAYTIME)</f>
        <v/>
      </c>
      <c r="Q92" s="49">
        <f>IF(O92="","",MAX(0,O92-P92))</f>
        <v/>
      </c>
      <c r="R92" s="50">
        <f>IFERROR(VLOOKUP(B92,Deals[#All],8,FALSE),DEF_RATE)</f>
        <v/>
      </c>
      <c r="S92" s="50">
        <f>IF(Q92="","",Q92*R92)</f>
        <v/>
      </c>
      <c r="T92" s="46">
        <f>IF(O92="","PENDING",IF(Q92&gt;0,"DEMURRAGE","ON-TIME"))</f>
        <v/>
      </c>
      <c r="U92" s="46">
        <f>IF(AND(E92&lt;&gt;"",M92&lt;&gt;"",M92&lt;E92),"⚠ Arr&lt;Loaded",IF(AND(M92&lt;&gt;"",N92&lt;&gt;"",N92&lt;M92),"⚠ Off&lt;Arr","OK"))</f>
        <v/>
      </c>
      <c r="V92" s="46">
        <f>IF(E92="","",TEXT(E92,"yyyy-mm"))</f>
        <v/>
      </c>
    </row>
    <row r="93">
      <c r="B93" s="46" t="n">
        <v>190664</v>
      </c>
      <c r="C93" s="46" t="inlineStr">
        <is>
          <t>CLM-2026-008</t>
        </is>
      </c>
      <c r="D93" s="48" t="inlineStr">
        <is>
          <t>Rubis Energy Zambia</t>
        </is>
      </c>
      <c r="E93" s="47" t="n">
        <v>46133</v>
      </c>
      <c r="F93" s="48" t="inlineStr">
        <is>
          <t>Beira</t>
        </is>
      </c>
      <c r="G93" s="48" t="inlineStr">
        <is>
          <t>Lusaka</t>
        </is>
      </c>
      <c r="H93" s="48" t="inlineStr">
        <is>
          <t>PMS</t>
        </is>
      </c>
      <c r="I93" s="48" t="inlineStr">
        <is>
          <t>ABC 292 SF</t>
        </is>
      </c>
      <c r="J93" s="48" t="inlineStr">
        <is>
          <t>AH 402 SF</t>
        </is>
      </c>
      <c r="K93" s="48" t="inlineStr">
        <is>
          <t>PETRODA</t>
        </is>
      </c>
      <c r="L93" s="48" t="inlineStr">
        <is>
          <t>BONIFACIO BYSON MALEFULA</t>
        </is>
      </c>
      <c r="M93" s="47" t="n">
        <v>46139</v>
      </c>
      <c r="N93" s="47" t="n">
        <v>46143</v>
      </c>
      <c r="O93" s="49">
        <f>IF(OR(L93="",M93=""),"",M93-L93)</f>
        <v/>
      </c>
      <c r="P93" s="49">
        <f>IFERROR(VLOOKUP(B93,Deals[#All],7,FALSE),DEF_LAYTIME)</f>
        <v/>
      </c>
      <c r="Q93" s="49">
        <f>IF(O93="","",MAX(0,O93-P93))</f>
        <v/>
      </c>
      <c r="R93" s="50">
        <f>IFERROR(VLOOKUP(B93,Deals[#All],8,FALSE),DEF_RATE)</f>
        <v/>
      </c>
      <c r="S93" s="50">
        <f>IF(Q93="","",Q93*R93)</f>
        <v/>
      </c>
      <c r="T93" s="46">
        <f>IF(O93="","PENDING",IF(Q93&gt;0,"DEMURRAGE","ON-TIME"))</f>
        <v/>
      </c>
      <c r="U93" s="46">
        <f>IF(AND(E93&lt;&gt;"",M93&lt;&gt;"",M93&lt;E93),"⚠ Arr&lt;Loaded",IF(AND(M93&lt;&gt;"",N93&lt;&gt;"",N93&lt;M93),"⚠ Off&lt;Arr","OK"))</f>
        <v/>
      </c>
      <c r="V93" s="46">
        <f>IF(E93="","",TEXT(E93,"yyyy-mm"))</f>
        <v/>
      </c>
    </row>
    <row r="94">
      <c r="B94" s="46" t="n">
        <v>190664</v>
      </c>
      <c r="C94" s="46" t="inlineStr">
        <is>
          <t>CLM-2026-008</t>
        </is>
      </c>
      <c r="D94" s="48" t="inlineStr">
        <is>
          <t>Rubis Energy Zambia</t>
        </is>
      </c>
      <c r="E94" s="47" t="n">
        <v>46133</v>
      </c>
      <c r="F94" s="48" t="inlineStr">
        <is>
          <t>Beira</t>
        </is>
      </c>
      <c r="G94" s="48" t="inlineStr">
        <is>
          <t>Lusaka</t>
        </is>
      </c>
      <c r="H94" s="48" t="inlineStr">
        <is>
          <t>PMS</t>
        </is>
      </c>
      <c r="I94" s="48" t="inlineStr">
        <is>
          <t>ABC 280 SF</t>
        </is>
      </c>
      <c r="J94" s="48" t="inlineStr">
        <is>
          <t>AH 380 SF</t>
        </is>
      </c>
      <c r="K94" s="48" t="inlineStr">
        <is>
          <t>PETRODA</t>
        </is>
      </c>
      <c r="L94" s="48" t="inlineStr">
        <is>
          <t>FERNANDO ULISSONE FERNANDO MATANDIRE</t>
        </is>
      </c>
      <c r="M94" s="47" t="n">
        <v>46138</v>
      </c>
      <c r="N94" s="47" t="n">
        <v>46143</v>
      </c>
      <c r="O94" s="49">
        <f>IF(OR(L94="",M94=""),"",M94-L94)</f>
        <v/>
      </c>
      <c r="P94" s="49">
        <f>IFERROR(VLOOKUP(B94,Deals[#All],7,FALSE),DEF_LAYTIME)</f>
        <v/>
      </c>
      <c r="Q94" s="49">
        <f>IF(O94="","",MAX(0,O94-P94))</f>
        <v/>
      </c>
      <c r="R94" s="50">
        <f>IFERROR(VLOOKUP(B94,Deals[#All],8,FALSE),DEF_RATE)</f>
        <v/>
      </c>
      <c r="S94" s="50">
        <f>IF(Q94="","",Q94*R94)</f>
        <v/>
      </c>
      <c r="T94" s="46">
        <f>IF(O94="","PENDING",IF(Q94&gt;0,"DEMURRAGE","ON-TIME"))</f>
        <v/>
      </c>
      <c r="U94" s="46">
        <f>IF(AND(E94&lt;&gt;"",M94&lt;&gt;"",M94&lt;E94),"⚠ Arr&lt;Loaded",IF(AND(M94&lt;&gt;"",N94&lt;&gt;"",N94&lt;M94),"⚠ Off&lt;Arr","OK"))</f>
        <v/>
      </c>
      <c r="V94" s="46">
        <f>IF(E94="","",TEXT(E94,"yyyy-mm"))</f>
        <v/>
      </c>
    </row>
    <row r="95">
      <c r="B95" s="46" t="n">
        <v>190664</v>
      </c>
      <c r="C95" s="46" t="inlineStr">
        <is>
          <t>CLM-2026-008</t>
        </is>
      </c>
      <c r="D95" s="48" t="inlineStr">
        <is>
          <t>Rubis Energy Zambia</t>
        </is>
      </c>
      <c r="E95" s="47" t="n">
        <v>46132</v>
      </c>
      <c r="F95" s="48" t="inlineStr">
        <is>
          <t>Beira</t>
        </is>
      </c>
      <c r="G95" s="48" t="inlineStr">
        <is>
          <t>Lusaka</t>
        </is>
      </c>
      <c r="H95" s="48" t="inlineStr">
        <is>
          <t>PMS</t>
        </is>
      </c>
      <c r="I95" s="48" t="inlineStr">
        <is>
          <t>ABC 274 SF</t>
        </is>
      </c>
      <c r="J95" s="48" t="inlineStr">
        <is>
          <t>AH 379 SF</t>
        </is>
      </c>
      <c r="K95" s="48" t="inlineStr">
        <is>
          <t>PETRODA</t>
        </is>
      </c>
      <c r="L95" s="48" t="inlineStr">
        <is>
          <t xml:space="preserve">MATEUS VASCO ZAMBO </t>
        </is>
      </c>
      <c r="M95" s="47" t="n">
        <v>46138</v>
      </c>
      <c r="N95" s="47" t="n">
        <v>46146</v>
      </c>
      <c r="O95" s="49">
        <f>IF(OR(L95="",M95=""),"",M95-L95)</f>
        <v/>
      </c>
      <c r="P95" s="49">
        <f>IFERROR(VLOOKUP(B95,Deals[#All],7,FALSE),DEF_LAYTIME)</f>
        <v/>
      </c>
      <c r="Q95" s="49">
        <f>IF(O95="","",MAX(0,O95-P95))</f>
        <v/>
      </c>
      <c r="R95" s="50">
        <f>IFERROR(VLOOKUP(B95,Deals[#All],8,FALSE),DEF_RATE)</f>
        <v/>
      </c>
      <c r="S95" s="50">
        <f>IF(Q95="","",Q95*R95)</f>
        <v/>
      </c>
      <c r="T95" s="46">
        <f>IF(O95="","PENDING",IF(Q95&gt;0,"DEMURRAGE","ON-TIME"))</f>
        <v/>
      </c>
      <c r="U95" s="46">
        <f>IF(AND(E95&lt;&gt;"",M95&lt;&gt;"",M95&lt;E95),"⚠ Arr&lt;Loaded",IF(AND(M95&lt;&gt;"",N95&lt;&gt;"",N95&lt;M95),"⚠ Off&lt;Arr","OK"))</f>
        <v/>
      </c>
      <c r="V95" s="46">
        <f>IF(E95="","",TEXT(E95,"yyyy-mm"))</f>
        <v/>
      </c>
    </row>
    <row r="96">
      <c r="B96" s="46" t="n">
        <v>190664</v>
      </c>
      <c r="C96" s="46" t="inlineStr">
        <is>
          <t>CLM-2026-008</t>
        </is>
      </c>
      <c r="D96" s="48" t="inlineStr">
        <is>
          <t>Rubis Energy Zambia</t>
        </is>
      </c>
      <c r="E96" s="47" t="n">
        <v>46133</v>
      </c>
      <c r="F96" s="48" t="inlineStr">
        <is>
          <t>Beira</t>
        </is>
      </c>
      <c r="G96" s="48" t="inlineStr">
        <is>
          <t>Lusaka</t>
        </is>
      </c>
      <c r="H96" s="48" t="inlineStr">
        <is>
          <t>PMS</t>
        </is>
      </c>
      <c r="I96" s="48" t="inlineStr">
        <is>
          <t>AKM 999 MC</t>
        </is>
      </c>
      <c r="J96" s="48" t="inlineStr">
        <is>
          <t>AH 416 MC</t>
        </is>
      </c>
      <c r="K96" s="48" t="inlineStr">
        <is>
          <t>PETRODA</t>
        </is>
      </c>
      <c r="L96" s="48" t="inlineStr">
        <is>
          <t>TAIBO RATO KANO</t>
        </is>
      </c>
      <c r="M96" s="47" t="n">
        <v>46139</v>
      </c>
      <c r="N96" s="47" t="n">
        <v>46147</v>
      </c>
      <c r="O96" s="49">
        <f>IF(OR(L96="",M96=""),"",M96-L96)</f>
        <v/>
      </c>
      <c r="P96" s="49">
        <f>IFERROR(VLOOKUP(B96,Deals[#All],7,FALSE),DEF_LAYTIME)</f>
        <v/>
      </c>
      <c r="Q96" s="49">
        <f>IF(O96="","",MAX(0,O96-P96))</f>
        <v/>
      </c>
      <c r="R96" s="50">
        <f>IFERROR(VLOOKUP(B96,Deals[#All],8,FALSE),DEF_RATE)</f>
        <v/>
      </c>
      <c r="S96" s="50">
        <f>IF(Q96="","",Q96*R96)</f>
        <v/>
      </c>
      <c r="T96" s="46">
        <f>IF(O96="","PENDING",IF(Q96&gt;0,"DEMURRAGE","ON-TIME"))</f>
        <v/>
      </c>
      <c r="U96" s="46">
        <f>IF(AND(E96&lt;&gt;"",M96&lt;&gt;"",M96&lt;E96),"⚠ Arr&lt;Loaded",IF(AND(M96&lt;&gt;"",N96&lt;&gt;"",N96&lt;M96),"⚠ Off&lt;Arr","OK"))</f>
        <v/>
      </c>
      <c r="V96" s="46">
        <f>IF(E96="","",TEXT(E96,"yyyy-mm"))</f>
        <v/>
      </c>
    </row>
    <row r="97">
      <c r="B97" s="46" t="n">
        <v>190664</v>
      </c>
      <c r="C97" s="46" t="inlineStr">
        <is>
          <t>CLM-2026-008</t>
        </is>
      </c>
      <c r="D97" s="48" t="inlineStr">
        <is>
          <t>Rubis Energy Zambia</t>
        </is>
      </c>
      <c r="E97" s="47" t="n">
        <v>46132</v>
      </c>
      <c r="F97" s="48" t="inlineStr">
        <is>
          <t>Beira</t>
        </is>
      </c>
      <c r="G97" s="48" t="inlineStr">
        <is>
          <t>Lusaka</t>
        </is>
      </c>
      <c r="H97" s="48" t="inlineStr">
        <is>
          <t>PMS</t>
        </is>
      </c>
      <c r="I97" s="48" t="inlineStr">
        <is>
          <t>AKN 012 MC</t>
        </is>
      </c>
      <c r="J97" s="48" t="inlineStr">
        <is>
          <t>AH 432 MC</t>
        </is>
      </c>
      <c r="K97" s="48" t="inlineStr">
        <is>
          <t>PETRODA</t>
        </is>
      </c>
      <c r="L97" s="48" t="inlineStr">
        <is>
          <t>JOSSIA RESENDE NHONE</t>
        </is>
      </c>
      <c r="M97" s="47" t="n">
        <v>46138</v>
      </c>
      <c r="N97" s="47" t="n">
        <v>46150</v>
      </c>
      <c r="O97" s="49">
        <f>IF(OR(L97="",M97=""),"",M97-L97)</f>
        <v/>
      </c>
      <c r="P97" s="49">
        <f>IFERROR(VLOOKUP(B97,Deals[#All],7,FALSE),DEF_LAYTIME)</f>
        <v/>
      </c>
      <c r="Q97" s="49">
        <f>IF(O97="","",MAX(0,O97-P97))</f>
        <v/>
      </c>
      <c r="R97" s="50">
        <f>IFERROR(VLOOKUP(B97,Deals[#All],8,FALSE),DEF_RATE)</f>
        <v/>
      </c>
      <c r="S97" s="50">
        <f>IF(Q97="","",Q97*R97)</f>
        <v/>
      </c>
      <c r="T97" s="46">
        <f>IF(O97="","PENDING",IF(Q97&gt;0,"DEMURRAGE","ON-TIME"))</f>
        <v/>
      </c>
      <c r="U97" s="46">
        <f>IF(AND(E97&lt;&gt;"",M97&lt;&gt;"",M97&lt;E97),"⚠ Arr&lt;Loaded",IF(AND(M97&lt;&gt;"",N97&lt;&gt;"",N97&lt;M97),"⚠ Off&lt;Arr","OK"))</f>
        <v/>
      </c>
      <c r="V97" s="46">
        <f>IF(E97="","",TEXT(E97,"yyyy-mm"))</f>
        <v/>
      </c>
    </row>
    <row r="98">
      <c r="B98" s="46" t="n">
        <v>190664</v>
      </c>
      <c r="C98" s="46" t="inlineStr">
        <is>
          <t>CLM-2026-008</t>
        </is>
      </c>
      <c r="D98" s="48" t="inlineStr">
        <is>
          <t>Rubis Energy Zambia</t>
        </is>
      </c>
      <c r="E98" s="47" t="n">
        <v>46132</v>
      </c>
      <c r="F98" s="48" t="inlineStr">
        <is>
          <t>Beira</t>
        </is>
      </c>
      <c r="G98" s="48" t="inlineStr">
        <is>
          <t>Lusaka</t>
        </is>
      </c>
      <c r="H98" s="48" t="inlineStr">
        <is>
          <t>PMS</t>
        </is>
      </c>
      <c r="I98" s="48" t="inlineStr">
        <is>
          <t>ABC 294 SF</t>
        </is>
      </c>
      <c r="J98" s="48" t="inlineStr">
        <is>
          <t>AH 422 SF</t>
        </is>
      </c>
      <c r="K98" s="48" t="inlineStr">
        <is>
          <t>PETRODA</t>
        </is>
      </c>
      <c r="L98" s="48" t="inlineStr">
        <is>
          <t>IVAN MANUEL AMADE JOAQUIM</t>
        </is>
      </c>
      <c r="M98" s="47" t="n">
        <v>46138</v>
      </c>
      <c r="N98" s="47" t="n">
        <v>46150</v>
      </c>
      <c r="O98" s="49">
        <f>IF(OR(L98="",M98=""),"",M98-L98)</f>
        <v/>
      </c>
      <c r="P98" s="49">
        <f>IFERROR(VLOOKUP(B98,Deals[#All],7,FALSE),DEF_LAYTIME)</f>
        <v/>
      </c>
      <c r="Q98" s="49">
        <f>IF(O98="","",MAX(0,O98-P98))</f>
        <v/>
      </c>
      <c r="R98" s="50">
        <f>IFERROR(VLOOKUP(B98,Deals[#All],8,FALSE),DEF_RATE)</f>
        <v/>
      </c>
      <c r="S98" s="50">
        <f>IF(Q98="","",Q98*R98)</f>
        <v/>
      </c>
      <c r="T98" s="46">
        <f>IF(O98="","PENDING",IF(Q98&gt;0,"DEMURRAGE","ON-TIME"))</f>
        <v/>
      </c>
      <c r="U98" s="46">
        <f>IF(AND(E98&lt;&gt;"",M98&lt;&gt;"",M98&lt;E98),"⚠ Arr&lt;Loaded",IF(AND(M98&lt;&gt;"",N98&lt;&gt;"",N98&lt;M98),"⚠ Off&lt;Arr","OK"))</f>
        <v/>
      </c>
      <c r="V98" s="46">
        <f>IF(E98="","",TEXT(E98,"yyyy-mm"))</f>
        <v/>
      </c>
    </row>
    <row r="99">
      <c r="B99" s="46" t="n">
        <v>190664</v>
      </c>
      <c r="C99" s="46" t="inlineStr">
        <is>
          <t>CLM-2026-008</t>
        </is>
      </c>
      <c r="D99" s="48" t="inlineStr">
        <is>
          <t>Rubis Energy Zambia</t>
        </is>
      </c>
      <c r="E99" s="47" t="n">
        <v>46132</v>
      </c>
      <c r="F99" s="48" t="inlineStr">
        <is>
          <t>Beira</t>
        </is>
      </c>
      <c r="G99" s="48" t="inlineStr">
        <is>
          <t>Lusaka</t>
        </is>
      </c>
      <c r="H99" s="48" t="inlineStr">
        <is>
          <t>PMS</t>
        </is>
      </c>
      <c r="I99" s="48" t="inlineStr">
        <is>
          <t>ABC 252 SF</t>
        </is>
      </c>
      <c r="J99" s="48" t="inlineStr">
        <is>
          <t>AH 387 SF</t>
        </is>
      </c>
      <c r="K99" s="48" t="inlineStr">
        <is>
          <t>PETRODA</t>
        </is>
      </c>
      <c r="L99" s="48" t="inlineStr">
        <is>
          <t>PEREIRA FERNANDO ARGOLA</t>
        </is>
      </c>
      <c r="M99" s="47" t="n">
        <v>46138</v>
      </c>
      <c r="N99" s="47" t="n">
        <v>46143</v>
      </c>
      <c r="O99" s="49">
        <f>IF(OR(L99="",M99=""),"",M99-L99)</f>
        <v/>
      </c>
      <c r="P99" s="49">
        <f>IFERROR(VLOOKUP(B99,Deals[#All],7,FALSE),DEF_LAYTIME)</f>
        <v/>
      </c>
      <c r="Q99" s="49">
        <f>IF(O99="","",MAX(0,O99-P99))</f>
        <v/>
      </c>
      <c r="R99" s="50">
        <f>IFERROR(VLOOKUP(B99,Deals[#All],8,FALSE),DEF_RATE)</f>
        <v/>
      </c>
      <c r="S99" s="50">
        <f>IF(Q99="","",Q99*R99)</f>
        <v/>
      </c>
      <c r="T99" s="46">
        <f>IF(O99="","PENDING",IF(Q99&gt;0,"DEMURRAGE","ON-TIME"))</f>
        <v/>
      </c>
      <c r="U99" s="46">
        <f>IF(AND(E99&lt;&gt;"",M99&lt;&gt;"",M99&lt;E99),"⚠ Arr&lt;Loaded",IF(AND(M99&lt;&gt;"",N99&lt;&gt;"",N99&lt;M99),"⚠ Off&lt;Arr","OK"))</f>
        <v/>
      </c>
      <c r="V99" s="46">
        <f>IF(E99="","",TEXT(E99,"yyyy-mm"))</f>
        <v/>
      </c>
    </row>
    <row r="100">
      <c r="B100" s="46" t="n">
        <v>190664</v>
      </c>
      <c r="C100" s="46" t="inlineStr">
        <is>
          <t>CLM-2026-008</t>
        </is>
      </c>
      <c r="D100" s="48" t="inlineStr">
        <is>
          <t>Rubis Energy Zambia</t>
        </is>
      </c>
      <c r="E100" s="47" t="n">
        <v>46133</v>
      </c>
      <c r="F100" s="48" t="inlineStr">
        <is>
          <t>Beira</t>
        </is>
      </c>
      <c r="G100" s="48" t="inlineStr">
        <is>
          <t>Lusaka</t>
        </is>
      </c>
      <c r="H100" s="48" t="inlineStr">
        <is>
          <t>PMS</t>
        </is>
      </c>
      <c r="I100" s="48" t="inlineStr">
        <is>
          <t>AKN 006 MC</t>
        </is>
      </c>
      <c r="J100" s="48" t="inlineStr">
        <is>
          <t>AH 457 MC</t>
        </is>
      </c>
      <c r="K100" s="48" t="inlineStr">
        <is>
          <t>PETRODA</t>
        </is>
      </c>
      <c r="L100" s="48" t="inlineStr">
        <is>
          <t>GILDO LUIS DE SOUSA</t>
        </is>
      </c>
      <c r="M100" s="47" t="n">
        <v>46139</v>
      </c>
      <c r="N100" s="47" t="n">
        <v>46146</v>
      </c>
      <c r="O100" s="49">
        <f>IF(OR(L100="",M100=""),"",M100-L100)</f>
        <v/>
      </c>
      <c r="P100" s="49">
        <f>IFERROR(VLOOKUP(B100,Deals[#All],7,FALSE),DEF_LAYTIME)</f>
        <v/>
      </c>
      <c r="Q100" s="49">
        <f>IF(O100="","",MAX(0,O100-P100))</f>
        <v/>
      </c>
      <c r="R100" s="50">
        <f>IFERROR(VLOOKUP(B100,Deals[#All],8,FALSE),DEF_RATE)</f>
        <v/>
      </c>
      <c r="S100" s="50">
        <f>IF(Q100="","",Q100*R100)</f>
        <v/>
      </c>
      <c r="T100" s="46">
        <f>IF(O100="","PENDING",IF(Q100&gt;0,"DEMURRAGE","ON-TIME"))</f>
        <v/>
      </c>
      <c r="U100" s="46">
        <f>IF(AND(E100&lt;&gt;"",M100&lt;&gt;"",M100&lt;E100),"⚠ Arr&lt;Loaded",IF(AND(M100&lt;&gt;"",N100&lt;&gt;"",N100&lt;M100),"⚠ Off&lt;Arr","OK"))</f>
        <v/>
      </c>
      <c r="V100" s="46">
        <f>IF(E100="","",TEXT(E100,"yyyy-mm"))</f>
        <v/>
      </c>
    </row>
    <row r="101">
      <c r="B101" s="46" t="n">
        <v>190664</v>
      </c>
      <c r="C101" s="46" t="inlineStr">
        <is>
          <t>CLM-2026-008</t>
        </is>
      </c>
      <c r="D101" s="48" t="inlineStr">
        <is>
          <t>Rubis Energy Zambia</t>
        </is>
      </c>
      <c r="E101" s="47" t="n">
        <v>46137</v>
      </c>
      <c r="F101" s="48" t="inlineStr">
        <is>
          <t>Beira</t>
        </is>
      </c>
      <c r="G101" s="48" t="inlineStr">
        <is>
          <t>Lusaka</t>
        </is>
      </c>
      <c r="H101" s="48" t="inlineStr">
        <is>
          <t>PMS</t>
        </is>
      </c>
      <c r="I101" s="48" t="inlineStr">
        <is>
          <t>ABC 283 SF</t>
        </is>
      </c>
      <c r="J101" s="48" t="inlineStr">
        <is>
          <t>AH 383 SF</t>
        </is>
      </c>
      <c r="K101" s="48" t="inlineStr">
        <is>
          <t>PETRODA</t>
        </is>
      </c>
      <c r="L101" s="48" t="inlineStr">
        <is>
          <t>WILIAMO BRITO MALISSIE</t>
        </is>
      </c>
      <c r="M101" s="47" t="n">
        <v>46142</v>
      </c>
      <c r="N101" s="47" t="n">
        <v>46148</v>
      </c>
      <c r="O101" s="49">
        <f>IF(OR(L101="",M101=""),"",M101-L101)</f>
        <v/>
      </c>
      <c r="P101" s="49">
        <f>IFERROR(VLOOKUP(B101,Deals[#All],7,FALSE),DEF_LAYTIME)</f>
        <v/>
      </c>
      <c r="Q101" s="49">
        <f>IF(O101="","",MAX(0,O101-P101))</f>
        <v/>
      </c>
      <c r="R101" s="50">
        <f>IFERROR(VLOOKUP(B101,Deals[#All],8,FALSE),DEF_RATE)</f>
        <v/>
      </c>
      <c r="S101" s="50">
        <f>IF(Q101="","",Q101*R101)</f>
        <v/>
      </c>
      <c r="T101" s="46">
        <f>IF(O101="","PENDING",IF(Q101&gt;0,"DEMURRAGE","ON-TIME"))</f>
        <v/>
      </c>
      <c r="U101" s="46">
        <f>IF(AND(E101&lt;&gt;"",M101&lt;&gt;"",M101&lt;E101),"⚠ Arr&lt;Loaded",IF(AND(M101&lt;&gt;"",N101&lt;&gt;"",N101&lt;M101),"⚠ Off&lt;Arr","OK"))</f>
        <v/>
      </c>
      <c r="V101" s="46">
        <f>IF(E101="","",TEXT(E101,"yyyy-mm"))</f>
        <v/>
      </c>
    </row>
    <row r="102">
      <c r="B102" s="46" t="n">
        <v>190664</v>
      </c>
      <c r="C102" s="46" t="inlineStr">
        <is>
          <t>CLM-2026-008</t>
        </is>
      </c>
      <c r="D102" s="48" t="inlineStr">
        <is>
          <t>Rubis Energy Zambia</t>
        </is>
      </c>
      <c r="E102" s="47" t="n">
        <v>46134</v>
      </c>
      <c r="F102" s="48" t="inlineStr">
        <is>
          <t>Beira</t>
        </is>
      </c>
      <c r="G102" s="48" t="inlineStr">
        <is>
          <t>Lusaka</t>
        </is>
      </c>
      <c r="H102" s="48" t="inlineStr">
        <is>
          <t>PMS</t>
        </is>
      </c>
      <c r="I102" s="48" t="inlineStr">
        <is>
          <t>ABC 236 SF</t>
        </is>
      </c>
      <c r="J102" s="48" t="inlineStr">
        <is>
          <t>AH 376 SF</t>
        </is>
      </c>
      <c r="K102" s="48" t="inlineStr">
        <is>
          <t>PETRODA</t>
        </is>
      </c>
      <c r="L102" s="48" t="inlineStr">
        <is>
          <t>ADILSON DOMINGOS JOSE</t>
        </is>
      </c>
      <c r="M102" s="47" t="n">
        <v>46140</v>
      </c>
      <c r="N102" s="47" t="n">
        <v>46142</v>
      </c>
      <c r="O102" s="49">
        <f>IF(OR(L102="",M102=""),"",M102-L102)</f>
        <v/>
      </c>
      <c r="P102" s="49">
        <f>IFERROR(VLOOKUP(B102,Deals[#All],7,FALSE),DEF_LAYTIME)</f>
        <v/>
      </c>
      <c r="Q102" s="49">
        <f>IF(O102="","",MAX(0,O102-P102))</f>
        <v/>
      </c>
      <c r="R102" s="50">
        <f>IFERROR(VLOOKUP(B102,Deals[#All],8,FALSE),DEF_RATE)</f>
        <v/>
      </c>
      <c r="S102" s="50">
        <f>IF(Q102="","",Q102*R102)</f>
        <v/>
      </c>
      <c r="T102" s="46">
        <f>IF(O102="","PENDING",IF(Q102&gt;0,"DEMURRAGE","ON-TIME"))</f>
        <v/>
      </c>
      <c r="U102" s="46">
        <f>IF(AND(E102&lt;&gt;"",M102&lt;&gt;"",M102&lt;E102),"⚠ Arr&lt;Loaded",IF(AND(M102&lt;&gt;"",N102&lt;&gt;"",N102&lt;M102),"⚠ Off&lt;Arr","OK"))</f>
        <v/>
      </c>
      <c r="V102" s="46">
        <f>IF(E102="","",TEXT(E102,"yyyy-mm"))</f>
        <v/>
      </c>
    </row>
    <row r="103">
      <c r="B103" s="46" t="n">
        <v>190664</v>
      </c>
      <c r="C103" s="46" t="inlineStr">
        <is>
          <t>CLM-2026-008</t>
        </is>
      </c>
      <c r="D103" s="48" t="inlineStr">
        <is>
          <t>Rubis Energy Zambia</t>
        </is>
      </c>
      <c r="E103" s="47" t="n">
        <v>46143</v>
      </c>
      <c r="F103" s="48" t="inlineStr">
        <is>
          <t>Beira</t>
        </is>
      </c>
      <c r="G103" s="48" t="inlineStr">
        <is>
          <t>Lusaka</t>
        </is>
      </c>
      <c r="H103" s="48" t="inlineStr">
        <is>
          <t>PMS</t>
        </is>
      </c>
      <c r="I103" s="48" t="inlineStr">
        <is>
          <t>AKO 283 MC</t>
        </is>
      </c>
      <c r="J103" s="48" t="inlineStr">
        <is>
          <t>AH 446 MC</t>
        </is>
      </c>
      <c r="K103" s="48" t="inlineStr">
        <is>
          <t>PETRODA</t>
        </is>
      </c>
      <c r="L103" s="48" t="inlineStr">
        <is>
          <t>ANTONIO EFREMO ANDICENE</t>
        </is>
      </c>
      <c r="M103" s="47" t="n">
        <v>46148</v>
      </c>
      <c r="N103" s="47" t="n">
        <v>46148</v>
      </c>
      <c r="O103" s="49">
        <f>IF(OR(L103="",M103=""),"",M103-L103)</f>
        <v/>
      </c>
      <c r="P103" s="49">
        <f>IFERROR(VLOOKUP(B103,Deals[#All],7,FALSE),DEF_LAYTIME)</f>
        <v/>
      </c>
      <c r="Q103" s="49">
        <f>IF(O103="","",MAX(0,O103-P103))</f>
        <v/>
      </c>
      <c r="R103" s="50">
        <f>IFERROR(VLOOKUP(B103,Deals[#All],8,FALSE),DEF_RATE)</f>
        <v/>
      </c>
      <c r="S103" s="50">
        <f>IF(Q103="","",Q103*R103)</f>
        <v/>
      </c>
      <c r="T103" s="46">
        <f>IF(O103="","PENDING",IF(Q103&gt;0,"DEMURRAGE","ON-TIME"))</f>
        <v/>
      </c>
      <c r="U103" s="46">
        <f>IF(AND(E103&lt;&gt;"",M103&lt;&gt;"",M103&lt;E103),"⚠ Arr&lt;Loaded",IF(AND(M103&lt;&gt;"",N103&lt;&gt;"",N103&lt;M103),"⚠ Off&lt;Arr","OK"))</f>
        <v/>
      </c>
      <c r="V103" s="46">
        <f>IF(E103="","",TEXT(E103,"yyyy-mm"))</f>
        <v/>
      </c>
    </row>
    <row r="104">
      <c r="B104" s="46" t="n">
        <v>190664</v>
      </c>
      <c r="C104" s="46" t="inlineStr">
        <is>
          <t>CLM-2026-008</t>
        </is>
      </c>
      <c r="D104" s="48" t="inlineStr">
        <is>
          <t>Rubis Energy Zambia</t>
        </is>
      </c>
      <c r="E104" s="47" t="n">
        <v>46134</v>
      </c>
      <c r="F104" s="48" t="inlineStr">
        <is>
          <t>Beira</t>
        </is>
      </c>
      <c r="G104" s="48" t="inlineStr">
        <is>
          <t>Lusaka</t>
        </is>
      </c>
      <c r="H104" s="48" t="inlineStr">
        <is>
          <t>PMS</t>
        </is>
      </c>
      <c r="I104" s="48" t="inlineStr">
        <is>
          <t>AKN 854 MC</t>
        </is>
      </c>
      <c r="J104" s="48" t="inlineStr">
        <is>
          <t>AH 423 MC</t>
        </is>
      </c>
      <c r="K104" s="48" t="inlineStr">
        <is>
          <t>PETRODA</t>
        </is>
      </c>
      <c r="L104" s="48" t="inlineStr">
        <is>
          <t>YONA MARCOS ABILIO</t>
        </is>
      </c>
      <c r="M104" s="47" t="n">
        <v>46140</v>
      </c>
      <c r="N104" s="47" t="n">
        <v>46142</v>
      </c>
      <c r="O104" s="49">
        <f>IF(OR(L104="",M104=""),"",M104-L104)</f>
        <v/>
      </c>
      <c r="P104" s="49">
        <f>IFERROR(VLOOKUP(B104,Deals[#All],7,FALSE),DEF_LAYTIME)</f>
        <v/>
      </c>
      <c r="Q104" s="49">
        <f>IF(O104="","",MAX(0,O104-P104))</f>
        <v/>
      </c>
      <c r="R104" s="50">
        <f>IFERROR(VLOOKUP(B104,Deals[#All],8,FALSE),DEF_RATE)</f>
        <v/>
      </c>
      <c r="S104" s="50">
        <f>IF(Q104="","",Q104*R104)</f>
        <v/>
      </c>
      <c r="T104" s="46">
        <f>IF(O104="","PENDING",IF(Q104&gt;0,"DEMURRAGE","ON-TIME"))</f>
        <v/>
      </c>
      <c r="U104" s="46">
        <f>IF(AND(E104&lt;&gt;"",M104&lt;&gt;"",M104&lt;E104),"⚠ Arr&lt;Loaded",IF(AND(M104&lt;&gt;"",N104&lt;&gt;"",N104&lt;M104),"⚠ Off&lt;Arr","OK"))</f>
        <v/>
      </c>
      <c r="V104" s="46">
        <f>IF(E104="","",TEXT(E104,"yyyy-mm"))</f>
        <v/>
      </c>
    </row>
    <row r="105">
      <c r="B105" s="46" t="n">
        <v>190664</v>
      </c>
      <c r="C105" s="46" t="inlineStr">
        <is>
          <t>CLM-2026-008</t>
        </is>
      </c>
      <c r="D105" s="48" t="inlineStr">
        <is>
          <t>Rubis Energy Zambia</t>
        </is>
      </c>
      <c r="E105" s="47" t="n">
        <v>46141</v>
      </c>
      <c r="F105" s="48" t="inlineStr">
        <is>
          <t>Beira</t>
        </is>
      </c>
      <c r="G105" s="48" t="inlineStr">
        <is>
          <t>Lusaka</t>
        </is>
      </c>
      <c r="H105" s="48" t="inlineStr">
        <is>
          <t>PMS</t>
        </is>
      </c>
      <c r="I105" s="48" t="inlineStr">
        <is>
          <t>AKN 461MC</t>
        </is>
      </c>
      <c r="J105" s="48" t="inlineStr">
        <is>
          <t>AH 425 MC</t>
        </is>
      </c>
      <c r="K105" s="48" t="inlineStr">
        <is>
          <t>PETRODA</t>
        </is>
      </c>
      <c r="L105" s="48" t="inlineStr">
        <is>
          <t>BLESSING LINOS NDENGUMA</t>
        </is>
      </c>
      <c r="M105" s="47" t="n">
        <v>46145</v>
      </c>
      <c r="N105" s="47" t="n">
        <v>46146</v>
      </c>
      <c r="O105" s="49">
        <f>IF(OR(L105="",M105=""),"",M105-L105)</f>
        <v/>
      </c>
      <c r="P105" s="49">
        <f>IFERROR(VLOOKUP(B105,Deals[#All],7,FALSE),DEF_LAYTIME)</f>
        <v/>
      </c>
      <c r="Q105" s="49">
        <f>IF(O105="","",MAX(0,O105-P105))</f>
        <v/>
      </c>
      <c r="R105" s="50">
        <f>IFERROR(VLOOKUP(B105,Deals[#All],8,FALSE),DEF_RATE)</f>
        <v/>
      </c>
      <c r="S105" s="50">
        <f>IF(Q105="","",Q105*R105)</f>
        <v/>
      </c>
      <c r="T105" s="46">
        <f>IF(O105="","PENDING",IF(Q105&gt;0,"DEMURRAGE","ON-TIME"))</f>
        <v/>
      </c>
      <c r="U105" s="46">
        <f>IF(AND(E105&lt;&gt;"",M105&lt;&gt;"",M105&lt;E105),"⚠ Arr&lt;Loaded",IF(AND(M105&lt;&gt;"",N105&lt;&gt;"",N105&lt;M105),"⚠ Off&lt;Arr","OK"))</f>
        <v/>
      </c>
      <c r="V105" s="46">
        <f>IF(E105="","",TEXT(E105,"yyyy-mm"))</f>
        <v/>
      </c>
    </row>
    <row r="106">
      <c r="B106" s="46" t="n">
        <v>190664</v>
      </c>
      <c r="C106" s="46" t="inlineStr">
        <is>
          <t>CLM-2026-008</t>
        </is>
      </c>
      <c r="D106" s="48" t="inlineStr">
        <is>
          <t>Rubis Energy Zambia</t>
        </is>
      </c>
      <c r="E106" s="47" t="n">
        <v>46141</v>
      </c>
      <c r="F106" s="48" t="inlineStr">
        <is>
          <t>Beira</t>
        </is>
      </c>
      <c r="G106" s="48" t="inlineStr">
        <is>
          <t>Lusaka</t>
        </is>
      </c>
      <c r="H106" s="48" t="inlineStr">
        <is>
          <t>PMS</t>
        </is>
      </c>
      <c r="I106" s="48" t="inlineStr">
        <is>
          <t>AKN 783 MC</t>
        </is>
      </c>
      <c r="J106" s="48" t="inlineStr">
        <is>
          <t>AH 450 MC</t>
        </is>
      </c>
      <c r="K106" s="48" t="inlineStr">
        <is>
          <t>PETRODA</t>
        </is>
      </c>
      <c r="L106" s="48" t="inlineStr">
        <is>
          <t>NILTON DERCIO ADRIANO LANGA</t>
        </is>
      </c>
      <c r="M106" s="47" t="n">
        <v>46145</v>
      </c>
      <c r="N106" s="47" t="n">
        <v>46146</v>
      </c>
      <c r="O106" s="49">
        <f>IF(OR(L106="",M106=""),"",M106-L106)</f>
        <v/>
      </c>
      <c r="P106" s="49">
        <f>IFERROR(VLOOKUP(B106,Deals[#All],7,FALSE),DEF_LAYTIME)</f>
        <v/>
      </c>
      <c r="Q106" s="49">
        <f>IF(O106="","",MAX(0,O106-P106))</f>
        <v/>
      </c>
      <c r="R106" s="50">
        <f>IFERROR(VLOOKUP(B106,Deals[#All],8,FALSE),DEF_RATE)</f>
        <v/>
      </c>
      <c r="S106" s="50">
        <f>IF(Q106="","",Q106*R106)</f>
        <v/>
      </c>
      <c r="T106" s="46">
        <f>IF(O106="","PENDING",IF(Q106&gt;0,"DEMURRAGE","ON-TIME"))</f>
        <v/>
      </c>
      <c r="U106" s="46">
        <f>IF(AND(E106&lt;&gt;"",M106&lt;&gt;"",M106&lt;E106),"⚠ Arr&lt;Loaded",IF(AND(M106&lt;&gt;"",N106&lt;&gt;"",N106&lt;M106),"⚠ Off&lt;Arr","OK"))</f>
        <v/>
      </c>
      <c r="V106" s="46">
        <f>IF(E106="","",TEXT(E106,"yyyy-mm"))</f>
        <v/>
      </c>
    </row>
    <row r="107">
      <c r="B107" s="46" t="n">
        <v>190664</v>
      </c>
      <c r="C107" s="46" t="inlineStr">
        <is>
          <t>CLM-2026-008</t>
        </is>
      </c>
      <c r="D107" s="48" t="inlineStr">
        <is>
          <t>Rubis Energy Zambia</t>
        </is>
      </c>
      <c r="E107" s="47" t="n">
        <v>46141</v>
      </c>
      <c r="F107" s="48" t="inlineStr">
        <is>
          <t>Beira</t>
        </is>
      </c>
      <c r="G107" s="48" t="inlineStr">
        <is>
          <t>Lusaka</t>
        </is>
      </c>
      <c r="H107" s="48" t="inlineStr">
        <is>
          <t>PMS</t>
        </is>
      </c>
      <c r="I107" s="48" t="inlineStr">
        <is>
          <t>ABC 257 SF</t>
        </is>
      </c>
      <c r="J107" s="48" t="inlineStr">
        <is>
          <t>AH 420 SF</t>
        </is>
      </c>
      <c r="K107" s="48" t="inlineStr">
        <is>
          <t>PETRODA</t>
        </is>
      </c>
      <c r="L107" s="48" t="inlineStr">
        <is>
          <t>INACIO NUNES LANGA</t>
        </is>
      </c>
      <c r="M107" s="47" t="n">
        <v>46145</v>
      </c>
      <c r="N107" s="47" t="n">
        <v>46146</v>
      </c>
      <c r="O107" s="49">
        <f>IF(OR(L107="",M107=""),"",M107-L107)</f>
        <v/>
      </c>
      <c r="P107" s="49">
        <f>IFERROR(VLOOKUP(B107,Deals[#All],7,FALSE),DEF_LAYTIME)</f>
        <v/>
      </c>
      <c r="Q107" s="49">
        <f>IF(O107="","",MAX(0,O107-P107))</f>
        <v/>
      </c>
      <c r="R107" s="50">
        <f>IFERROR(VLOOKUP(B107,Deals[#All],8,FALSE),DEF_RATE)</f>
        <v/>
      </c>
      <c r="S107" s="50">
        <f>IF(Q107="","",Q107*R107)</f>
        <v/>
      </c>
      <c r="T107" s="46">
        <f>IF(O107="","PENDING",IF(Q107&gt;0,"DEMURRAGE","ON-TIME"))</f>
        <v/>
      </c>
      <c r="U107" s="46">
        <f>IF(AND(E107&lt;&gt;"",M107&lt;&gt;"",M107&lt;E107),"⚠ Arr&lt;Loaded",IF(AND(M107&lt;&gt;"",N107&lt;&gt;"",N107&lt;M107),"⚠ Off&lt;Arr","OK"))</f>
        <v/>
      </c>
      <c r="V107" s="46">
        <f>IF(E107="","",TEXT(E107,"yyyy-mm"))</f>
        <v/>
      </c>
    </row>
    <row r="108">
      <c r="B108" s="46" t="n">
        <v>190664</v>
      </c>
      <c r="C108" s="46" t="inlineStr">
        <is>
          <t>CLM-2026-008</t>
        </is>
      </c>
      <c r="D108" s="48" t="inlineStr">
        <is>
          <t>Rubis Energy Zambia</t>
        </is>
      </c>
      <c r="E108" s="47" t="n">
        <v>46141</v>
      </c>
      <c r="F108" s="48" t="inlineStr">
        <is>
          <t>Beira</t>
        </is>
      </c>
      <c r="G108" s="48" t="inlineStr">
        <is>
          <t>Lusaka</t>
        </is>
      </c>
      <c r="H108" s="48" t="inlineStr">
        <is>
          <t>PMS</t>
        </is>
      </c>
      <c r="I108" s="48" t="inlineStr">
        <is>
          <t>AKO 096 MC</t>
        </is>
      </c>
      <c r="J108" s="48" t="inlineStr">
        <is>
          <t>AH 452 MC</t>
        </is>
      </c>
      <c r="K108" s="48" t="inlineStr">
        <is>
          <t>PETRODA</t>
        </is>
      </c>
      <c r="L108" s="48" t="inlineStr">
        <is>
          <t>EMIDIO SEBASTIAO JOAO MUSSAFE</t>
        </is>
      </c>
      <c r="M108" s="47" t="n">
        <v>46145</v>
      </c>
      <c r="N108" s="47" t="n">
        <v>46146</v>
      </c>
      <c r="O108" s="49">
        <f>IF(OR(L108="",M108=""),"",M108-L108)</f>
        <v/>
      </c>
      <c r="P108" s="49">
        <f>IFERROR(VLOOKUP(B108,Deals[#All],7,FALSE),DEF_LAYTIME)</f>
        <v/>
      </c>
      <c r="Q108" s="49">
        <f>IF(O108="","",MAX(0,O108-P108))</f>
        <v/>
      </c>
      <c r="R108" s="50">
        <f>IFERROR(VLOOKUP(B108,Deals[#All],8,FALSE),DEF_RATE)</f>
        <v/>
      </c>
      <c r="S108" s="50">
        <f>IF(Q108="","",Q108*R108)</f>
        <v/>
      </c>
      <c r="T108" s="46">
        <f>IF(O108="","PENDING",IF(Q108&gt;0,"DEMURRAGE","ON-TIME"))</f>
        <v/>
      </c>
      <c r="U108" s="46">
        <f>IF(AND(E108&lt;&gt;"",M108&lt;&gt;"",M108&lt;E108),"⚠ Arr&lt;Loaded",IF(AND(M108&lt;&gt;"",N108&lt;&gt;"",N108&lt;M108),"⚠ Off&lt;Arr","OK"))</f>
        <v/>
      </c>
      <c r="V108" s="46">
        <f>IF(E108="","",TEXT(E108,"yyyy-mm"))</f>
        <v/>
      </c>
    </row>
    <row r="109">
      <c r="B109" s="46" t="n">
        <v>190664</v>
      </c>
      <c r="C109" s="46" t="inlineStr">
        <is>
          <t>CLM-2026-008</t>
        </is>
      </c>
      <c r="D109" s="48" t="inlineStr">
        <is>
          <t>Rubis Energy Zambia</t>
        </is>
      </c>
      <c r="E109" s="47" t="n">
        <v>46142</v>
      </c>
      <c r="F109" s="48" t="inlineStr">
        <is>
          <t>Beira</t>
        </is>
      </c>
      <c r="G109" s="48" t="inlineStr">
        <is>
          <t>Lusaka</t>
        </is>
      </c>
      <c r="H109" s="48" t="inlineStr">
        <is>
          <t>PMS</t>
        </is>
      </c>
      <c r="I109" s="48" t="inlineStr">
        <is>
          <t>ABC 284 SF</t>
        </is>
      </c>
      <c r="J109" s="48" t="inlineStr">
        <is>
          <t>AH 384 SF</t>
        </is>
      </c>
      <c r="K109" s="48" t="inlineStr">
        <is>
          <t>PETRODA</t>
        </is>
      </c>
      <c r="L109" s="48" t="inlineStr">
        <is>
          <t>FRANCISCO ZACARIAS</t>
        </is>
      </c>
      <c r="M109" s="47" t="n">
        <v>46148</v>
      </c>
      <c r="N109" s="47" t="n">
        <v>46148</v>
      </c>
      <c r="O109" s="49">
        <f>IF(OR(L109="",M109=""),"",M109-L109)</f>
        <v/>
      </c>
      <c r="P109" s="49">
        <f>IFERROR(VLOOKUP(B109,Deals[#All],7,FALSE),DEF_LAYTIME)</f>
        <v/>
      </c>
      <c r="Q109" s="49">
        <f>IF(O109="","",MAX(0,O109-P109))</f>
        <v/>
      </c>
      <c r="R109" s="50">
        <f>IFERROR(VLOOKUP(B109,Deals[#All],8,FALSE),DEF_RATE)</f>
        <v/>
      </c>
      <c r="S109" s="50">
        <f>IF(Q109="","",Q109*R109)</f>
        <v/>
      </c>
      <c r="T109" s="46">
        <f>IF(O109="","PENDING",IF(Q109&gt;0,"DEMURRAGE","ON-TIME"))</f>
        <v/>
      </c>
      <c r="U109" s="46">
        <f>IF(AND(E109&lt;&gt;"",M109&lt;&gt;"",M109&lt;E109),"⚠ Arr&lt;Loaded",IF(AND(M109&lt;&gt;"",N109&lt;&gt;"",N109&lt;M109),"⚠ Off&lt;Arr","OK"))</f>
        <v/>
      </c>
      <c r="V109" s="46">
        <f>IF(E109="","",TEXT(E109,"yyyy-mm"))</f>
        <v/>
      </c>
    </row>
    <row r="110">
      <c r="B110" s="46" t="n">
        <v>190664</v>
      </c>
      <c r="C110" s="46" t="inlineStr">
        <is>
          <t>CLM-2026-008</t>
        </is>
      </c>
      <c r="D110" s="48" t="inlineStr">
        <is>
          <t>Rubis Energy Zambia</t>
        </is>
      </c>
      <c r="E110" s="47" t="n">
        <v>46141</v>
      </c>
      <c r="F110" s="48" t="inlineStr">
        <is>
          <t>Beira</t>
        </is>
      </c>
      <c r="G110" s="48" t="inlineStr">
        <is>
          <t>Lusaka</t>
        </is>
      </c>
      <c r="H110" s="48" t="inlineStr">
        <is>
          <t>PMS</t>
        </is>
      </c>
      <c r="I110" s="48" t="inlineStr">
        <is>
          <t>AKN 009 MC</t>
        </is>
      </c>
      <c r="J110" s="48" t="inlineStr">
        <is>
          <t>AH 463 MC</t>
        </is>
      </c>
      <c r="K110" s="48" t="inlineStr">
        <is>
          <t>PETRODA</t>
        </is>
      </c>
      <c r="L110" s="48" t="inlineStr">
        <is>
          <t>JOAQUIM FRANCISCO HAMELA</t>
        </is>
      </c>
      <c r="M110" s="47" t="n">
        <v>46145</v>
      </c>
      <c r="N110" s="47" t="n">
        <v>46146</v>
      </c>
      <c r="O110" s="49">
        <f>IF(OR(L110="",M110=""),"",M110-L110)</f>
        <v/>
      </c>
      <c r="P110" s="49">
        <f>IFERROR(VLOOKUP(B110,Deals[#All],7,FALSE),DEF_LAYTIME)</f>
        <v/>
      </c>
      <c r="Q110" s="49">
        <f>IF(O110="","",MAX(0,O110-P110))</f>
        <v/>
      </c>
      <c r="R110" s="50">
        <f>IFERROR(VLOOKUP(B110,Deals[#All],8,FALSE),DEF_RATE)</f>
        <v/>
      </c>
      <c r="S110" s="50">
        <f>IF(Q110="","",Q110*R110)</f>
        <v/>
      </c>
      <c r="T110" s="46">
        <f>IF(O110="","PENDING",IF(Q110&gt;0,"DEMURRAGE","ON-TIME"))</f>
        <v/>
      </c>
      <c r="U110" s="46">
        <f>IF(AND(E110&lt;&gt;"",M110&lt;&gt;"",M110&lt;E110),"⚠ Arr&lt;Loaded",IF(AND(M110&lt;&gt;"",N110&lt;&gt;"",N110&lt;M110),"⚠ Off&lt;Arr","OK"))</f>
        <v/>
      </c>
      <c r="V110" s="46">
        <f>IF(E110="","",TEXT(E110,"yyyy-mm"))</f>
        <v/>
      </c>
    </row>
    <row r="111">
      <c r="B111" s="46" t="n">
        <v>190664</v>
      </c>
      <c r="C111" s="46" t="inlineStr">
        <is>
          <t>CLM-2026-008</t>
        </is>
      </c>
      <c r="D111" s="48" t="inlineStr">
        <is>
          <t>Rubis Energy Zambia</t>
        </is>
      </c>
      <c r="E111" s="47" t="n">
        <v>46144</v>
      </c>
      <c r="F111" s="48" t="inlineStr">
        <is>
          <t>Beira</t>
        </is>
      </c>
      <c r="G111" s="48" t="inlineStr">
        <is>
          <t>Lusaka</t>
        </is>
      </c>
      <c r="H111" s="48" t="inlineStr">
        <is>
          <t>PMS</t>
        </is>
      </c>
      <c r="I111" s="48" t="inlineStr">
        <is>
          <t>AKN 812 MC</t>
        </is>
      </c>
      <c r="J111" s="48" t="inlineStr">
        <is>
          <t>AH 439 MC</t>
        </is>
      </c>
      <c r="K111" s="48" t="inlineStr">
        <is>
          <t>PETRODA</t>
        </is>
      </c>
      <c r="L111" s="48" t="inlineStr">
        <is>
          <t>MOISES BACALEUANE ARROZ</t>
        </is>
      </c>
      <c r="M111" s="47" t="n">
        <v>46148</v>
      </c>
      <c r="N111" s="47" t="n">
        <v>46150</v>
      </c>
      <c r="O111" s="49">
        <f>IF(OR(L111="",M111=""),"",M111-L111)</f>
        <v/>
      </c>
      <c r="P111" s="49">
        <f>IFERROR(VLOOKUP(B111,Deals[#All],7,FALSE),DEF_LAYTIME)</f>
        <v/>
      </c>
      <c r="Q111" s="49">
        <f>IF(O111="","",MAX(0,O111-P111))</f>
        <v/>
      </c>
      <c r="R111" s="50">
        <f>IFERROR(VLOOKUP(B111,Deals[#All],8,FALSE),DEF_RATE)</f>
        <v/>
      </c>
      <c r="S111" s="50">
        <f>IF(Q111="","",Q111*R111)</f>
        <v/>
      </c>
      <c r="T111" s="46">
        <f>IF(O111="","PENDING",IF(Q111&gt;0,"DEMURRAGE","ON-TIME"))</f>
        <v/>
      </c>
      <c r="U111" s="46">
        <f>IF(AND(E111&lt;&gt;"",M111&lt;&gt;"",M111&lt;E111),"⚠ Arr&lt;Loaded",IF(AND(M111&lt;&gt;"",N111&lt;&gt;"",N111&lt;M111),"⚠ Off&lt;Arr","OK"))</f>
        <v/>
      </c>
      <c r="V111" s="46">
        <f>IF(E111="","",TEXT(E111,"yyyy-mm"))</f>
        <v/>
      </c>
    </row>
    <row r="112">
      <c r="B112" s="46" t="n">
        <v>190664</v>
      </c>
      <c r="C112" s="46" t="inlineStr">
        <is>
          <t>CLM-2026-008</t>
        </is>
      </c>
      <c r="D112" s="48" t="inlineStr">
        <is>
          <t>Rubis Energy Zambia</t>
        </is>
      </c>
      <c r="E112" s="47" t="n">
        <v>46141</v>
      </c>
      <c r="F112" s="48" t="inlineStr">
        <is>
          <t>Beira</t>
        </is>
      </c>
      <c r="G112" s="48" t="inlineStr">
        <is>
          <t>Lusaka</t>
        </is>
      </c>
      <c r="H112" s="48" t="inlineStr">
        <is>
          <t>PMS</t>
        </is>
      </c>
      <c r="I112" s="48" t="inlineStr">
        <is>
          <t>ABC 291 SF</t>
        </is>
      </c>
      <c r="J112" s="48" t="inlineStr">
        <is>
          <t>AH 391 SF</t>
        </is>
      </c>
      <c r="K112" s="48" t="inlineStr">
        <is>
          <t>PETRODA</t>
        </is>
      </c>
      <c r="L112" s="48" t="inlineStr">
        <is>
          <t xml:space="preserve">JONE BERNARDO QUIPA </t>
        </is>
      </c>
      <c r="M112" s="47" t="n">
        <v>46145</v>
      </c>
      <c r="N112" s="47" t="n">
        <v>46146</v>
      </c>
      <c r="O112" s="49">
        <f>IF(OR(L112="",M112=""),"",M112-L112)</f>
        <v/>
      </c>
      <c r="P112" s="49">
        <f>IFERROR(VLOOKUP(B112,Deals[#All],7,FALSE),DEF_LAYTIME)</f>
        <v/>
      </c>
      <c r="Q112" s="49">
        <f>IF(O112="","",MAX(0,O112-P112))</f>
        <v/>
      </c>
      <c r="R112" s="50">
        <f>IFERROR(VLOOKUP(B112,Deals[#All],8,FALSE),DEF_RATE)</f>
        <v/>
      </c>
      <c r="S112" s="50">
        <f>IF(Q112="","",Q112*R112)</f>
        <v/>
      </c>
      <c r="T112" s="46">
        <f>IF(O112="","PENDING",IF(Q112&gt;0,"DEMURRAGE","ON-TIME"))</f>
        <v/>
      </c>
      <c r="U112" s="46">
        <f>IF(AND(E112&lt;&gt;"",M112&lt;&gt;"",M112&lt;E112),"⚠ Arr&lt;Loaded",IF(AND(M112&lt;&gt;"",N112&lt;&gt;"",N112&lt;M112),"⚠ Off&lt;Arr","OK"))</f>
        <v/>
      </c>
      <c r="V112" s="46">
        <f>IF(E112="","",TEXT(E112,"yyyy-mm"))</f>
        <v/>
      </c>
    </row>
    <row r="113">
      <c r="B113" s="46" t="n">
        <v>191610</v>
      </c>
      <c r="C113" s="46" t="inlineStr">
        <is>
          <t>CLM-2026-009</t>
        </is>
      </c>
      <c r="D113" s="48" t="inlineStr">
        <is>
          <t>Rubis Energy Zambia</t>
        </is>
      </c>
      <c r="E113" s="47" t="n">
        <v>46151</v>
      </c>
      <c r="F113" s="48" t="inlineStr">
        <is>
          <t>Beira</t>
        </is>
      </c>
      <c r="G113" s="48" t="inlineStr">
        <is>
          <t>Lusaka</t>
        </is>
      </c>
      <c r="H113" s="48" t="inlineStr">
        <is>
          <t>PMS</t>
        </is>
      </c>
      <c r="I113" s="48" t="n"/>
      <c r="J113" s="48" t="n"/>
      <c r="K113" s="48" t="n"/>
      <c r="L113" s="48" t="n"/>
      <c r="M113" s="47" t="n"/>
      <c r="N113" s="47" t="n"/>
      <c r="O113" s="49">
        <f>IF(OR(L113="",M113=""),"",M113-L113)</f>
        <v/>
      </c>
      <c r="P113" s="49">
        <f>IFERROR(VLOOKUP(B113,Deals[#All],7,FALSE),DEF_LAYTIME)</f>
        <v/>
      </c>
      <c r="Q113" s="49">
        <f>IF(O113="","",MAX(0,O113-P113))</f>
        <v/>
      </c>
      <c r="R113" s="50">
        <f>IFERROR(VLOOKUP(B113,Deals[#All],8,FALSE),DEF_RATE)</f>
        <v/>
      </c>
      <c r="S113" s="50">
        <f>IF(Q113="","",Q113*R113)</f>
        <v/>
      </c>
      <c r="T113" s="46">
        <f>IF(O113="","PENDING",IF(Q113&gt;0,"DEMURRAGE","ON-TIME"))</f>
        <v/>
      </c>
      <c r="U113" s="46">
        <f>IF(AND(E113&lt;&gt;"",M113&lt;&gt;"",M113&lt;E113),"⚠ Arr&lt;Loaded",IF(AND(M113&lt;&gt;"",N113&lt;&gt;"",N113&lt;M113),"⚠ Off&lt;Arr","OK"))</f>
        <v/>
      </c>
      <c r="V113" s="46">
        <f>IF(E113="","",TEXT(E113,"yyyy-mm"))</f>
        <v/>
      </c>
    </row>
    <row r="114">
      <c r="B114" s="46" t="n">
        <v>191610</v>
      </c>
      <c r="C114" s="46" t="inlineStr">
        <is>
          <t>CLM-2026-009</t>
        </is>
      </c>
      <c r="D114" s="48" t="inlineStr">
        <is>
          <t>Rubis Energy Zambia</t>
        </is>
      </c>
      <c r="E114" s="47" t="n">
        <v>46150</v>
      </c>
      <c r="F114" s="48" t="inlineStr">
        <is>
          <t>Beira</t>
        </is>
      </c>
      <c r="G114" s="48" t="inlineStr">
        <is>
          <t>Lusaka</t>
        </is>
      </c>
      <c r="H114" s="48" t="inlineStr">
        <is>
          <t>PMS</t>
        </is>
      </c>
      <c r="I114" s="48" t="n"/>
      <c r="J114" s="48" t="n"/>
      <c r="K114" s="48" t="n"/>
      <c r="L114" s="48" t="n"/>
      <c r="M114" s="47" t="n"/>
      <c r="N114" s="47" t="n"/>
      <c r="O114" s="49">
        <f>IF(OR(L114="",M114=""),"",M114-L114)</f>
        <v/>
      </c>
      <c r="P114" s="49">
        <f>IFERROR(VLOOKUP(B114,Deals[#All],7,FALSE),DEF_LAYTIME)</f>
        <v/>
      </c>
      <c r="Q114" s="49">
        <f>IF(O114="","",MAX(0,O114-P114))</f>
        <v/>
      </c>
      <c r="R114" s="50">
        <f>IFERROR(VLOOKUP(B114,Deals[#All],8,FALSE),DEF_RATE)</f>
        <v/>
      </c>
      <c r="S114" s="50">
        <f>IF(Q114="","",Q114*R114)</f>
        <v/>
      </c>
      <c r="T114" s="46">
        <f>IF(O114="","PENDING",IF(Q114&gt;0,"DEMURRAGE","ON-TIME"))</f>
        <v/>
      </c>
      <c r="U114" s="46">
        <f>IF(AND(E114&lt;&gt;"",M114&lt;&gt;"",M114&lt;E114),"⚠ Arr&lt;Loaded",IF(AND(M114&lt;&gt;"",N114&lt;&gt;"",N114&lt;M114),"⚠ Off&lt;Arr","OK"))</f>
        <v/>
      </c>
      <c r="V114" s="46">
        <f>IF(E114="","",TEXT(E114,"yyyy-mm"))</f>
        <v/>
      </c>
    </row>
    <row r="115">
      <c r="B115" s="46" t="n">
        <v>191610</v>
      </c>
      <c r="C115" s="46" t="inlineStr">
        <is>
          <t>CLM-2026-009</t>
        </is>
      </c>
      <c r="D115" s="48" t="inlineStr">
        <is>
          <t>Rubis Energy Zambia</t>
        </is>
      </c>
      <c r="E115" s="47" t="n">
        <v>46151</v>
      </c>
      <c r="F115" s="48" t="inlineStr">
        <is>
          <t>Beira</t>
        </is>
      </c>
      <c r="G115" s="48" t="inlineStr">
        <is>
          <t>Lusaka</t>
        </is>
      </c>
      <c r="H115" s="48" t="inlineStr">
        <is>
          <t>PMS</t>
        </is>
      </c>
      <c r="I115" s="48" t="n"/>
      <c r="J115" s="48" t="n"/>
      <c r="K115" s="48" t="n"/>
      <c r="L115" s="48" t="n"/>
      <c r="M115" s="47" t="n"/>
      <c r="N115" s="47" t="n"/>
      <c r="O115" s="49">
        <f>IF(OR(L115="",M115=""),"",M115-L115)</f>
        <v/>
      </c>
      <c r="P115" s="49">
        <f>IFERROR(VLOOKUP(B115,Deals[#All],7,FALSE),DEF_LAYTIME)</f>
        <v/>
      </c>
      <c r="Q115" s="49">
        <f>IF(O115="","",MAX(0,O115-P115))</f>
        <v/>
      </c>
      <c r="R115" s="50">
        <f>IFERROR(VLOOKUP(B115,Deals[#All],8,FALSE),DEF_RATE)</f>
        <v/>
      </c>
      <c r="S115" s="50">
        <f>IF(Q115="","",Q115*R115)</f>
        <v/>
      </c>
      <c r="T115" s="46">
        <f>IF(O115="","PENDING",IF(Q115&gt;0,"DEMURRAGE","ON-TIME"))</f>
        <v/>
      </c>
      <c r="U115" s="46">
        <f>IF(AND(E115&lt;&gt;"",M115&lt;&gt;"",M115&lt;E115),"⚠ Arr&lt;Loaded",IF(AND(M115&lt;&gt;"",N115&lt;&gt;"",N115&lt;M115),"⚠ Off&lt;Arr","OK"))</f>
        <v/>
      </c>
      <c r="V115" s="46">
        <f>IF(E115="","",TEXT(E115,"yyyy-mm"))</f>
        <v/>
      </c>
    </row>
    <row r="116">
      <c r="B116" s="46" t="n">
        <v>191610</v>
      </c>
      <c r="C116" s="46" t="inlineStr">
        <is>
          <t>CLM-2026-009</t>
        </is>
      </c>
      <c r="D116" s="48" t="inlineStr">
        <is>
          <t>Rubis Energy Zambia</t>
        </is>
      </c>
      <c r="E116" s="47" t="n">
        <v>46151</v>
      </c>
      <c r="F116" s="48" t="inlineStr">
        <is>
          <t>Beira</t>
        </is>
      </c>
      <c r="G116" s="48" t="inlineStr">
        <is>
          <t>Lusaka</t>
        </is>
      </c>
      <c r="H116" s="48" t="inlineStr">
        <is>
          <t>PMS</t>
        </is>
      </c>
      <c r="I116" s="48" t="n"/>
      <c r="J116" s="48" t="n"/>
      <c r="K116" s="48" t="n"/>
      <c r="L116" s="48" t="n"/>
      <c r="M116" s="47" t="n"/>
      <c r="N116" s="47" t="n"/>
      <c r="O116" s="49">
        <f>IF(OR(L116="",M116=""),"",M116-L116)</f>
        <v/>
      </c>
      <c r="P116" s="49">
        <f>IFERROR(VLOOKUP(B116,Deals[#All],7,FALSE),DEF_LAYTIME)</f>
        <v/>
      </c>
      <c r="Q116" s="49">
        <f>IF(O116="","",MAX(0,O116-P116))</f>
        <v/>
      </c>
      <c r="R116" s="50">
        <f>IFERROR(VLOOKUP(B116,Deals[#All],8,FALSE),DEF_RATE)</f>
        <v/>
      </c>
      <c r="S116" s="50">
        <f>IF(Q116="","",Q116*R116)</f>
        <v/>
      </c>
      <c r="T116" s="46">
        <f>IF(O116="","PENDING",IF(Q116&gt;0,"DEMURRAGE","ON-TIME"))</f>
        <v/>
      </c>
      <c r="U116" s="46">
        <f>IF(AND(E116&lt;&gt;"",M116&lt;&gt;"",M116&lt;E116),"⚠ Arr&lt;Loaded",IF(AND(M116&lt;&gt;"",N116&lt;&gt;"",N116&lt;M116),"⚠ Off&lt;Arr","OK"))</f>
        <v/>
      </c>
      <c r="V116" s="46">
        <f>IF(E116="","",TEXT(E116,"yyyy-mm"))</f>
        <v/>
      </c>
    </row>
    <row r="117">
      <c r="B117" s="46" t="n">
        <v>191610</v>
      </c>
      <c r="C117" s="46" t="inlineStr">
        <is>
          <t>CLM-2026-009</t>
        </is>
      </c>
      <c r="D117" s="48" t="inlineStr">
        <is>
          <t>Rubis Energy Zambia</t>
        </is>
      </c>
      <c r="E117" s="47" t="n">
        <v>46151</v>
      </c>
      <c r="F117" s="48" t="inlineStr">
        <is>
          <t>Beira</t>
        </is>
      </c>
      <c r="G117" s="48" t="inlineStr">
        <is>
          <t>Lusaka</t>
        </is>
      </c>
      <c r="H117" s="48" t="inlineStr">
        <is>
          <t>PMS</t>
        </is>
      </c>
      <c r="I117" s="48" t="n"/>
      <c r="J117" s="48" t="n"/>
      <c r="K117" s="48" t="n"/>
      <c r="L117" s="48" t="n"/>
      <c r="M117" s="47" t="n"/>
      <c r="N117" s="47" t="n"/>
      <c r="O117" s="49">
        <f>IF(OR(L117="",M117=""),"",M117-L117)</f>
        <v/>
      </c>
      <c r="P117" s="49">
        <f>IFERROR(VLOOKUP(B117,Deals[#All],7,FALSE),DEF_LAYTIME)</f>
        <v/>
      </c>
      <c r="Q117" s="49">
        <f>IF(O117="","",MAX(0,O117-P117))</f>
        <v/>
      </c>
      <c r="R117" s="50">
        <f>IFERROR(VLOOKUP(B117,Deals[#All],8,FALSE),DEF_RATE)</f>
        <v/>
      </c>
      <c r="S117" s="50">
        <f>IF(Q117="","",Q117*R117)</f>
        <v/>
      </c>
      <c r="T117" s="46">
        <f>IF(O117="","PENDING",IF(Q117&gt;0,"DEMURRAGE","ON-TIME"))</f>
        <v/>
      </c>
      <c r="U117" s="46">
        <f>IF(AND(E117&lt;&gt;"",M117&lt;&gt;"",M117&lt;E117),"⚠ Arr&lt;Loaded",IF(AND(M117&lt;&gt;"",N117&lt;&gt;"",N117&lt;M117),"⚠ Off&lt;Arr","OK"))</f>
        <v/>
      </c>
      <c r="V117" s="46">
        <f>IF(E117="","",TEXT(E117,"yyyy-mm"))</f>
        <v/>
      </c>
    </row>
    <row r="118">
      <c r="B118" s="46" t="n">
        <v>191610</v>
      </c>
      <c r="C118" s="46" t="inlineStr">
        <is>
          <t>CLM-2026-009</t>
        </is>
      </c>
      <c r="D118" s="48" t="inlineStr">
        <is>
          <t>Rubis Energy Zambia</t>
        </is>
      </c>
      <c r="E118" s="47" t="n">
        <v>46150</v>
      </c>
      <c r="F118" s="48" t="inlineStr">
        <is>
          <t>Beira</t>
        </is>
      </c>
      <c r="G118" s="48" t="inlineStr">
        <is>
          <t>Lusaka</t>
        </is>
      </c>
      <c r="H118" s="48" t="inlineStr">
        <is>
          <t>PMS</t>
        </is>
      </c>
      <c r="I118" s="48" t="n"/>
      <c r="J118" s="48" t="n"/>
      <c r="K118" s="48" t="n"/>
      <c r="L118" s="48" t="n"/>
      <c r="M118" s="47" t="n"/>
      <c r="N118" s="47" t="n"/>
      <c r="O118" s="49">
        <f>IF(OR(L118="",M118=""),"",M118-L118)</f>
        <v/>
      </c>
      <c r="P118" s="49">
        <f>IFERROR(VLOOKUP(B118,Deals[#All],7,FALSE),DEF_LAYTIME)</f>
        <v/>
      </c>
      <c r="Q118" s="49">
        <f>IF(O118="","",MAX(0,O118-P118))</f>
        <v/>
      </c>
      <c r="R118" s="50">
        <f>IFERROR(VLOOKUP(B118,Deals[#All],8,FALSE),DEF_RATE)</f>
        <v/>
      </c>
      <c r="S118" s="50">
        <f>IF(Q118="","",Q118*R118)</f>
        <v/>
      </c>
      <c r="T118" s="46">
        <f>IF(O118="","PENDING",IF(Q118&gt;0,"DEMURRAGE","ON-TIME"))</f>
        <v/>
      </c>
      <c r="U118" s="46">
        <f>IF(AND(E118&lt;&gt;"",M118&lt;&gt;"",M118&lt;E118),"⚠ Arr&lt;Loaded",IF(AND(M118&lt;&gt;"",N118&lt;&gt;"",N118&lt;M118),"⚠ Off&lt;Arr","OK"))</f>
        <v/>
      </c>
      <c r="V118" s="46">
        <f>IF(E118="","",TEXT(E118,"yyyy-mm"))</f>
        <v/>
      </c>
    </row>
    <row r="119">
      <c r="B119" s="46" t="n">
        <v>191610</v>
      </c>
      <c r="C119" s="46" t="inlineStr">
        <is>
          <t>CLM-2026-009</t>
        </is>
      </c>
      <c r="D119" s="48" t="inlineStr">
        <is>
          <t>Rubis Energy Zambia</t>
        </is>
      </c>
      <c r="E119" s="47" t="n">
        <v>46150</v>
      </c>
      <c r="F119" s="48" t="inlineStr">
        <is>
          <t>Beira</t>
        </is>
      </c>
      <c r="G119" s="48" t="inlineStr">
        <is>
          <t>Lusaka</t>
        </is>
      </c>
      <c r="H119" s="48" t="inlineStr">
        <is>
          <t>PMS</t>
        </is>
      </c>
      <c r="I119" s="48" t="n"/>
      <c r="J119" s="48" t="n"/>
      <c r="K119" s="48" t="n"/>
      <c r="L119" s="48" t="n"/>
      <c r="M119" s="47" t="n"/>
      <c r="N119" s="47" t="n"/>
      <c r="O119" s="49">
        <f>IF(OR(L119="",M119=""),"",M119-L119)</f>
        <v/>
      </c>
      <c r="P119" s="49">
        <f>IFERROR(VLOOKUP(B119,Deals[#All],7,FALSE),DEF_LAYTIME)</f>
        <v/>
      </c>
      <c r="Q119" s="49">
        <f>IF(O119="","",MAX(0,O119-P119))</f>
        <v/>
      </c>
      <c r="R119" s="50">
        <f>IFERROR(VLOOKUP(B119,Deals[#All],8,FALSE),DEF_RATE)</f>
        <v/>
      </c>
      <c r="S119" s="50">
        <f>IF(Q119="","",Q119*R119)</f>
        <v/>
      </c>
      <c r="T119" s="46">
        <f>IF(O119="","PENDING",IF(Q119&gt;0,"DEMURRAGE","ON-TIME"))</f>
        <v/>
      </c>
      <c r="U119" s="46">
        <f>IF(AND(E119&lt;&gt;"",M119&lt;&gt;"",M119&lt;E119),"⚠ Arr&lt;Loaded",IF(AND(M119&lt;&gt;"",N119&lt;&gt;"",N119&lt;M119),"⚠ Off&lt;Arr","OK"))</f>
        <v/>
      </c>
      <c r="V119" s="46">
        <f>IF(E119="","",TEXT(E119,"yyyy-mm"))</f>
        <v/>
      </c>
    </row>
    <row r="120">
      <c r="B120" s="46" t="n">
        <v>191610</v>
      </c>
      <c r="C120" s="46" t="inlineStr">
        <is>
          <t>CLM-2026-009</t>
        </is>
      </c>
      <c r="D120" s="48" t="inlineStr">
        <is>
          <t>Rubis Energy Zambia</t>
        </is>
      </c>
      <c r="E120" s="47" t="n">
        <v>46150</v>
      </c>
      <c r="F120" s="48" t="inlineStr">
        <is>
          <t>Beira</t>
        </is>
      </c>
      <c r="G120" s="48" t="inlineStr">
        <is>
          <t>Lusaka</t>
        </is>
      </c>
      <c r="H120" s="48" t="inlineStr">
        <is>
          <t>PMS</t>
        </is>
      </c>
      <c r="I120" s="48" t="n"/>
      <c r="J120" s="48" t="n"/>
      <c r="K120" s="48" t="n"/>
      <c r="L120" s="48" t="n"/>
      <c r="M120" s="47" t="n"/>
      <c r="N120" s="47" t="n"/>
      <c r="O120" s="49">
        <f>IF(OR(L120="",M120=""),"",M120-L120)</f>
        <v/>
      </c>
      <c r="P120" s="49">
        <f>IFERROR(VLOOKUP(B120,Deals[#All],7,FALSE),DEF_LAYTIME)</f>
        <v/>
      </c>
      <c r="Q120" s="49">
        <f>IF(O120="","",MAX(0,O120-P120))</f>
        <v/>
      </c>
      <c r="R120" s="50">
        <f>IFERROR(VLOOKUP(B120,Deals[#All],8,FALSE),DEF_RATE)</f>
        <v/>
      </c>
      <c r="S120" s="50">
        <f>IF(Q120="","",Q120*R120)</f>
        <v/>
      </c>
      <c r="T120" s="46">
        <f>IF(O120="","PENDING",IF(Q120&gt;0,"DEMURRAGE","ON-TIME"))</f>
        <v/>
      </c>
      <c r="U120" s="46">
        <f>IF(AND(E120&lt;&gt;"",M120&lt;&gt;"",M120&lt;E120),"⚠ Arr&lt;Loaded",IF(AND(M120&lt;&gt;"",N120&lt;&gt;"",N120&lt;M120),"⚠ Off&lt;Arr","OK"))</f>
        <v/>
      </c>
      <c r="V120" s="46">
        <f>IF(E120="","",TEXT(E120,"yyyy-mm"))</f>
        <v/>
      </c>
    </row>
    <row r="121">
      <c r="B121" s="46" t="n">
        <v>191610</v>
      </c>
      <c r="C121" s="46" t="inlineStr">
        <is>
          <t>CLM-2026-009</t>
        </is>
      </c>
      <c r="D121" s="48" t="inlineStr">
        <is>
          <t>Rubis Energy Zambia</t>
        </is>
      </c>
      <c r="E121" s="47" t="n">
        <v>46151</v>
      </c>
      <c r="F121" s="48" t="inlineStr">
        <is>
          <t>Beira</t>
        </is>
      </c>
      <c r="G121" s="48" t="inlineStr">
        <is>
          <t>Lusaka</t>
        </is>
      </c>
      <c r="H121" s="48" t="inlineStr">
        <is>
          <t>PMS</t>
        </is>
      </c>
      <c r="I121" s="48" t="n"/>
      <c r="J121" s="48" t="n"/>
      <c r="K121" s="48" t="n"/>
      <c r="L121" s="48" t="n"/>
      <c r="M121" s="47" t="n"/>
      <c r="N121" s="47" t="n"/>
      <c r="O121" s="49">
        <f>IF(OR(L121="",M121=""),"",M121-L121)</f>
        <v/>
      </c>
      <c r="P121" s="49">
        <f>IFERROR(VLOOKUP(B121,Deals[#All],7,FALSE),DEF_LAYTIME)</f>
        <v/>
      </c>
      <c r="Q121" s="49">
        <f>IF(O121="","",MAX(0,O121-P121))</f>
        <v/>
      </c>
      <c r="R121" s="50">
        <f>IFERROR(VLOOKUP(B121,Deals[#All],8,FALSE),DEF_RATE)</f>
        <v/>
      </c>
      <c r="S121" s="50">
        <f>IF(Q121="","",Q121*R121)</f>
        <v/>
      </c>
      <c r="T121" s="46">
        <f>IF(O121="","PENDING",IF(Q121&gt;0,"DEMURRAGE","ON-TIME"))</f>
        <v/>
      </c>
      <c r="U121" s="46">
        <f>IF(AND(E121&lt;&gt;"",M121&lt;&gt;"",M121&lt;E121),"⚠ Arr&lt;Loaded",IF(AND(M121&lt;&gt;"",N121&lt;&gt;"",N121&lt;M121),"⚠ Off&lt;Arr","OK"))</f>
        <v/>
      </c>
      <c r="V121" s="46">
        <f>IF(E121="","",TEXT(E121,"yyyy-mm"))</f>
        <v/>
      </c>
    </row>
    <row r="122">
      <c r="B122" s="46" t="n">
        <v>191610</v>
      </c>
      <c r="C122" s="46" t="inlineStr">
        <is>
          <t>CLM-2026-009</t>
        </is>
      </c>
      <c r="D122" s="48" t="inlineStr">
        <is>
          <t>Rubis Energy Zambia</t>
        </is>
      </c>
      <c r="E122" s="47" t="n">
        <v>46151</v>
      </c>
      <c r="F122" s="48" t="inlineStr">
        <is>
          <t>Beira</t>
        </is>
      </c>
      <c r="G122" s="48" t="inlineStr">
        <is>
          <t>Lusaka</t>
        </is>
      </c>
      <c r="H122" s="48" t="inlineStr">
        <is>
          <t>PMS</t>
        </is>
      </c>
      <c r="I122" s="48" t="n"/>
      <c r="J122" s="48" t="n"/>
      <c r="K122" s="48" t="n"/>
      <c r="L122" s="48" t="n"/>
      <c r="M122" s="47" t="n"/>
      <c r="N122" s="47" t="n"/>
      <c r="O122" s="49">
        <f>IF(OR(L122="",M122=""),"",M122-L122)</f>
        <v/>
      </c>
      <c r="P122" s="49">
        <f>IFERROR(VLOOKUP(B122,Deals[#All],7,FALSE),DEF_LAYTIME)</f>
        <v/>
      </c>
      <c r="Q122" s="49">
        <f>IF(O122="","",MAX(0,O122-P122))</f>
        <v/>
      </c>
      <c r="R122" s="50">
        <f>IFERROR(VLOOKUP(B122,Deals[#All],8,FALSE),DEF_RATE)</f>
        <v/>
      </c>
      <c r="S122" s="50">
        <f>IF(Q122="","",Q122*R122)</f>
        <v/>
      </c>
      <c r="T122" s="46">
        <f>IF(O122="","PENDING",IF(Q122&gt;0,"DEMURRAGE","ON-TIME"))</f>
        <v/>
      </c>
      <c r="U122" s="46">
        <f>IF(AND(E122&lt;&gt;"",M122&lt;&gt;"",M122&lt;E122),"⚠ Arr&lt;Loaded",IF(AND(M122&lt;&gt;"",N122&lt;&gt;"",N122&lt;M122),"⚠ Off&lt;Arr","OK"))</f>
        <v/>
      </c>
      <c r="V122" s="46">
        <f>IF(E122="","",TEXT(E122,"yyyy-mm"))</f>
        <v/>
      </c>
    </row>
    <row r="123">
      <c r="B123" s="46" t="n">
        <v>191610</v>
      </c>
      <c r="C123" s="46" t="inlineStr">
        <is>
          <t>CLM-2026-009</t>
        </is>
      </c>
      <c r="D123" s="48" t="inlineStr">
        <is>
          <t>Rubis Energy Zambia</t>
        </is>
      </c>
      <c r="E123" s="47" t="n">
        <v>46150</v>
      </c>
      <c r="F123" s="48" t="inlineStr">
        <is>
          <t>Beira</t>
        </is>
      </c>
      <c r="G123" s="48" t="inlineStr">
        <is>
          <t>Lusaka</t>
        </is>
      </c>
      <c r="H123" s="48" t="inlineStr">
        <is>
          <t>PMS</t>
        </is>
      </c>
      <c r="I123" s="48" t="n"/>
      <c r="J123" s="48" t="n"/>
      <c r="K123" s="48" t="n"/>
      <c r="L123" s="48" t="n"/>
      <c r="M123" s="47" t="n"/>
      <c r="N123" s="47" t="n"/>
      <c r="O123" s="49">
        <f>IF(OR(L123="",M123=""),"",M123-L123)</f>
        <v/>
      </c>
      <c r="P123" s="49">
        <f>IFERROR(VLOOKUP(B123,Deals[#All],7,FALSE),DEF_LAYTIME)</f>
        <v/>
      </c>
      <c r="Q123" s="49">
        <f>IF(O123="","",MAX(0,O123-P123))</f>
        <v/>
      </c>
      <c r="R123" s="50">
        <f>IFERROR(VLOOKUP(B123,Deals[#All],8,FALSE),DEF_RATE)</f>
        <v/>
      </c>
      <c r="S123" s="50">
        <f>IF(Q123="","",Q123*R123)</f>
        <v/>
      </c>
      <c r="T123" s="46">
        <f>IF(O123="","PENDING",IF(Q123&gt;0,"DEMURRAGE","ON-TIME"))</f>
        <v/>
      </c>
      <c r="U123" s="46">
        <f>IF(AND(E123&lt;&gt;"",M123&lt;&gt;"",M123&lt;E123),"⚠ Arr&lt;Loaded",IF(AND(M123&lt;&gt;"",N123&lt;&gt;"",N123&lt;M123),"⚠ Off&lt;Arr","OK"))</f>
        <v/>
      </c>
      <c r="V123" s="46">
        <f>IF(E123="","",TEXT(E123,"yyyy-mm"))</f>
        <v/>
      </c>
    </row>
    <row r="124">
      <c r="B124" s="46" t="n">
        <v>191610</v>
      </c>
      <c r="C124" s="46" t="inlineStr">
        <is>
          <t>CLM-2026-009</t>
        </is>
      </c>
      <c r="D124" s="48" t="inlineStr">
        <is>
          <t>Rubis Energy Zambia</t>
        </is>
      </c>
      <c r="E124" s="47" t="n">
        <v>46150</v>
      </c>
      <c r="F124" s="48" t="inlineStr">
        <is>
          <t>Beira</t>
        </is>
      </c>
      <c r="G124" s="48" t="inlineStr">
        <is>
          <t>Lusaka</t>
        </is>
      </c>
      <c r="H124" s="48" t="inlineStr">
        <is>
          <t>PMS</t>
        </is>
      </c>
      <c r="I124" s="48" t="n"/>
      <c r="J124" s="48" t="n"/>
      <c r="K124" s="48" t="n"/>
      <c r="L124" s="48" t="n"/>
      <c r="M124" s="47" t="n"/>
      <c r="N124" s="47" t="n"/>
      <c r="O124" s="49">
        <f>IF(OR(L124="",M124=""),"",M124-L124)</f>
        <v/>
      </c>
      <c r="P124" s="49">
        <f>IFERROR(VLOOKUP(B124,Deals[#All],7,FALSE),DEF_LAYTIME)</f>
        <v/>
      </c>
      <c r="Q124" s="49">
        <f>IF(O124="","",MAX(0,O124-P124))</f>
        <v/>
      </c>
      <c r="R124" s="50">
        <f>IFERROR(VLOOKUP(B124,Deals[#All],8,FALSE),DEF_RATE)</f>
        <v/>
      </c>
      <c r="S124" s="50">
        <f>IF(Q124="","",Q124*R124)</f>
        <v/>
      </c>
      <c r="T124" s="46">
        <f>IF(O124="","PENDING",IF(Q124&gt;0,"DEMURRAGE","ON-TIME"))</f>
        <v/>
      </c>
      <c r="U124" s="46">
        <f>IF(AND(E124&lt;&gt;"",M124&lt;&gt;"",M124&lt;E124),"⚠ Arr&lt;Loaded",IF(AND(M124&lt;&gt;"",N124&lt;&gt;"",N124&lt;M124),"⚠ Off&lt;Arr","OK"))</f>
        <v/>
      </c>
      <c r="V124" s="46">
        <f>IF(E124="","",TEXT(E124,"yyyy-mm"))</f>
        <v/>
      </c>
    </row>
    <row r="125">
      <c r="B125" s="46" t="n">
        <v>184182</v>
      </c>
      <c r="C125" s="46" t="inlineStr">
        <is>
          <t>CLM-2026-001</t>
        </is>
      </c>
      <c r="D125" s="48" t="inlineStr">
        <is>
          <t>Rubis Energy Zambia</t>
        </is>
      </c>
      <c r="E125" s="47" t="n">
        <v>45994</v>
      </c>
      <c r="F125" s="48" t="inlineStr">
        <is>
          <t>Beira</t>
        </is>
      </c>
      <c r="G125" s="48" t="inlineStr">
        <is>
          <t>Lusaka</t>
        </is>
      </c>
      <c r="H125" s="48" t="inlineStr">
        <is>
          <t>AGO</t>
        </is>
      </c>
      <c r="I125" s="48" t="inlineStr">
        <is>
          <t>AGZ4447</t>
        </is>
      </c>
      <c r="J125" s="48" t="inlineStr">
        <is>
          <t>AHD0019</t>
        </is>
      </c>
      <c r="K125" s="48" t="inlineStr">
        <is>
          <t>TRUCKEAZE</t>
        </is>
      </c>
      <c r="L125" s="48" t="inlineStr">
        <is>
          <t>Solomon Mudondiro</t>
        </is>
      </c>
      <c r="M125" s="47" t="n">
        <v>46002</v>
      </c>
      <c r="N125" s="47" t="n">
        <v>46004</v>
      </c>
      <c r="O125" s="49">
        <f>IF(OR(L125="",M125=""),"",M125-L125)</f>
        <v/>
      </c>
      <c r="P125" s="49">
        <f>IFERROR(VLOOKUP(B125,Deals[#All],7,FALSE),DEF_LAYTIME)</f>
        <v/>
      </c>
      <c r="Q125" s="49">
        <f>IF(O125="","",MAX(0,O125-P125))</f>
        <v/>
      </c>
      <c r="R125" s="50">
        <f>IFERROR(VLOOKUP(B125,Deals[#All],8,FALSE),DEF_RATE)</f>
        <v/>
      </c>
      <c r="S125" s="50">
        <f>IF(Q125="","",Q125*R125)</f>
        <v/>
      </c>
      <c r="T125" s="46">
        <f>IF(O125="","PENDING",IF(Q125&gt;0,"DEMURRAGE","ON-TIME"))</f>
        <v/>
      </c>
      <c r="U125" s="46">
        <f>IF(AND(E125&lt;&gt;"",M125&lt;&gt;"",M125&lt;E125),"⚠ Arr&lt;Loaded",IF(AND(M125&lt;&gt;"",N125&lt;&gt;"",N125&lt;M125),"⚠ Off&lt;Arr","OK"))</f>
        <v/>
      </c>
      <c r="V125" s="46">
        <f>IF(E125="","",TEXT(E125,"yyyy-mm"))</f>
        <v/>
      </c>
    </row>
    <row r="126">
      <c r="B126" s="46" t="n">
        <v>184182</v>
      </c>
      <c r="C126" s="46" t="inlineStr">
        <is>
          <t>CLM-2026-001</t>
        </is>
      </c>
      <c r="D126" s="48" t="inlineStr">
        <is>
          <t>Rubis Energy Zambia</t>
        </is>
      </c>
      <c r="E126" s="47" t="n">
        <v>45992</v>
      </c>
      <c r="F126" s="48" t="inlineStr">
        <is>
          <t>Beira</t>
        </is>
      </c>
      <c r="G126" s="48" t="inlineStr">
        <is>
          <t>Lusaka</t>
        </is>
      </c>
      <c r="H126" s="48" t="inlineStr">
        <is>
          <t>AGO</t>
        </is>
      </c>
      <c r="I126" s="48" t="inlineStr">
        <is>
          <t>AHA2259</t>
        </is>
      </c>
      <c r="J126" s="48" t="inlineStr">
        <is>
          <t>AHD0551</t>
        </is>
      </c>
      <c r="K126" s="48" t="inlineStr">
        <is>
          <t>TRUCKEAZE</t>
        </is>
      </c>
      <c r="L126" s="48" t="inlineStr">
        <is>
          <t>Daniel Ndabaningi</t>
        </is>
      </c>
      <c r="M126" s="47" t="n">
        <v>45999</v>
      </c>
      <c r="N126" s="47" t="n">
        <v>46000</v>
      </c>
      <c r="O126" s="49">
        <f>IF(OR(L126="",M126=""),"",M126-L126)</f>
        <v/>
      </c>
      <c r="P126" s="49">
        <f>IFERROR(VLOOKUP(B126,Deals[#All],7,FALSE),DEF_LAYTIME)</f>
        <v/>
      </c>
      <c r="Q126" s="49">
        <f>IF(O126="","",MAX(0,O126-P126))</f>
        <v/>
      </c>
      <c r="R126" s="50">
        <f>IFERROR(VLOOKUP(B126,Deals[#All],8,FALSE),DEF_RATE)</f>
        <v/>
      </c>
      <c r="S126" s="50">
        <f>IF(Q126="","",Q126*R126)</f>
        <v/>
      </c>
      <c r="T126" s="46">
        <f>IF(O126="","PENDING",IF(Q126&gt;0,"DEMURRAGE","ON-TIME"))</f>
        <v/>
      </c>
      <c r="U126" s="46">
        <f>IF(AND(E126&lt;&gt;"",M126&lt;&gt;"",M126&lt;E126),"⚠ Arr&lt;Loaded",IF(AND(M126&lt;&gt;"",N126&lt;&gt;"",N126&lt;M126),"⚠ Off&lt;Arr","OK"))</f>
        <v/>
      </c>
      <c r="V126" s="46">
        <f>IF(E126="","",TEXT(E126,"yyyy-mm"))</f>
        <v/>
      </c>
    </row>
    <row r="127">
      <c r="B127" s="46" t="n">
        <v>184182</v>
      </c>
      <c r="C127" s="46" t="inlineStr">
        <is>
          <t>CLM-2026-001</t>
        </is>
      </c>
      <c r="D127" s="48" t="inlineStr">
        <is>
          <t>Rubis Energy Zambia</t>
        </is>
      </c>
      <c r="E127" s="47" t="n">
        <v>45995</v>
      </c>
      <c r="F127" s="48" t="inlineStr">
        <is>
          <t>Beira</t>
        </is>
      </c>
      <c r="G127" s="48" t="inlineStr">
        <is>
          <t>Lusaka</t>
        </is>
      </c>
      <c r="H127" s="48" t="inlineStr">
        <is>
          <t>AGO</t>
        </is>
      </c>
      <c r="I127" s="48" t="inlineStr">
        <is>
          <t>AGZ4446</t>
        </is>
      </c>
      <c r="J127" s="48" t="inlineStr">
        <is>
          <t>AHD0018</t>
        </is>
      </c>
      <c r="K127" s="48" t="inlineStr">
        <is>
          <t>TRUCKEAZE</t>
        </is>
      </c>
      <c r="L127" s="48" t="inlineStr">
        <is>
          <t>Artwell Billiat</t>
        </is>
      </c>
      <c r="M127" s="47" t="n">
        <v>46007</v>
      </c>
      <c r="N127" s="47" t="n">
        <v>46008</v>
      </c>
      <c r="O127" s="49">
        <f>IF(OR(L127="",M127=""),"",M127-L127)</f>
        <v/>
      </c>
      <c r="P127" s="49">
        <f>IFERROR(VLOOKUP(B127,Deals[#All],7,FALSE),DEF_LAYTIME)</f>
        <v/>
      </c>
      <c r="Q127" s="49">
        <f>IF(O127="","",MAX(0,O127-P127))</f>
        <v/>
      </c>
      <c r="R127" s="50">
        <f>IFERROR(VLOOKUP(B127,Deals[#All],8,FALSE),DEF_RATE)</f>
        <v/>
      </c>
      <c r="S127" s="50">
        <f>IF(Q127="","",Q127*R127)</f>
        <v/>
      </c>
      <c r="T127" s="46">
        <f>IF(O127="","PENDING",IF(Q127&gt;0,"DEMURRAGE","ON-TIME"))</f>
        <v/>
      </c>
      <c r="U127" s="46">
        <f>IF(AND(E127&lt;&gt;"",M127&lt;&gt;"",M127&lt;E127),"⚠ Arr&lt;Loaded",IF(AND(M127&lt;&gt;"",N127&lt;&gt;"",N127&lt;M127),"⚠ Off&lt;Arr","OK"))</f>
        <v/>
      </c>
      <c r="V127" s="46">
        <f>IF(E127="","",TEXT(E127,"yyyy-mm"))</f>
        <v/>
      </c>
    </row>
    <row r="128">
      <c r="B128" s="46" t="n">
        <v>184182</v>
      </c>
      <c r="C128" s="46" t="inlineStr">
        <is>
          <t>CLM-2026-001</t>
        </is>
      </c>
      <c r="D128" s="48" t="inlineStr">
        <is>
          <t>Rubis Energy Zambia</t>
        </is>
      </c>
      <c r="E128" s="47" t="n">
        <v>45994</v>
      </c>
      <c r="F128" s="48" t="inlineStr">
        <is>
          <t>Beira</t>
        </is>
      </c>
      <c r="G128" s="48" t="inlineStr">
        <is>
          <t>Lusaka</t>
        </is>
      </c>
      <c r="H128" s="48" t="inlineStr">
        <is>
          <t>AGO</t>
        </is>
      </c>
      <c r="I128" s="48" t="inlineStr">
        <is>
          <t>AGZ3864</t>
        </is>
      </c>
      <c r="J128" s="48" t="inlineStr">
        <is>
          <t>AGK6600</t>
        </is>
      </c>
      <c r="K128" s="48" t="inlineStr">
        <is>
          <t>TRUCKEAZE</t>
        </is>
      </c>
      <c r="L128" s="48" t="inlineStr">
        <is>
          <t>Alban Onismo</t>
        </is>
      </c>
      <c r="M128" s="47" t="n">
        <v>46002</v>
      </c>
      <c r="N128" s="47" t="n">
        <v>46007</v>
      </c>
      <c r="O128" s="49">
        <f>IF(OR(L128="",M128=""),"",M128-L128)</f>
        <v/>
      </c>
      <c r="P128" s="49">
        <f>IFERROR(VLOOKUP(B128,Deals[#All],7,FALSE),DEF_LAYTIME)</f>
        <v/>
      </c>
      <c r="Q128" s="49">
        <f>IF(O128="","",MAX(0,O128-P128))</f>
        <v/>
      </c>
      <c r="R128" s="50">
        <f>IFERROR(VLOOKUP(B128,Deals[#All],8,FALSE),DEF_RATE)</f>
        <v/>
      </c>
      <c r="S128" s="50">
        <f>IF(Q128="","",Q128*R128)</f>
        <v/>
      </c>
      <c r="T128" s="46">
        <f>IF(O128="","PENDING",IF(Q128&gt;0,"DEMURRAGE","ON-TIME"))</f>
        <v/>
      </c>
      <c r="U128" s="46">
        <f>IF(AND(E128&lt;&gt;"",M128&lt;&gt;"",M128&lt;E128),"⚠ Arr&lt;Loaded",IF(AND(M128&lt;&gt;"",N128&lt;&gt;"",N128&lt;M128),"⚠ Off&lt;Arr","OK"))</f>
        <v/>
      </c>
      <c r="V128" s="46">
        <f>IF(E128="","",TEXT(E128,"yyyy-mm"))</f>
        <v/>
      </c>
    </row>
    <row r="129">
      <c r="B129" s="46" t="n">
        <v>184182</v>
      </c>
      <c r="C129" s="46" t="inlineStr">
        <is>
          <t>CLM-2026-001</t>
        </is>
      </c>
      <c r="D129" s="48" t="inlineStr">
        <is>
          <t>Rubis Energy Zambia</t>
        </is>
      </c>
      <c r="E129" s="47" t="n">
        <v>45994</v>
      </c>
      <c r="F129" s="48" t="inlineStr">
        <is>
          <t>Beira</t>
        </is>
      </c>
      <c r="G129" s="48" t="inlineStr">
        <is>
          <t>Lusaka</t>
        </is>
      </c>
      <c r="H129" s="48" t="inlineStr">
        <is>
          <t>AGO</t>
        </is>
      </c>
      <c r="I129" s="48" t="inlineStr">
        <is>
          <t>AHA2260</t>
        </is>
      </c>
      <c r="J129" s="48" t="inlineStr">
        <is>
          <t>AHD0552</t>
        </is>
      </c>
      <c r="K129" s="48" t="inlineStr">
        <is>
          <t>TRUCKEAZE</t>
        </is>
      </c>
      <c r="L129" s="48" t="inlineStr">
        <is>
          <t>Blessing Manimanzi</t>
        </is>
      </c>
      <c r="M129" s="47" t="n">
        <v>46000</v>
      </c>
      <c r="N129" s="47" t="n">
        <v>46002</v>
      </c>
      <c r="O129" s="49">
        <f>IF(OR(L129="",M129=""),"",M129-L129)</f>
        <v/>
      </c>
      <c r="P129" s="49">
        <f>IFERROR(VLOOKUP(B129,Deals[#All],7,FALSE),DEF_LAYTIME)</f>
        <v/>
      </c>
      <c r="Q129" s="49">
        <f>IF(O129="","",MAX(0,O129-P129))</f>
        <v/>
      </c>
      <c r="R129" s="50">
        <f>IFERROR(VLOOKUP(B129,Deals[#All],8,FALSE),DEF_RATE)</f>
        <v/>
      </c>
      <c r="S129" s="50">
        <f>IF(Q129="","",Q129*R129)</f>
        <v/>
      </c>
      <c r="T129" s="46">
        <f>IF(O129="","PENDING",IF(Q129&gt;0,"DEMURRAGE","ON-TIME"))</f>
        <v/>
      </c>
      <c r="U129" s="46">
        <f>IF(AND(E129&lt;&gt;"",M129&lt;&gt;"",M129&lt;E129),"⚠ Arr&lt;Loaded",IF(AND(M129&lt;&gt;"",N129&lt;&gt;"",N129&lt;M129),"⚠ Off&lt;Arr","OK"))</f>
        <v/>
      </c>
      <c r="V129" s="46">
        <f>IF(E129="","",TEXT(E129,"yyyy-mm"))</f>
        <v/>
      </c>
    </row>
    <row r="130">
      <c r="B130" s="46" t="n">
        <v>184182</v>
      </c>
      <c r="C130" s="46" t="inlineStr">
        <is>
          <t>CLM-2026-001</t>
        </is>
      </c>
      <c r="D130" s="48" t="inlineStr">
        <is>
          <t>Rubis Energy Zambia</t>
        </is>
      </c>
      <c r="E130" s="47" t="n">
        <v>45994</v>
      </c>
      <c r="F130" s="48" t="inlineStr">
        <is>
          <t>Beira</t>
        </is>
      </c>
      <c r="G130" s="48" t="inlineStr">
        <is>
          <t>Lusaka</t>
        </is>
      </c>
      <c r="H130" s="48" t="inlineStr">
        <is>
          <t>AGO</t>
        </is>
      </c>
      <c r="I130" s="48" t="inlineStr">
        <is>
          <t>AGL7682</t>
        </is>
      </c>
      <c r="J130" s="48" t="inlineStr">
        <is>
          <t>AHD0567</t>
        </is>
      </c>
      <c r="K130" s="48" t="inlineStr">
        <is>
          <t>TRUCKEAZE</t>
        </is>
      </c>
      <c r="L130" s="48" t="inlineStr">
        <is>
          <t>Masotsha Nyoni</t>
        </is>
      </c>
      <c r="M130" s="47" t="n">
        <v>46002</v>
      </c>
      <c r="N130" s="47" t="n">
        <v>46007</v>
      </c>
      <c r="O130" s="49">
        <f>IF(OR(L130="",M130=""),"",M130-L130)</f>
        <v/>
      </c>
      <c r="P130" s="49">
        <f>IFERROR(VLOOKUP(B130,Deals[#All],7,FALSE),DEF_LAYTIME)</f>
        <v/>
      </c>
      <c r="Q130" s="49">
        <f>IF(O130="","",MAX(0,O130-P130))</f>
        <v/>
      </c>
      <c r="R130" s="50">
        <f>IFERROR(VLOOKUP(B130,Deals[#All],8,FALSE),DEF_RATE)</f>
        <v/>
      </c>
      <c r="S130" s="50">
        <f>IF(Q130="","",Q130*R130)</f>
        <v/>
      </c>
      <c r="T130" s="46">
        <f>IF(O130="","PENDING",IF(Q130&gt;0,"DEMURRAGE","ON-TIME"))</f>
        <v/>
      </c>
      <c r="U130" s="46">
        <f>IF(AND(E130&lt;&gt;"",M130&lt;&gt;"",M130&lt;E130),"⚠ Arr&lt;Loaded",IF(AND(M130&lt;&gt;"",N130&lt;&gt;"",N130&lt;M130),"⚠ Off&lt;Arr","OK"))</f>
        <v/>
      </c>
      <c r="V130" s="46">
        <f>IF(E130="","",TEXT(E130,"yyyy-mm"))</f>
        <v/>
      </c>
    </row>
    <row r="131">
      <c r="B131" s="46" t="n">
        <v>184182</v>
      </c>
      <c r="C131" s="46" t="inlineStr">
        <is>
          <t>CLM-2026-001</t>
        </is>
      </c>
      <c r="D131" s="48" t="inlineStr">
        <is>
          <t>Rubis Energy Zambia</t>
        </is>
      </c>
      <c r="E131" s="47" t="n">
        <v>45994</v>
      </c>
      <c r="F131" s="48" t="inlineStr">
        <is>
          <t>Beira</t>
        </is>
      </c>
      <c r="G131" s="48" t="inlineStr">
        <is>
          <t>Lusaka</t>
        </is>
      </c>
      <c r="H131" s="48" t="inlineStr">
        <is>
          <t>AGO</t>
        </is>
      </c>
      <c r="I131" s="48" t="inlineStr">
        <is>
          <t>AGJ9268</t>
        </is>
      </c>
      <c r="J131" s="48" t="inlineStr">
        <is>
          <t>AGK3620</t>
        </is>
      </c>
      <c r="K131" s="48" t="inlineStr">
        <is>
          <t>TRUCKEAZE</t>
        </is>
      </c>
      <c r="L131" s="48" t="inlineStr">
        <is>
          <t>Talkmore Ngonidzashe Gumbwa</t>
        </is>
      </c>
      <c r="M131" s="47" t="n">
        <v>46002</v>
      </c>
      <c r="N131" s="47" t="n">
        <v>46007</v>
      </c>
      <c r="O131" s="49">
        <f>IF(OR(L131="",M131=""),"",M131-L131)</f>
        <v/>
      </c>
      <c r="P131" s="49">
        <f>IFERROR(VLOOKUP(B131,Deals[#All],7,FALSE),DEF_LAYTIME)</f>
        <v/>
      </c>
      <c r="Q131" s="49">
        <f>IF(O131="","",MAX(0,O131-P131))</f>
        <v/>
      </c>
      <c r="R131" s="50">
        <f>IFERROR(VLOOKUP(B131,Deals[#All],8,FALSE),DEF_RATE)</f>
        <v/>
      </c>
      <c r="S131" s="50">
        <f>IF(Q131="","",Q131*R131)</f>
        <v/>
      </c>
      <c r="T131" s="46">
        <f>IF(O131="","PENDING",IF(Q131&gt;0,"DEMURRAGE","ON-TIME"))</f>
        <v/>
      </c>
      <c r="U131" s="46">
        <f>IF(AND(E131&lt;&gt;"",M131&lt;&gt;"",M131&lt;E131),"⚠ Arr&lt;Loaded",IF(AND(M131&lt;&gt;"",N131&lt;&gt;"",N131&lt;M131),"⚠ Off&lt;Arr","OK"))</f>
        <v/>
      </c>
      <c r="V131" s="46">
        <f>IF(E131="","",TEXT(E131,"yyyy-mm"))</f>
        <v/>
      </c>
    </row>
    <row r="132">
      <c r="B132" s="46" t="n">
        <v>184182</v>
      </c>
      <c r="C132" s="46" t="inlineStr">
        <is>
          <t>CLM-2026-001</t>
        </is>
      </c>
      <c r="D132" s="48" t="inlineStr">
        <is>
          <t>Rubis Energy Zambia</t>
        </is>
      </c>
      <c r="E132" s="47" t="n">
        <v>45995</v>
      </c>
      <c r="F132" s="48" t="inlineStr">
        <is>
          <t>Beira</t>
        </is>
      </c>
      <c r="G132" s="48" t="inlineStr">
        <is>
          <t>Lusaka</t>
        </is>
      </c>
      <c r="H132" s="48" t="inlineStr">
        <is>
          <t>AGO</t>
        </is>
      </c>
      <c r="I132" s="48" t="inlineStr">
        <is>
          <t>AGJ9269</t>
        </is>
      </c>
      <c r="J132" s="48" t="inlineStr">
        <is>
          <t>AGK3385</t>
        </is>
      </c>
      <c r="K132" s="48" t="inlineStr">
        <is>
          <t>TRUCKEAZE</t>
        </is>
      </c>
      <c r="L132" s="48" t="inlineStr">
        <is>
          <t>Trevor Shambare</t>
        </is>
      </c>
      <c r="M132" s="47" t="n">
        <v>46007</v>
      </c>
      <c r="N132" s="47" t="n">
        <v>46009</v>
      </c>
      <c r="O132" s="49">
        <f>IF(OR(L132="",M132=""),"",M132-L132)</f>
        <v/>
      </c>
      <c r="P132" s="49">
        <f>IFERROR(VLOOKUP(B132,Deals[#All],7,FALSE),DEF_LAYTIME)</f>
        <v/>
      </c>
      <c r="Q132" s="49">
        <f>IF(O132="","",MAX(0,O132-P132))</f>
        <v/>
      </c>
      <c r="R132" s="50">
        <f>IFERROR(VLOOKUP(B132,Deals[#All],8,FALSE),DEF_RATE)</f>
        <v/>
      </c>
      <c r="S132" s="50">
        <f>IF(Q132="","",Q132*R132)</f>
        <v/>
      </c>
      <c r="T132" s="46">
        <f>IF(O132="","PENDING",IF(Q132&gt;0,"DEMURRAGE","ON-TIME"))</f>
        <v/>
      </c>
      <c r="U132" s="46">
        <f>IF(AND(E132&lt;&gt;"",M132&lt;&gt;"",M132&lt;E132),"⚠ Arr&lt;Loaded",IF(AND(M132&lt;&gt;"",N132&lt;&gt;"",N132&lt;M132),"⚠ Off&lt;Arr","OK"))</f>
        <v/>
      </c>
      <c r="V132" s="46">
        <f>IF(E132="","",TEXT(E132,"yyyy-mm"))</f>
        <v/>
      </c>
    </row>
    <row r="133">
      <c r="B133" s="46" t="n">
        <v>184182</v>
      </c>
      <c r="C133" s="46" t="inlineStr">
        <is>
          <t>CLM-2026-001</t>
        </is>
      </c>
      <c r="D133" s="48" t="inlineStr">
        <is>
          <t>Rubis Energy Zambia</t>
        </is>
      </c>
      <c r="E133" s="47" t="n">
        <v>45994</v>
      </c>
      <c r="F133" s="48" t="inlineStr">
        <is>
          <t>Beira</t>
        </is>
      </c>
      <c r="G133" s="48" t="inlineStr">
        <is>
          <t>Lusaka</t>
        </is>
      </c>
      <c r="H133" s="48" t="inlineStr">
        <is>
          <t>AGO</t>
        </is>
      </c>
      <c r="I133" s="48" t="inlineStr">
        <is>
          <t>AGZ4444</t>
        </is>
      </c>
      <c r="J133" s="48" t="inlineStr">
        <is>
          <t>AHD0020</t>
        </is>
      </c>
      <c r="K133" s="48" t="inlineStr">
        <is>
          <t>TRUCKEAZE</t>
        </is>
      </c>
      <c r="L133" s="48" t="inlineStr">
        <is>
          <t>Noah Murenje</t>
        </is>
      </c>
      <c r="M133" s="47" t="n">
        <v>46001</v>
      </c>
      <c r="N133" s="47" t="n">
        <v>46002</v>
      </c>
      <c r="O133" s="49">
        <f>IF(OR(L133="",M133=""),"",M133-L133)</f>
        <v/>
      </c>
      <c r="P133" s="49">
        <f>IFERROR(VLOOKUP(B133,Deals[#All],7,FALSE),DEF_LAYTIME)</f>
        <v/>
      </c>
      <c r="Q133" s="49">
        <f>IF(O133="","",MAX(0,O133-P133))</f>
        <v/>
      </c>
      <c r="R133" s="50">
        <f>IFERROR(VLOOKUP(B133,Deals[#All],8,FALSE),DEF_RATE)</f>
        <v/>
      </c>
      <c r="S133" s="50">
        <f>IF(Q133="","",Q133*R133)</f>
        <v/>
      </c>
      <c r="T133" s="46">
        <f>IF(O133="","PENDING",IF(Q133&gt;0,"DEMURRAGE","ON-TIME"))</f>
        <v/>
      </c>
      <c r="U133" s="46">
        <f>IF(AND(E133&lt;&gt;"",M133&lt;&gt;"",M133&lt;E133),"⚠ Arr&lt;Loaded",IF(AND(M133&lt;&gt;"",N133&lt;&gt;"",N133&lt;M133),"⚠ Off&lt;Arr","OK"))</f>
        <v/>
      </c>
      <c r="V133" s="46">
        <f>IF(E133="","",TEXT(E133,"yyyy-mm"))</f>
        <v/>
      </c>
    </row>
    <row r="134">
      <c r="B134" s="46" t="n">
        <v>184182</v>
      </c>
      <c r="C134" s="46" t="inlineStr">
        <is>
          <t>CLM-2026-001</t>
        </is>
      </c>
      <c r="D134" s="48" t="inlineStr">
        <is>
          <t>Rubis Energy Zambia</t>
        </is>
      </c>
      <c r="E134" s="47" t="n">
        <v>45992</v>
      </c>
      <c r="F134" s="48" t="inlineStr">
        <is>
          <t>Beira</t>
        </is>
      </c>
      <c r="G134" s="48" t="inlineStr">
        <is>
          <t>Lusaka</t>
        </is>
      </c>
      <c r="H134" s="48" t="inlineStr">
        <is>
          <t>AGO</t>
        </is>
      </c>
      <c r="I134" s="48" t="inlineStr">
        <is>
          <t>AGL5522</t>
        </is>
      </c>
      <c r="J134" s="48" t="inlineStr">
        <is>
          <t>AGK6549</t>
        </is>
      </c>
      <c r="K134" s="48" t="inlineStr">
        <is>
          <t>TRUCKEAZE</t>
        </is>
      </c>
      <c r="L134" s="48" t="inlineStr">
        <is>
          <t>Neville Robson Kaukonde</t>
        </is>
      </c>
      <c r="M134" s="47" t="n">
        <v>45999</v>
      </c>
      <c r="N134" s="47" t="n">
        <v>46000</v>
      </c>
      <c r="O134" s="49">
        <f>IF(OR(L134="",M134=""),"",M134-L134)</f>
        <v/>
      </c>
      <c r="P134" s="49">
        <f>IFERROR(VLOOKUP(B134,Deals[#All],7,FALSE),DEF_LAYTIME)</f>
        <v/>
      </c>
      <c r="Q134" s="49">
        <f>IF(O134="","",MAX(0,O134-P134))</f>
        <v/>
      </c>
      <c r="R134" s="50">
        <f>IFERROR(VLOOKUP(B134,Deals[#All],8,FALSE),DEF_RATE)</f>
        <v/>
      </c>
      <c r="S134" s="50">
        <f>IF(Q134="","",Q134*R134)</f>
        <v/>
      </c>
      <c r="T134" s="46">
        <f>IF(O134="","PENDING",IF(Q134&gt;0,"DEMURRAGE","ON-TIME"))</f>
        <v/>
      </c>
      <c r="U134" s="46">
        <f>IF(AND(E134&lt;&gt;"",M134&lt;&gt;"",M134&lt;E134),"⚠ Arr&lt;Loaded",IF(AND(M134&lt;&gt;"",N134&lt;&gt;"",N134&lt;M134),"⚠ Off&lt;Arr","OK"))</f>
        <v/>
      </c>
      <c r="V134" s="46">
        <f>IF(E134="","",TEXT(E134,"yyyy-mm"))</f>
        <v/>
      </c>
    </row>
    <row r="135">
      <c r="B135" s="46" t="n">
        <v>184182</v>
      </c>
      <c r="C135" s="46" t="inlineStr">
        <is>
          <t>CLM-2026-001</t>
        </is>
      </c>
      <c r="D135" s="48" t="inlineStr">
        <is>
          <t>Rubis Energy Zambia</t>
        </is>
      </c>
      <c r="E135" s="47" t="n">
        <v>45992</v>
      </c>
      <c r="F135" s="48" t="inlineStr">
        <is>
          <t>Beira</t>
        </is>
      </c>
      <c r="G135" s="48" t="inlineStr">
        <is>
          <t>Lusaka</t>
        </is>
      </c>
      <c r="H135" s="48" t="inlineStr">
        <is>
          <t>AGO</t>
        </is>
      </c>
      <c r="I135" s="48" t="inlineStr">
        <is>
          <t>AFQ9753</t>
        </is>
      </c>
      <c r="J135" s="48" t="inlineStr">
        <is>
          <t>ABN8077</t>
        </is>
      </c>
      <c r="K135" s="48" t="inlineStr">
        <is>
          <t>TRUCKEAZE</t>
        </is>
      </c>
      <c r="L135" s="48" t="inlineStr">
        <is>
          <t>Bernard Dhinda</t>
        </is>
      </c>
      <c r="M135" s="47" t="n">
        <v>46004</v>
      </c>
      <c r="N135" s="47" t="n">
        <v>46008</v>
      </c>
      <c r="O135" s="49">
        <f>IF(OR(L135="",M135=""),"",M135-L135)</f>
        <v/>
      </c>
      <c r="P135" s="49">
        <f>IFERROR(VLOOKUP(B135,Deals[#All],7,FALSE),DEF_LAYTIME)</f>
        <v/>
      </c>
      <c r="Q135" s="49">
        <f>IF(O135="","",MAX(0,O135-P135))</f>
        <v/>
      </c>
      <c r="R135" s="50">
        <f>IFERROR(VLOOKUP(B135,Deals[#All],8,FALSE),DEF_RATE)</f>
        <v/>
      </c>
      <c r="S135" s="50">
        <f>IF(Q135="","",Q135*R135)</f>
        <v/>
      </c>
      <c r="T135" s="46">
        <f>IF(O135="","PENDING",IF(Q135&gt;0,"DEMURRAGE","ON-TIME"))</f>
        <v/>
      </c>
      <c r="U135" s="46">
        <f>IF(AND(E135&lt;&gt;"",M135&lt;&gt;"",M135&lt;E135),"⚠ Arr&lt;Loaded",IF(AND(M135&lt;&gt;"",N135&lt;&gt;"",N135&lt;M135),"⚠ Off&lt;Arr","OK"))</f>
        <v/>
      </c>
      <c r="V135" s="46">
        <f>IF(E135="","",TEXT(E135,"yyyy-mm"))</f>
        <v/>
      </c>
    </row>
    <row r="136">
      <c r="B136" s="46" t="n">
        <v>184182</v>
      </c>
      <c r="C136" s="46" t="inlineStr">
        <is>
          <t>CLM-2026-001</t>
        </is>
      </c>
      <c r="D136" s="48" t="inlineStr">
        <is>
          <t>Rubis Energy Zambia</t>
        </is>
      </c>
      <c r="E136" s="47" t="n">
        <v>45992</v>
      </c>
      <c r="F136" s="48" t="inlineStr">
        <is>
          <t>Beira</t>
        </is>
      </c>
      <c r="G136" s="48" t="inlineStr">
        <is>
          <t>Lusaka</t>
        </is>
      </c>
      <c r="H136" s="48" t="inlineStr">
        <is>
          <t>AGO</t>
        </is>
      </c>
      <c r="I136" s="48" t="inlineStr">
        <is>
          <t>AGJ0464</t>
        </is>
      </c>
      <c r="J136" s="48" t="inlineStr">
        <is>
          <t>AHD0382</t>
        </is>
      </c>
      <c r="K136" s="48" t="inlineStr">
        <is>
          <t>TRUCKEAZE</t>
        </is>
      </c>
      <c r="L136" s="48" t="inlineStr">
        <is>
          <t xml:space="preserve">Ranganai Tarasizio Kabanya </t>
        </is>
      </c>
      <c r="M136" s="47" t="n">
        <v>46004</v>
      </c>
      <c r="N136" s="47" t="n">
        <v>46008</v>
      </c>
      <c r="O136" s="49">
        <f>IF(OR(L136="",M136=""),"",M136-L136)</f>
        <v/>
      </c>
      <c r="P136" s="49">
        <f>IFERROR(VLOOKUP(B136,Deals[#All],7,FALSE),DEF_LAYTIME)</f>
        <v/>
      </c>
      <c r="Q136" s="49">
        <f>IF(O136="","",MAX(0,O136-P136))</f>
        <v/>
      </c>
      <c r="R136" s="50">
        <f>IFERROR(VLOOKUP(B136,Deals[#All],8,FALSE),DEF_RATE)</f>
        <v/>
      </c>
      <c r="S136" s="50">
        <f>IF(Q136="","",Q136*R136)</f>
        <v/>
      </c>
      <c r="T136" s="46">
        <f>IF(O136="","PENDING",IF(Q136&gt;0,"DEMURRAGE","ON-TIME"))</f>
        <v/>
      </c>
      <c r="U136" s="46">
        <f>IF(AND(E136&lt;&gt;"",M136&lt;&gt;"",M136&lt;E136),"⚠ Arr&lt;Loaded",IF(AND(M136&lt;&gt;"",N136&lt;&gt;"",N136&lt;M136),"⚠ Off&lt;Arr","OK"))</f>
        <v/>
      </c>
      <c r="V136" s="46">
        <f>IF(E136="","",TEXT(E136,"yyyy-mm"))</f>
        <v/>
      </c>
    </row>
    <row r="137">
      <c r="B137" s="46" t="n">
        <v>184182</v>
      </c>
      <c r="C137" s="46" t="inlineStr">
        <is>
          <t>CLM-2026-001</t>
        </is>
      </c>
      <c r="D137" s="48" t="inlineStr">
        <is>
          <t>Rubis Energy Zambia</t>
        </is>
      </c>
      <c r="E137" s="47" t="n">
        <v>45993</v>
      </c>
      <c r="F137" s="48" t="inlineStr">
        <is>
          <t>Beira</t>
        </is>
      </c>
      <c r="G137" s="48" t="inlineStr">
        <is>
          <t>Lusaka</t>
        </is>
      </c>
      <c r="H137" s="48" t="inlineStr">
        <is>
          <t>AGO</t>
        </is>
      </c>
      <c r="I137" s="48" t="inlineStr">
        <is>
          <t>AEZ9150</t>
        </is>
      </c>
      <c r="J137" s="48" t="inlineStr">
        <is>
          <t>AGK6758</t>
        </is>
      </c>
      <c r="K137" s="48" t="inlineStr">
        <is>
          <t>TRUCKEAZE</t>
        </is>
      </c>
      <c r="L137" s="48" t="inlineStr">
        <is>
          <t>Stanley Munyebvu</t>
        </is>
      </c>
      <c r="M137" s="47" t="n">
        <v>45999</v>
      </c>
      <c r="N137" s="47" t="n">
        <v>46001</v>
      </c>
      <c r="O137" s="49">
        <f>IF(OR(L137="",M137=""),"",M137-L137)</f>
        <v/>
      </c>
      <c r="P137" s="49">
        <f>IFERROR(VLOOKUP(B137,Deals[#All],7,FALSE),DEF_LAYTIME)</f>
        <v/>
      </c>
      <c r="Q137" s="49">
        <f>IF(O137="","",MAX(0,O137-P137))</f>
        <v/>
      </c>
      <c r="R137" s="50">
        <f>IFERROR(VLOOKUP(B137,Deals[#All],8,FALSE),DEF_RATE)</f>
        <v/>
      </c>
      <c r="S137" s="50">
        <f>IF(Q137="","",Q137*R137)</f>
        <v/>
      </c>
      <c r="T137" s="46">
        <f>IF(O137="","PENDING",IF(Q137&gt;0,"DEMURRAGE","ON-TIME"))</f>
        <v/>
      </c>
      <c r="U137" s="46">
        <f>IF(AND(E137&lt;&gt;"",M137&lt;&gt;"",M137&lt;E137),"⚠ Arr&lt;Loaded",IF(AND(M137&lt;&gt;"",N137&lt;&gt;"",N137&lt;M137),"⚠ Off&lt;Arr","OK"))</f>
        <v/>
      </c>
      <c r="V137" s="46">
        <f>IF(E137="","",TEXT(E137,"yyyy-mm"))</f>
        <v/>
      </c>
    </row>
    <row r="139">
      <c r="B139" s="68" t="inlineStr">
        <is>
          <t>TOTAL</t>
        </is>
      </c>
      <c r="C139" s="69" t="n"/>
      <c r="D139" s="69" t="n"/>
      <c r="E139" s="69" t="n"/>
      <c r="F139" s="69" t="n"/>
      <c r="G139" s="69" t="n"/>
      <c r="H139" s="69" t="n"/>
      <c r="I139" s="69" t="n"/>
      <c r="J139" s="69" t="n"/>
      <c r="K139" s="69" t="n"/>
      <c r="L139" s="69" t="n"/>
      <c r="M139" s="69" t="n"/>
      <c r="N139" s="69" t="n"/>
      <c r="O139" s="70">
        <f>SUBTOTAL(109,Trips[Waiting (d)])</f>
        <v/>
      </c>
      <c r="P139" s="69" t="n"/>
      <c r="Q139" s="70">
        <f>SUBTOTAL(109,Trips[Excess (d)])</f>
        <v/>
      </c>
      <c r="R139" s="69" t="n"/>
      <c r="S139" s="71">
        <f>SUBTOTAL(109,Trips[Demurrage (USD)])</f>
        <v/>
      </c>
      <c r="T139" s="69" t="n"/>
      <c r="U139" s="69" t="n"/>
      <c r="V139" s="69" t="n"/>
    </row>
  </sheetData>
  <mergeCells count="2">
    <mergeCell ref="B3:V3"/>
    <mergeCell ref="B2:V2"/>
  </mergeCells>
  <conditionalFormatting sqref="T7:T137">
    <cfRule type="cellIs" priority="1" operator="equal" dxfId="5">
      <formula>"DEMURRAGE"</formula>
    </cfRule>
    <cfRule type="cellIs" priority="2" operator="equal" dxfId="0">
      <formula>"ON-TIME"</formula>
    </cfRule>
    <cfRule type="cellIs" priority="3" operator="equal" dxfId="2">
      <formula>"PENDING"</formula>
    </cfRule>
  </conditionalFormatting>
  <conditionalFormatting sqref="O7:O137">
    <cfRule type="colorScale" priority="4">
      <colorScale>
        <cfvo type="num" val="0"/>
        <cfvo type="num" val="7"/>
        <cfvo type="num" val="15"/>
        <color rgb="00DCFCE7"/>
        <color rgb="00FEF3C7"/>
        <color rgb="00FCA5A5"/>
      </colorScale>
    </cfRule>
  </conditionalFormatting>
  <conditionalFormatting sqref="U7:U137">
    <cfRule type="expression" priority="5" dxfId="5">
      <formula>LEFT(U7,1)="⚠"</formula>
    </cfRule>
  </conditionalFormatting>
  <dataValidations count="1">
    <dataValidation sqref="C7:C506" showDropDown="0" showInputMessage="0" showErrorMessage="0" allowBlank="1" type="list">
      <formula1>=Claims[Claim No.]</formula1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9376D"/>
    <outlinePr summaryBelow="1" summaryRight="1"/>
    <pageSetUpPr/>
  </sheetPr>
  <dimension ref="B2:K30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30" customWidth="1" min="3" max="3"/>
    <col width="20" customWidth="1" min="4" max="4"/>
    <col width="16" customWidth="1" min="5" max="5"/>
    <col width="16" customWidth="1" min="6" max="6"/>
    <col width="12" customWidth="1" min="7" max="7"/>
    <col width="12" customWidth="1" min="8" max="8"/>
    <col width="18" customWidth="1" min="9" max="9"/>
    <col width="18" customWidth="1" min="10" max="10"/>
    <col width="16" customWidth="1" min="11" max="11"/>
  </cols>
  <sheetData>
    <row r="2" ht="32" customHeight="1">
      <c r="B2" s="66" t="inlineStr">
        <is>
          <t>DEALS MASTER</t>
        </is>
      </c>
    </row>
    <row r="3">
      <c r="B3" s="13" t="inlineStr">
        <is>
          <t>Register of all demurrage deals — rates and laytime feed the Trips Ledger.</t>
        </is>
      </c>
    </row>
    <row r="4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</row>
    <row r="6" ht="36" customHeight="1">
      <c r="B6" s="45" t="inlineStr">
        <is>
          <t>Deal No.</t>
        </is>
      </c>
      <c r="C6" s="45" t="inlineStr">
        <is>
          <t>Consignee</t>
        </is>
      </c>
      <c r="D6" s="45" t="inlineStr">
        <is>
          <t>Route</t>
        </is>
      </c>
      <c r="E6" s="45" t="inlineStr">
        <is>
          <t>Loading Port</t>
        </is>
      </c>
      <c r="F6" s="45" t="inlineStr">
        <is>
          <t>Destination</t>
        </is>
      </c>
      <c r="G6" s="45" t="inlineStr">
        <is>
          <t>Product</t>
        </is>
      </c>
      <c r="H6" s="45" t="inlineStr">
        <is>
          <t>Laytime (days)</t>
        </is>
      </c>
      <c r="I6" s="45" t="inlineStr">
        <is>
          <t>Rate (USD/day)</t>
        </is>
      </c>
      <c r="J6" s="45" t="inlineStr">
        <is>
          <t>Transport (USD/m³)</t>
        </is>
      </c>
      <c r="K6" s="45" t="inlineStr">
        <is>
          <t>Transporter</t>
        </is>
      </c>
    </row>
    <row r="7">
      <c r="B7" s="51" t="n">
        <v>183574</v>
      </c>
      <c r="C7" s="53" t="inlineStr">
        <is>
          <t>Rubis Energy Zambia</t>
        </is>
      </c>
      <c r="D7" s="53" t="inlineStr">
        <is>
          <t>Beira → Lusaka</t>
        </is>
      </c>
      <c r="E7" s="53" t="inlineStr">
        <is>
          <t>Beira</t>
        </is>
      </c>
      <c r="F7" s="53" t="inlineStr">
        <is>
          <t>Lusaka</t>
        </is>
      </c>
      <c r="G7" s="53" t="inlineStr">
        <is>
          <t>PMS</t>
        </is>
      </c>
      <c r="H7" s="54" t="n">
        <v>2</v>
      </c>
      <c r="I7" s="72" t="n">
        <v>250</v>
      </c>
      <c r="J7" s="73" t="n"/>
      <c r="K7" s="53" t="n"/>
    </row>
    <row r="8">
      <c r="B8" s="46" t="n">
        <v>184119</v>
      </c>
      <c r="C8" s="48" t="inlineStr">
        <is>
          <t>Rubis Energy Zambia</t>
        </is>
      </c>
      <c r="D8" s="48" t="inlineStr">
        <is>
          <t>Beira → Lusaka</t>
        </is>
      </c>
      <c r="E8" s="48" t="inlineStr">
        <is>
          <t>Beira</t>
        </is>
      </c>
      <c r="F8" s="48" t="inlineStr">
        <is>
          <t>Lusaka</t>
        </is>
      </c>
      <c r="G8" s="48" t="inlineStr">
        <is>
          <t>PMS</t>
        </is>
      </c>
      <c r="H8" s="49" t="n">
        <v>2</v>
      </c>
      <c r="I8" s="74" t="n">
        <v>250</v>
      </c>
      <c r="J8" s="75" t="n"/>
      <c r="K8" s="48" t="n"/>
    </row>
    <row r="9">
      <c r="B9" s="51" t="n">
        <v>184752</v>
      </c>
      <c r="C9" s="53" t="inlineStr">
        <is>
          <t>Rubis Energy Zambia</t>
        </is>
      </c>
      <c r="D9" s="53" t="inlineStr">
        <is>
          <t>Beira → Lusaka</t>
        </is>
      </c>
      <c r="E9" s="53" t="inlineStr">
        <is>
          <t>Beira</t>
        </is>
      </c>
      <c r="F9" s="53" t="inlineStr">
        <is>
          <t>Lusaka</t>
        </is>
      </c>
      <c r="G9" s="53" t="inlineStr">
        <is>
          <t>PMS</t>
        </is>
      </c>
      <c r="H9" s="54" t="n">
        <v>2</v>
      </c>
      <c r="I9" s="72" t="n">
        <v>250</v>
      </c>
      <c r="J9" s="73" t="n"/>
      <c r="K9" s="53" t="n"/>
    </row>
    <row r="10">
      <c r="B10" s="46" t="n">
        <v>184834</v>
      </c>
      <c r="C10" s="48" t="inlineStr">
        <is>
          <t>Reliance Energy Zambia</t>
        </is>
      </c>
      <c r="D10" s="48" t="inlineStr">
        <is>
          <t>Beira → Lusaka</t>
        </is>
      </c>
      <c r="E10" s="48" t="inlineStr">
        <is>
          <t>Beira</t>
        </is>
      </c>
      <c r="F10" s="48" t="inlineStr">
        <is>
          <t>Lusaka</t>
        </is>
      </c>
      <c r="G10" s="48" t="inlineStr">
        <is>
          <t>PMS</t>
        </is>
      </c>
      <c r="H10" s="49" t="n">
        <v>2</v>
      </c>
      <c r="I10" s="74" t="n">
        <v>250</v>
      </c>
      <c r="J10" s="75" t="n"/>
      <c r="K10" s="48" t="n"/>
    </row>
    <row r="11">
      <c r="B11" s="51" t="n">
        <v>185260</v>
      </c>
      <c r="C11" s="53" t="inlineStr">
        <is>
          <t>Rubis Energy Zambia</t>
        </is>
      </c>
      <c r="D11" s="53" t="inlineStr">
        <is>
          <t>Beira → Lusaka</t>
        </is>
      </c>
      <c r="E11" s="53" t="inlineStr">
        <is>
          <t>Beira</t>
        </is>
      </c>
      <c r="F11" s="53" t="inlineStr">
        <is>
          <t>Lusaka</t>
        </is>
      </c>
      <c r="G11" s="53" t="inlineStr">
        <is>
          <t>PMS</t>
        </is>
      </c>
      <c r="H11" s="54" t="n">
        <v>2</v>
      </c>
      <c r="I11" s="72" t="n">
        <v>250</v>
      </c>
      <c r="J11" s="73" t="n"/>
      <c r="K11" s="53" t="n"/>
    </row>
    <row r="12">
      <c r="B12" s="46" t="n">
        <v>185732</v>
      </c>
      <c r="C12" s="48" t="inlineStr">
        <is>
          <t>Rubis Energy Zambia</t>
        </is>
      </c>
      <c r="D12" s="48" t="inlineStr">
        <is>
          <t>Beira → Lusaka</t>
        </is>
      </c>
      <c r="E12" s="48" t="inlineStr">
        <is>
          <t>Beira</t>
        </is>
      </c>
      <c r="F12" s="48" t="inlineStr">
        <is>
          <t>Lusaka</t>
        </is>
      </c>
      <c r="G12" s="48" t="inlineStr">
        <is>
          <t>PMS</t>
        </is>
      </c>
      <c r="H12" s="49" t="n">
        <v>2</v>
      </c>
      <c r="I12" s="74" t="n">
        <v>250</v>
      </c>
      <c r="J12" s="75" t="n"/>
      <c r="K12" s="48" t="n"/>
    </row>
    <row r="13">
      <c r="B13" s="51" t="n">
        <v>186216</v>
      </c>
      <c r="C13" s="53" t="inlineStr">
        <is>
          <t>Rubis Energy Zambia</t>
        </is>
      </c>
      <c r="D13" s="53" t="inlineStr">
        <is>
          <t>Beira → Lusaka</t>
        </is>
      </c>
      <c r="E13" s="53" t="inlineStr">
        <is>
          <t>Beira</t>
        </is>
      </c>
      <c r="F13" s="53" t="inlineStr">
        <is>
          <t>Lusaka</t>
        </is>
      </c>
      <c r="G13" s="53" t="inlineStr">
        <is>
          <t>PMS</t>
        </is>
      </c>
      <c r="H13" s="54" t="n">
        <v>2</v>
      </c>
      <c r="I13" s="72" t="n">
        <v>250</v>
      </c>
      <c r="J13" s="73" t="n"/>
      <c r="K13" s="53" t="n"/>
    </row>
    <row r="14">
      <c r="B14" s="46" t="n">
        <v>186326</v>
      </c>
      <c r="C14" s="48" t="inlineStr">
        <is>
          <t>La Grace De Dieu Avec Nous Sarl</t>
        </is>
      </c>
      <c r="D14" s="48" t="inlineStr">
        <is>
          <t>Beira → Lusaka</t>
        </is>
      </c>
      <c r="E14" s="48" t="inlineStr">
        <is>
          <t>Beira</t>
        </is>
      </c>
      <c r="F14" s="48" t="inlineStr">
        <is>
          <t>Lusaka</t>
        </is>
      </c>
      <c r="G14" s="48" t="inlineStr">
        <is>
          <t>PMS</t>
        </is>
      </c>
      <c r="H14" s="49" t="n">
        <v>2</v>
      </c>
      <c r="I14" s="74" t="n">
        <v>250</v>
      </c>
      <c r="J14" s="75" t="n"/>
      <c r="K14" s="48" t="n"/>
    </row>
    <row r="15">
      <c r="B15" s="51" t="n">
        <v>187293</v>
      </c>
      <c r="C15" s="53" t="inlineStr">
        <is>
          <t>Lake Petroleum Zambia</t>
        </is>
      </c>
      <c r="D15" s="53" t="inlineStr">
        <is>
          <t>Beira → Lusaka</t>
        </is>
      </c>
      <c r="E15" s="53" t="inlineStr">
        <is>
          <t>Beira</t>
        </is>
      </c>
      <c r="F15" s="53" t="inlineStr">
        <is>
          <t>Lusaka</t>
        </is>
      </c>
      <c r="G15" s="53" t="inlineStr">
        <is>
          <t>PMS</t>
        </is>
      </c>
      <c r="H15" s="54" t="n">
        <v>2</v>
      </c>
      <c r="I15" s="72" t="n">
        <v>250</v>
      </c>
      <c r="J15" s="73" t="n">
        <v>122</v>
      </c>
      <c r="K15" s="53" t="inlineStr">
        <is>
          <t>Truckeaze</t>
        </is>
      </c>
    </row>
    <row r="16">
      <c r="B16" s="46" t="n">
        <v>187296</v>
      </c>
      <c r="C16" s="48" t="inlineStr">
        <is>
          <t>Rubis Energy Zambia</t>
        </is>
      </c>
      <c r="D16" s="48" t="inlineStr">
        <is>
          <t>Beira → Lusaka</t>
        </is>
      </c>
      <c r="E16" s="48" t="inlineStr">
        <is>
          <t>Beira</t>
        </is>
      </c>
      <c r="F16" s="48" t="inlineStr">
        <is>
          <t>Lusaka</t>
        </is>
      </c>
      <c r="G16" s="48" t="inlineStr">
        <is>
          <t>PMS</t>
        </is>
      </c>
      <c r="H16" s="49" t="n">
        <v>2</v>
      </c>
      <c r="I16" s="74" t="n">
        <v>250</v>
      </c>
      <c r="J16" s="75" t="n"/>
      <c r="K16" s="48" t="n"/>
    </row>
    <row r="17">
      <c r="B17" s="51" t="n">
        <v>189084</v>
      </c>
      <c r="C17" s="53" t="inlineStr">
        <is>
          <t>Rubis Energy Zambia</t>
        </is>
      </c>
      <c r="D17" s="53" t="inlineStr">
        <is>
          <t>Beira → Lusaka</t>
        </is>
      </c>
      <c r="E17" s="53" t="inlineStr">
        <is>
          <t>Beira</t>
        </is>
      </c>
      <c r="F17" s="53" t="inlineStr">
        <is>
          <t>Lusaka</t>
        </is>
      </c>
      <c r="G17" s="53" t="inlineStr">
        <is>
          <t>PMS</t>
        </is>
      </c>
      <c r="H17" s="54" t="n">
        <v>2</v>
      </c>
      <c r="I17" s="72" t="n">
        <v>250</v>
      </c>
      <c r="J17" s="73" t="n"/>
      <c r="K17" s="53" t="n"/>
    </row>
    <row r="18">
      <c r="B18" s="46" t="n">
        <v>190261</v>
      </c>
      <c r="C18" s="48" t="inlineStr">
        <is>
          <t>Lake Petroleum Zambia</t>
        </is>
      </c>
      <c r="D18" s="48" t="inlineStr">
        <is>
          <t>Beira → Lusaka</t>
        </is>
      </c>
      <c r="E18" s="48" t="inlineStr">
        <is>
          <t>Beira</t>
        </is>
      </c>
      <c r="F18" s="48" t="inlineStr">
        <is>
          <t>Lusaka</t>
        </is>
      </c>
      <c r="G18" s="48" t="inlineStr">
        <is>
          <t>PMS</t>
        </is>
      </c>
      <c r="H18" s="49" t="n">
        <v>2</v>
      </c>
      <c r="I18" s="74" t="n">
        <v>250</v>
      </c>
      <c r="J18" s="75" t="n"/>
      <c r="K18" s="48" t="n"/>
    </row>
    <row r="19">
      <c r="B19" s="51" t="n">
        <v>190664</v>
      </c>
      <c r="C19" s="53" t="inlineStr">
        <is>
          <t>Rubis Energy Zambia</t>
        </is>
      </c>
      <c r="D19" s="53" t="inlineStr">
        <is>
          <t>Beira → Lusaka</t>
        </is>
      </c>
      <c r="E19" s="53" t="inlineStr">
        <is>
          <t>Beira</t>
        </is>
      </c>
      <c r="F19" s="53" t="inlineStr">
        <is>
          <t>Lusaka</t>
        </is>
      </c>
      <c r="G19" s="53" t="inlineStr">
        <is>
          <t>PMS</t>
        </is>
      </c>
      <c r="H19" s="54" t="n">
        <v>2</v>
      </c>
      <c r="I19" s="72" t="n">
        <v>250</v>
      </c>
      <c r="J19" s="73" t="n"/>
      <c r="K19" s="53" t="n"/>
    </row>
    <row r="20">
      <c r="B20" s="46" t="n">
        <v>191609</v>
      </c>
      <c r="C20" s="48" t="inlineStr">
        <is>
          <t>Rubis Energy Zambia</t>
        </is>
      </c>
      <c r="D20" s="48" t="inlineStr">
        <is>
          <t>Beira → Lusaka</t>
        </is>
      </c>
      <c r="E20" s="48" t="inlineStr">
        <is>
          <t>Beira</t>
        </is>
      </c>
      <c r="F20" s="48" t="inlineStr">
        <is>
          <t>Lusaka</t>
        </is>
      </c>
      <c r="G20" s="48" t="inlineStr">
        <is>
          <t>PMS</t>
        </is>
      </c>
      <c r="H20" s="49" t="n">
        <v>2</v>
      </c>
      <c r="I20" s="74" t="n">
        <v>250</v>
      </c>
      <c r="J20" s="75" t="n"/>
      <c r="K20" s="48" t="n"/>
    </row>
    <row r="21">
      <c r="B21" s="51" t="n">
        <v>191610</v>
      </c>
      <c r="C21" s="53" t="inlineStr">
        <is>
          <t>Rubis Energy Zambia</t>
        </is>
      </c>
      <c r="D21" s="53" t="inlineStr">
        <is>
          <t>Beira → Lusaka</t>
        </is>
      </c>
      <c r="E21" s="53" t="inlineStr">
        <is>
          <t>Beira</t>
        </is>
      </c>
      <c r="F21" s="53" t="inlineStr">
        <is>
          <t>Lusaka</t>
        </is>
      </c>
      <c r="G21" s="53" t="inlineStr">
        <is>
          <t>PMS</t>
        </is>
      </c>
      <c r="H21" s="54" t="n">
        <v>2</v>
      </c>
      <c r="I21" s="72" t="n">
        <v>250</v>
      </c>
      <c r="J21" s="73" t="n"/>
      <c r="K21" s="53" t="n"/>
    </row>
    <row r="22">
      <c r="B22" s="46" t="n">
        <v>184182</v>
      </c>
      <c r="C22" s="48" t="inlineStr">
        <is>
          <t>Rubis Energy Zambia</t>
        </is>
      </c>
      <c r="D22" s="48" t="inlineStr">
        <is>
          <t>Beira → Lusaka</t>
        </is>
      </c>
      <c r="E22" s="48" t="inlineStr">
        <is>
          <t>Beira</t>
        </is>
      </c>
      <c r="F22" s="48" t="inlineStr">
        <is>
          <t>Lusaka</t>
        </is>
      </c>
      <c r="G22" s="48" t="inlineStr">
        <is>
          <t>AGO</t>
        </is>
      </c>
      <c r="H22" s="49" t="n">
        <v>2</v>
      </c>
      <c r="I22" s="74" t="n">
        <v>250</v>
      </c>
      <c r="J22" s="75" t="n"/>
      <c r="K22" s="48" t="n"/>
    </row>
    <row r="23">
      <c r="B23" s="51" t="n">
        <v>184663</v>
      </c>
      <c r="C23" s="53" t="inlineStr">
        <is>
          <t>Reliance Energy Zambia</t>
        </is>
      </c>
      <c r="D23" s="53" t="inlineStr">
        <is>
          <t>Beira → Lusaka</t>
        </is>
      </c>
      <c r="E23" s="53" t="inlineStr">
        <is>
          <t>Beira</t>
        </is>
      </c>
      <c r="F23" s="53" t="inlineStr">
        <is>
          <t>Lusaka</t>
        </is>
      </c>
      <c r="G23" s="53" t="inlineStr">
        <is>
          <t>AGO</t>
        </is>
      </c>
      <c r="H23" s="54" t="n">
        <v>2</v>
      </c>
      <c r="I23" s="72" t="n">
        <v>250</v>
      </c>
      <c r="J23" s="73" t="n"/>
      <c r="K23" s="53" t="n"/>
    </row>
    <row r="24">
      <c r="B24" s="46" t="n">
        <v>184978</v>
      </c>
      <c r="C24" s="48" t="inlineStr">
        <is>
          <t>Reliance Energy Zambia</t>
        </is>
      </c>
      <c r="D24" s="48" t="inlineStr">
        <is>
          <t>Beira → Lusaka</t>
        </is>
      </c>
      <c r="E24" s="48" t="inlineStr">
        <is>
          <t>Beira</t>
        </is>
      </c>
      <c r="F24" s="48" t="inlineStr">
        <is>
          <t>Lusaka</t>
        </is>
      </c>
      <c r="G24" s="48" t="inlineStr">
        <is>
          <t>AGO</t>
        </is>
      </c>
      <c r="H24" s="49" t="n">
        <v>2</v>
      </c>
      <c r="I24" s="74" t="n">
        <v>250</v>
      </c>
      <c r="J24" s="75" t="n"/>
      <c r="K24" s="48" t="n"/>
    </row>
    <row r="25">
      <c r="B25" s="51" t="n">
        <v>185350</v>
      </c>
      <c r="C25" s="53" t="inlineStr">
        <is>
          <t>ARV Energy</t>
        </is>
      </c>
      <c r="D25" s="53" t="inlineStr">
        <is>
          <t>Beira → Lusaka</t>
        </is>
      </c>
      <c r="E25" s="53" t="inlineStr">
        <is>
          <t>Beira</t>
        </is>
      </c>
      <c r="F25" s="53" t="inlineStr">
        <is>
          <t>Lusaka</t>
        </is>
      </c>
      <c r="G25" s="53" t="inlineStr">
        <is>
          <t>AGO</t>
        </is>
      </c>
      <c r="H25" s="54" t="n">
        <v>2</v>
      </c>
      <c r="I25" s="72" t="n">
        <v>250</v>
      </c>
      <c r="J25" s="73" t="n"/>
      <c r="K25" s="53" t="n"/>
    </row>
    <row r="26">
      <c r="B26" s="46" t="n">
        <v>189548</v>
      </c>
      <c r="C26" s="48" t="inlineStr">
        <is>
          <t>La Grace De Dieu Avec Nous Sarl</t>
        </is>
      </c>
      <c r="D26" s="48" t="inlineStr">
        <is>
          <t>Beira → Lusaka</t>
        </is>
      </c>
      <c r="E26" s="48" t="inlineStr">
        <is>
          <t>Beira</t>
        </is>
      </c>
      <c r="F26" s="48" t="inlineStr">
        <is>
          <t>Lusaka</t>
        </is>
      </c>
      <c r="G26" s="48" t="inlineStr">
        <is>
          <t>AGO</t>
        </is>
      </c>
      <c r="H26" s="49" t="n">
        <v>2</v>
      </c>
      <c r="I26" s="74" t="n">
        <v>250</v>
      </c>
      <c r="J26" s="75" t="n"/>
      <c r="K26" s="48" t="n"/>
    </row>
    <row r="27">
      <c r="B27" s="51" t="n">
        <v>190666</v>
      </c>
      <c r="C27" s="53" t="inlineStr">
        <is>
          <t>Rubis Energy Zambia</t>
        </is>
      </c>
      <c r="D27" s="53" t="inlineStr">
        <is>
          <t>Beira → Lusaka</t>
        </is>
      </c>
      <c r="E27" s="53" t="inlineStr">
        <is>
          <t>Beira</t>
        </is>
      </c>
      <c r="F27" s="53" t="inlineStr">
        <is>
          <t>Lusaka</t>
        </is>
      </c>
      <c r="G27" s="53" t="inlineStr">
        <is>
          <t>AGO</t>
        </is>
      </c>
      <c r="H27" s="54" t="n">
        <v>2</v>
      </c>
      <c r="I27" s="72" t="n">
        <v>250</v>
      </c>
      <c r="J27" s="73" t="n"/>
      <c r="K27" s="53" t="n"/>
    </row>
    <row r="28">
      <c r="B28" s="46" t="n">
        <v>190778</v>
      </c>
      <c r="C28" s="48" t="inlineStr">
        <is>
          <t>Lake Petroleum Zambia</t>
        </is>
      </c>
      <c r="D28" s="48" t="inlineStr">
        <is>
          <t>Beira → Lusaka</t>
        </is>
      </c>
      <c r="E28" s="48" t="inlineStr">
        <is>
          <t>Beira</t>
        </is>
      </c>
      <c r="F28" s="48" t="inlineStr">
        <is>
          <t>Lusaka</t>
        </is>
      </c>
      <c r="G28" s="48" t="inlineStr">
        <is>
          <t>AGO</t>
        </is>
      </c>
      <c r="H28" s="49" t="n">
        <v>2</v>
      </c>
      <c r="I28" s="74" t="n">
        <v>250</v>
      </c>
      <c r="J28" s="75" t="n">
        <v>135</v>
      </c>
      <c r="K28" s="48" t="inlineStr">
        <is>
          <t>Petroda</t>
        </is>
      </c>
    </row>
    <row r="29">
      <c r="B29" s="51" t="n">
        <v>190839</v>
      </c>
      <c r="C29" s="53" t="inlineStr">
        <is>
          <t>La Grace De Dieu Avec Nous Sarl</t>
        </is>
      </c>
      <c r="D29" s="53" t="inlineStr">
        <is>
          <t>Beira → Lusaka</t>
        </is>
      </c>
      <c r="E29" s="53" t="inlineStr">
        <is>
          <t>Beira</t>
        </is>
      </c>
      <c r="F29" s="53" t="inlineStr">
        <is>
          <t>Lusaka</t>
        </is>
      </c>
      <c r="G29" s="53" t="inlineStr">
        <is>
          <t>AGO</t>
        </is>
      </c>
      <c r="H29" s="54" t="n">
        <v>2</v>
      </c>
      <c r="I29" s="72" t="n">
        <v>250</v>
      </c>
      <c r="J29" s="73" t="n"/>
      <c r="K29" s="53" t="n"/>
    </row>
    <row r="30">
      <c r="B30" s="46" t="n">
        <v>191685</v>
      </c>
      <c r="C30" s="48" t="inlineStr">
        <is>
          <t>Monaluxe</t>
        </is>
      </c>
      <c r="D30" s="48" t="inlineStr">
        <is>
          <t>Beira → Lusaka</t>
        </is>
      </c>
      <c r="E30" s="48" t="inlineStr">
        <is>
          <t>Beira</t>
        </is>
      </c>
      <c r="F30" s="48" t="inlineStr">
        <is>
          <t>Lusaka</t>
        </is>
      </c>
      <c r="G30" s="48" t="inlineStr">
        <is>
          <t>AGO</t>
        </is>
      </c>
      <c r="H30" s="49" t="n">
        <v>2</v>
      </c>
      <c r="I30" s="74" t="n">
        <v>250</v>
      </c>
      <c r="J30" s="75" t="n"/>
      <c r="K30" s="48" t="n"/>
    </row>
  </sheetData>
  <mergeCells count="2">
    <mergeCell ref="B3:K3"/>
    <mergeCell ref="B2:K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6B7280"/>
    <outlinePr summaryBelow="1" summaryRight="1"/>
    <pageSetUpPr/>
  </sheetPr>
  <dimension ref="B2:D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22" customWidth="1" min="3" max="3"/>
    <col width="50" customWidth="1" min="4" max="4"/>
  </cols>
  <sheetData>
    <row r="2" ht="32" customHeight="1">
      <c r="B2" s="66" t="inlineStr">
        <is>
          <t>ASSUMPTIONS &amp; DEFAULTS</t>
        </is>
      </c>
    </row>
    <row r="3">
      <c r="B3" s="13" t="inlineStr">
        <is>
          <t>Edit gold cells to update the entire workbook.</t>
        </is>
      </c>
    </row>
    <row r="4">
      <c r="B4" s="14" t="n"/>
      <c r="C4" s="14" t="n"/>
      <c r="D4" s="14" t="n"/>
    </row>
    <row r="6" ht="22" customHeight="1">
      <c r="B6" s="76" t="inlineStr">
        <is>
          <t>COMMERCIAL DEFAULTS</t>
        </is>
      </c>
    </row>
    <row r="7" ht="20" customHeight="1">
      <c r="B7" s="77" t="inlineStr">
        <is>
          <t>Default laytime (days)</t>
        </is>
      </c>
      <c r="C7" s="78" t="n">
        <v>2</v>
      </c>
      <c r="D7" s="79" t="inlineStr">
        <is>
          <t>Free time at offloading before demurrage accrues.</t>
        </is>
      </c>
    </row>
    <row r="8" ht="20" customHeight="1">
      <c r="B8" s="77" t="inlineStr">
        <is>
          <t>Default demurrage rate (USD/day)</t>
        </is>
      </c>
      <c r="C8" s="78" t="n">
        <v>250</v>
      </c>
      <c r="D8" s="79" t="inlineStr">
        <is>
          <t>Per-truck per-day charge once laytime is exceeded.</t>
        </is>
      </c>
    </row>
    <row r="9" ht="20" customHeight="1">
      <c r="B9" s="77" t="inlineStr">
        <is>
          <t>Currency</t>
        </is>
      </c>
      <c r="C9" s="78" t="inlineStr">
        <is>
          <t>USD</t>
        </is>
      </c>
      <c r="D9" s="79" t="inlineStr">
        <is>
          <t>Reporting currency.</t>
        </is>
      </c>
    </row>
    <row r="10" ht="20" customHeight="1">
      <c r="B10" s="77" t="inlineStr">
        <is>
          <t>FX rate (local → USD)</t>
        </is>
      </c>
      <c r="C10" s="80" t="n">
        <v>1</v>
      </c>
      <c r="D10" s="79" t="inlineStr">
        <is>
          <t>1.00 if invoices already in USD.</t>
        </is>
      </c>
    </row>
    <row r="12" ht="22" customHeight="1">
      <c r="B12" s="76" t="inlineStr">
        <is>
          <t>REPORTING PERIOD</t>
        </is>
      </c>
    </row>
    <row r="13" ht="20" customHeight="1">
      <c r="B13" s="77" t="inlineStr">
        <is>
          <t>Period start</t>
        </is>
      </c>
      <c r="C13" s="81" t="n">
        <v>46023</v>
      </c>
      <c r="D13" s="79" t="inlineStr">
        <is>
          <t>Inclusive.</t>
        </is>
      </c>
    </row>
    <row r="14" ht="20" customHeight="1">
      <c r="B14" s="77" t="inlineStr">
        <is>
          <t>Period end</t>
        </is>
      </c>
      <c r="C14" s="81" t="n">
        <v>46142</v>
      </c>
      <c r="D14" s="79" t="inlineStr">
        <is>
          <t>Inclusive.</t>
        </is>
      </c>
    </row>
    <row r="15" ht="20" customHeight="1">
      <c r="B15" s="77" t="inlineStr">
        <is>
          <t>Report issued</t>
        </is>
      </c>
      <c r="C15" s="81" t="n">
        <v>46157</v>
      </c>
      <c r="D15" s="79" t="inlineStr"/>
    </row>
    <row r="17" ht="22" customHeight="1">
      <c r="B17" s="76" t="inlineStr">
        <is>
          <t>TOLERANCES &amp; FLAGS</t>
        </is>
      </c>
    </row>
    <row r="18" ht="20" customHeight="1">
      <c r="B18" s="77" t="inlineStr">
        <is>
          <t>Outlier threshold (waiting days)</t>
        </is>
      </c>
      <c r="C18" s="78" t="n">
        <v>7</v>
      </c>
      <c r="D18" s="79" t="inlineStr">
        <is>
          <t>Trips above this are highlighted.</t>
        </is>
      </c>
    </row>
    <row r="19" ht="20" customHeight="1">
      <c r="B19" s="77" t="inlineStr">
        <is>
          <t>Sanity tolerance (days)</t>
        </is>
      </c>
      <c r="C19" s="78" t="n">
        <v>0</v>
      </c>
      <c r="D19" s="79" t="inlineStr">
        <is>
          <t>Days of grace before flagging date inconsistency.</t>
        </is>
      </c>
    </row>
  </sheetData>
  <mergeCells count="5">
    <mergeCell ref="B3:D3"/>
    <mergeCell ref="B17:D17"/>
    <mergeCell ref="B12:D12"/>
    <mergeCell ref="B6:D6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B7280"/>
    <outlinePr summaryBelow="1" summaryRight="1"/>
    <pageSetUpPr/>
  </sheetPr>
  <dimension ref="B2:D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50" customWidth="1" min="3" max="3"/>
    <col width="40" customWidth="1" min="4" max="4"/>
  </cols>
  <sheetData>
    <row r="2" ht="32" customHeight="1">
      <c r="B2" s="66" t="inlineStr">
        <is>
          <t>COMPANY &amp; INVOICING DETAILS</t>
        </is>
      </c>
    </row>
    <row r="3">
      <c r="B3" s="13" t="inlineStr">
        <is>
          <t>Set once. Everything in invoices and statements is pulled from here.</t>
        </is>
      </c>
    </row>
    <row r="4">
      <c r="B4" s="14" t="n"/>
      <c r="C4" s="14" t="n"/>
      <c r="D4" s="14" t="n"/>
    </row>
    <row r="6" ht="22" customHeight="1">
      <c r="B6" s="76" t="inlineStr">
        <is>
          <t>COMPANY</t>
        </is>
      </c>
    </row>
    <row r="7" ht="22" customHeight="1">
      <c r="B7" s="77" t="inlineStr">
        <is>
          <t>Legal name</t>
        </is>
      </c>
      <c r="C7" s="82" t="inlineStr">
        <is>
          <t>Your Company Ltd.</t>
        </is>
      </c>
    </row>
    <row r="8" ht="22" customHeight="1">
      <c r="B8" s="77" t="inlineStr">
        <is>
          <t>Trading name</t>
        </is>
      </c>
      <c r="C8" s="82" t="inlineStr">
        <is>
          <t>Your Trading Co.</t>
        </is>
      </c>
    </row>
    <row r="9" ht="36" customHeight="1">
      <c r="B9" s="77" t="inlineStr">
        <is>
          <t>Address</t>
        </is>
      </c>
      <c r="C9" s="83" t="inlineStr">
        <is>
          <t>Street, City, Postcode, Country</t>
        </is>
      </c>
    </row>
    <row r="10" ht="22" customHeight="1">
      <c r="B10" s="77" t="inlineStr">
        <is>
          <t>VAT / TIN</t>
        </is>
      </c>
      <c r="C10" s="82" t="inlineStr">
        <is>
          <t>—</t>
        </is>
      </c>
    </row>
    <row r="11" ht="22" customHeight="1">
      <c r="B11" s="77" t="inlineStr">
        <is>
          <t>Phone</t>
        </is>
      </c>
      <c r="C11" s="82" t="inlineStr">
        <is>
          <t>+00 0 000 0000</t>
        </is>
      </c>
    </row>
    <row r="12" ht="22" customHeight="1">
      <c r="B12" s="77" t="inlineStr">
        <is>
          <t>Email</t>
        </is>
      </c>
      <c r="C12" s="82" t="inlineStr">
        <is>
          <t>invoicing@yourco.com</t>
        </is>
      </c>
    </row>
    <row r="14" ht="22" customHeight="1">
      <c r="B14" s="76" t="inlineStr">
        <is>
          <t>BANK DETAILS (USD)</t>
        </is>
      </c>
    </row>
    <row r="15" ht="22" customHeight="1">
      <c r="B15" s="77" t="inlineStr">
        <is>
          <t>Bank name</t>
        </is>
      </c>
      <c r="C15" s="82" t="inlineStr">
        <is>
          <t>Bank of —</t>
        </is>
      </c>
    </row>
    <row r="16" ht="22" customHeight="1">
      <c r="B16" s="77" t="inlineStr">
        <is>
          <t>Account name</t>
        </is>
      </c>
      <c r="C16" s="82" t="inlineStr">
        <is>
          <t>Your Company Ltd.</t>
        </is>
      </c>
    </row>
    <row r="17" ht="22" customHeight="1">
      <c r="B17" s="77" t="inlineStr">
        <is>
          <t>Account number</t>
        </is>
      </c>
      <c r="C17" s="82" t="inlineStr">
        <is>
          <t>0000000000</t>
        </is>
      </c>
    </row>
    <row r="18" ht="22" customHeight="1">
      <c r="B18" s="77" t="inlineStr">
        <is>
          <t>IBAN</t>
        </is>
      </c>
      <c r="C18" s="82" t="inlineStr">
        <is>
          <t>—</t>
        </is>
      </c>
    </row>
    <row r="19" ht="22" customHeight="1">
      <c r="B19" s="77" t="inlineStr">
        <is>
          <t>SWIFT / BIC</t>
        </is>
      </c>
      <c r="C19" s="82" t="inlineStr">
        <is>
          <t>—</t>
        </is>
      </c>
    </row>
    <row r="20" ht="22" customHeight="1">
      <c r="B20" s="77" t="inlineStr">
        <is>
          <t>Correspondent bank</t>
        </is>
      </c>
      <c r="C20" s="82" t="inlineStr">
        <is>
          <t>—</t>
        </is>
      </c>
    </row>
    <row r="22" ht="22" customHeight="1">
      <c r="B22" s="76" t="inlineStr">
        <is>
          <t>INVOICING</t>
        </is>
      </c>
    </row>
    <row r="23" ht="22" customHeight="1">
      <c r="B23" s="77" t="inlineStr">
        <is>
          <t>Invoice prefix</t>
        </is>
      </c>
      <c r="C23" s="82" t="inlineStr">
        <is>
          <t>INV-2026-</t>
        </is>
      </c>
    </row>
    <row r="24" ht="22" customHeight="1">
      <c r="B24" s="77" t="inlineStr">
        <is>
          <t>Next invoice number</t>
        </is>
      </c>
      <c r="C24" s="84" t="n">
        <v>1</v>
      </c>
    </row>
    <row r="25" ht="22" customHeight="1">
      <c r="B25" s="77" t="inlineStr">
        <is>
          <t>Payment terms (days)</t>
        </is>
      </c>
      <c r="C25" s="84" t="n">
        <v>30</v>
      </c>
    </row>
    <row r="26" ht="22" customHeight="1">
      <c r="B26" s="77" t="inlineStr">
        <is>
          <t>VAT rate</t>
        </is>
      </c>
      <c r="C26" s="85" t="n">
        <v>0</v>
      </c>
    </row>
    <row r="27" ht="40" customHeight="1">
      <c r="B27" s="77" t="inlineStr">
        <is>
          <t>Footer note</t>
        </is>
      </c>
      <c r="C27" s="83" t="inlineStr">
        <is>
          <t>Thank you for your business. Late payments accrue interest at 1.5% per month.</t>
        </is>
      </c>
    </row>
  </sheetData>
  <mergeCells count="5">
    <mergeCell ref="B3:D3"/>
    <mergeCell ref="B14:D14"/>
    <mergeCell ref="B22:D22"/>
    <mergeCell ref="B6:D6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2026-05-15T19:38:33Z</dcterms:created>
  <dcterms:modified xsi:type="dcterms:W3CDTF">2026-05-15T19:38:34Z</dcterms:modified>
</cp:coreProperties>
</file>