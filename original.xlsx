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coh.sharepoint.com/sites/MocohSA/Shared Documents/Operations/East Africa/Spreadsheets/"/>
    </mc:Choice>
  </mc:AlternateContent>
  <xr:revisionPtr revIDLastSave="3629" documentId="8_{9BADF9E7-9508-42AE-A4B9-76251CF07519}" xr6:coauthVersionLast="47" xr6:coauthVersionMax="47" xr10:uidLastSave="{4648DD95-4773-4247-AD7C-5EDD544CB1C6}"/>
  <bookViews>
    <workbookView xWindow="28680" yWindow="-120" windowWidth="29040" windowHeight="15720" firstSheet="6" activeTab="10" xr2:uid="{65007D74-EA7E-4483-AFCC-A45E200B3FFF}"/>
  </bookViews>
  <sheets>
    <sheet name="Deals Master" sheetId="2" r:id="rId1"/>
    <sheet name="Dashboard" sheetId="4" r:id="rId2"/>
    <sheet name="184119 - RUBIS - BEIRA-LSK" sheetId="6" r:id="rId3"/>
    <sheet name="184752 - RUBIS - BEIRA-LSK" sheetId="7" r:id="rId4"/>
    <sheet name="184834 - RELIANCE - BEIRA-LSK" sheetId="9" r:id="rId5"/>
    <sheet name="186216-RUBIS-BEIRA-LSK" sheetId="10" r:id="rId6"/>
    <sheet name="187293-LAKE-BEIRA-LSK" sheetId="11" r:id="rId7"/>
    <sheet name="187296-RUBIS-BEIRA-LSK" sheetId="12" r:id="rId8"/>
    <sheet name="189084-RUBIS-BEIRA-LSK" sheetId="13" r:id="rId9"/>
    <sheet name="190261-LAKE-BEIRA-LSK" sheetId="14" r:id="rId10"/>
    <sheet name="190664-RUBIS-BEIRA-LSK" sheetId="15" r:id="rId11"/>
    <sheet name="191609-RUBIS-BEIRA-LSK" sheetId="16" r:id="rId12"/>
    <sheet name="191610-RUBIS-BEIRA-LSK" sheetId="17" r:id="rId13"/>
    <sheet name="184182-RUBIS-BEIRA-LSK" sheetId="18" r:id="rId14"/>
    <sheet name="190778-LAKE-BEIRA-LSK" sheetId="21" r:id="rId15"/>
    <sheet name="TEMPLATE" sheetId="20" r:id="rId16"/>
  </sheets>
  <definedNames>
    <definedName name="DealNoDefault" localSheetId="2">'184119 - RUBIS - BEIRA-LSK'!$O$5</definedName>
    <definedName name="DealNoDefault" localSheetId="13">'184182-RUBIS-BEIRA-LSK'!$O$5</definedName>
    <definedName name="DealNoDefault" localSheetId="3">'184752 - RUBIS - BEIRA-LSK'!$O$5</definedName>
    <definedName name="DealNoDefault" localSheetId="4">'184834 - RELIANCE - BEIRA-LSK'!$O$5</definedName>
    <definedName name="DealNoDefault" localSheetId="5">'186216-RUBIS-BEIRA-LSK'!$O$5</definedName>
    <definedName name="DealNoDefault" localSheetId="6">'187293-LAKE-BEIRA-LSK'!$O$5</definedName>
    <definedName name="DealNoDefault" localSheetId="7">'187296-RUBIS-BEIRA-LSK'!$O$5</definedName>
    <definedName name="DealNoDefault" localSheetId="8">'189084-RUBIS-BEIRA-LSK'!$O$5</definedName>
    <definedName name="DealNoDefault" localSheetId="9">'190261-LAKE-BEIRA-LSK'!$O$5</definedName>
    <definedName name="DealNoDefault" localSheetId="10">'190664-RUBIS-BEIRA-LSK'!$O$5</definedName>
    <definedName name="DealNoDefault" localSheetId="14">'190778-LAKE-BEIRA-LSK'!$O$5</definedName>
    <definedName name="DealNoDefault" localSheetId="11">'191609-RUBIS-BEIRA-LSK'!$O$5</definedName>
    <definedName name="DealNoDefault" localSheetId="12">'191610-RUBIS-BEIRA-LSK'!$O$5</definedName>
    <definedName name="DealNoDefault" localSheetId="15">TEMPLATE!$O$5</definedName>
    <definedName name="DealNoDefault">#REF!</definedName>
    <definedName name="LaytimeDefault" localSheetId="2">'184119 - RUBIS - BEIRA-LSK'!$O$6</definedName>
    <definedName name="LaytimeDefault" localSheetId="13">'184182-RUBIS-BEIRA-LSK'!$O$6</definedName>
    <definedName name="LaytimeDefault" localSheetId="3">'184752 - RUBIS - BEIRA-LSK'!$O$6</definedName>
    <definedName name="LaytimeDefault" localSheetId="4">'184834 - RELIANCE - BEIRA-LSK'!$O$6</definedName>
    <definedName name="LaytimeDefault" localSheetId="5">'186216-RUBIS-BEIRA-LSK'!$O$6</definedName>
    <definedName name="LaytimeDefault" localSheetId="6">'187293-LAKE-BEIRA-LSK'!$O$6</definedName>
    <definedName name="LaytimeDefault" localSheetId="7">'187296-RUBIS-BEIRA-LSK'!$O$6</definedName>
    <definedName name="LaytimeDefault" localSheetId="8">'189084-RUBIS-BEIRA-LSK'!$O$6</definedName>
    <definedName name="LaytimeDefault" localSheetId="9">'190261-LAKE-BEIRA-LSK'!$O$6</definedName>
    <definedName name="LaytimeDefault" localSheetId="10">'190664-RUBIS-BEIRA-LSK'!$O$6</definedName>
    <definedName name="LaytimeDefault" localSheetId="14">'190778-LAKE-BEIRA-LSK'!$O$6</definedName>
    <definedName name="LaytimeDefault" localSheetId="11">'191609-RUBIS-BEIRA-LSK'!$O$6</definedName>
    <definedName name="LaytimeDefault" localSheetId="12">'191610-RUBIS-BEIRA-LSK'!$O$6</definedName>
    <definedName name="LaytimeDefault" localSheetId="15">TEMPLATE!$O$6</definedName>
    <definedName name="LaytimeDefault">#REF!</definedName>
    <definedName name="_xlnm.Print_Area" localSheetId="2">'184119 - RUBIS - BEIRA-LSK'!$A$1:$P$33</definedName>
    <definedName name="_xlnm.Print_Titles" localSheetId="2">'184119 - RUBIS - BEIRA-LSK'!$9:$9</definedName>
    <definedName name="RateDefault" localSheetId="2">'184119 - RUBIS - BEIRA-LSK'!$O$7</definedName>
    <definedName name="RateDefault" localSheetId="13">'184182-RUBIS-BEIRA-LSK'!$O$7</definedName>
    <definedName name="RateDefault" localSheetId="3">'184752 - RUBIS - BEIRA-LSK'!$O$7</definedName>
    <definedName name="RateDefault" localSheetId="4">'184834 - RELIANCE - BEIRA-LSK'!$O$7</definedName>
    <definedName name="RateDefault" localSheetId="5">'186216-RUBIS-BEIRA-LSK'!$O$7</definedName>
    <definedName name="RateDefault" localSheetId="6">'187293-LAKE-BEIRA-LSK'!$O$7</definedName>
    <definedName name="RateDefault" localSheetId="7">'187296-RUBIS-BEIRA-LSK'!$O$7</definedName>
    <definedName name="RateDefault" localSheetId="8">'189084-RUBIS-BEIRA-LSK'!$O$7</definedName>
    <definedName name="RateDefault" localSheetId="9">'190261-LAKE-BEIRA-LSK'!$O$7</definedName>
    <definedName name="RateDefault" localSheetId="10">'190664-RUBIS-BEIRA-LSK'!$O$7</definedName>
    <definedName name="RateDefault" localSheetId="14">'190778-LAKE-BEIRA-LSK'!$O$7</definedName>
    <definedName name="RateDefault" localSheetId="11">'191609-RUBIS-BEIRA-LSK'!$O$7</definedName>
    <definedName name="RateDefault" localSheetId="12">'191610-RUBIS-BEIRA-LSK'!$O$7</definedName>
    <definedName name="RateDefault" localSheetId="15">TEMPLATE!$O$7</definedName>
    <definedName name="RateDefaul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8" i="15" l="1"/>
  <c r="P29" i="15"/>
  <c r="P30" i="15"/>
  <c r="P31" i="15"/>
  <c r="P32" i="15"/>
  <c r="P33" i="15"/>
  <c r="P34" i="15"/>
  <c r="P35" i="15"/>
  <c r="P36" i="15"/>
  <c r="P37" i="15"/>
  <c r="P38" i="15"/>
  <c r="M22" i="15"/>
  <c r="M23" i="15"/>
  <c r="M24" i="15"/>
  <c r="M25" i="15"/>
  <c r="M26" i="15"/>
  <c r="M27" i="15"/>
  <c r="P27" i="15" s="1"/>
  <c r="O27" i="15"/>
  <c r="M28" i="15"/>
  <c r="M29" i="15"/>
  <c r="M30" i="15"/>
  <c r="M31" i="15"/>
  <c r="M32" i="15"/>
  <c r="M33" i="15"/>
  <c r="M34" i="15"/>
  <c r="I22" i="15"/>
  <c r="J22" i="15"/>
  <c r="I23" i="15"/>
  <c r="J23" i="15"/>
  <c r="I24" i="15"/>
  <c r="J24" i="15"/>
  <c r="I25" i="15"/>
  <c r="J25" i="15"/>
  <c r="I26" i="15"/>
  <c r="J26" i="15"/>
  <c r="I27" i="15"/>
  <c r="J27" i="15"/>
  <c r="I28" i="15"/>
  <c r="J28" i="15"/>
  <c r="I29" i="15"/>
  <c r="J29" i="15"/>
  <c r="I30" i="15"/>
  <c r="J30" i="15"/>
  <c r="I31" i="15"/>
  <c r="J31" i="15"/>
  <c r="I32" i="15"/>
  <c r="J32" i="15"/>
  <c r="I33" i="15"/>
  <c r="J33" i="15"/>
  <c r="I34" i="15"/>
  <c r="J34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A22" i="15"/>
  <c r="B22" i="15"/>
  <c r="A23" i="15"/>
  <c r="B23" i="15"/>
  <c r="A24" i="15"/>
  <c r="B24" i="15"/>
  <c r="A25" i="15"/>
  <c r="B25" i="15"/>
  <c r="A26" i="15"/>
  <c r="B26" i="15"/>
  <c r="A27" i="15"/>
  <c r="B27" i="15"/>
  <c r="A28" i="15"/>
  <c r="B28" i="15"/>
  <c r="A29" i="15"/>
  <c r="B29" i="15"/>
  <c r="A30" i="15"/>
  <c r="B30" i="15"/>
  <c r="A31" i="15"/>
  <c r="B31" i="15"/>
  <c r="A32" i="15"/>
  <c r="B32" i="15"/>
  <c r="A33" i="15"/>
  <c r="B33" i="15"/>
  <c r="A34" i="15"/>
  <c r="B34" i="15"/>
  <c r="A20" i="14"/>
  <c r="B20" i="14"/>
  <c r="M29" i="11"/>
  <c r="M30" i="11"/>
  <c r="M31" i="11"/>
  <c r="M32" i="11"/>
  <c r="P32" i="11" s="1"/>
  <c r="M33" i="11"/>
  <c r="M34" i="11"/>
  <c r="M35" i="11"/>
  <c r="M36" i="11"/>
  <c r="M37" i="11"/>
  <c r="M38" i="11"/>
  <c r="O29" i="11"/>
  <c r="P29" i="11"/>
  <c r="O30" i="11"/>
  <c r="P30" i="11"/>
  <c r="O31" i="11"/>
  <c r="P31" i="11"/>
  <c r="O32" i="11"/>
  <c r="O33" i="11"/>
  <c r="P33" i="11"/>
  <c r="O34" i="11"/>
  <c r="P34" i="11"/>
  <c r="O35" i="11"/>
  <c r="P35" i="11"/>
  <c r="O36" i="11"/>
  <c r="P36" i="11"/>
  <c r="O37" i="11"/>
  <c r="P37" i="11"/>
  <c r="O38" i="11"/>
  <c r="P38" i="11"/>
  <c r="N31" i="11"/>
  <c r="N32" i="11"/>
  <c r="N33" i="11"/>
  <c r="N34" i="11"/>
  <c r="N35" i="11"/>
  <c r="N36" i="11"/>
  <c r="N37" i="11"/>
  <c r="N38" i="11"/>
  <c r="I31" i="11"/>
  <c r="J31" i="11"/>
  <c r="I32" i="11"/>
  <c r="J32" i="11"/>
  <c r="I33" i="11"/>
  <c r="J33" i="11"/>
  <c r="I34" i="11"/>
  <c r="J34" i="11"/>
  <c r="I35" i="11"/>
  <c r="J35" i="11"/>
  <c r="I36" i="11"/>
  <c r="J36" i="11"/>
  <c r="I37" i="11"/>
  <c r="J37" i="11"/>
  <c r="I38" i="11"/>
  <c r="J38" i="11"/>
  <c r="D31" i="11"/>
  <c r="D32" i="11"/>
  <c r="D33" i="11"/>
  <c r="D34" i="11"/>
  <c r="D35" i="11"/>
  <c r="D36" i="11"/>
  <c r="D37" i="11"/>
  <c r="D38" i="11"/>
  <c r="A31" i="11"/>
  <c r="B31" i="11"/>
  <c r="A32" i="11"/>
  <c r="B32" i="11"/>
  <c r="A33" i="11"/>
  <c r="B33" i="11"/>
  <c r="A34" i="11"/>
  <c r="B34" i="11"/>
  <c r="A35" i="11"/>
  <c r="B35" i="11"/>
  <c r="A36" i="11"/>
  <c r="B36" i="11"/>
  <c r="A37" i="11"/>
  <c r="B37" i="11"/>
  <c r="A38" i="11"/>
  <c r="B38" i="11"/>
  <c r="C11" i="4"/>
  <c r="D11" i="4"/>
  <c r="E11" i="4"/>
  <c r="A23" i="20"/>
  <c r="B23" i="20"/>
  <c r="D23" i="20"/>
  <c r="I23" i="20"/>
  <c r="J23" i="20"/>
  <c r="M23" i="20"/>
  <c r="A24" i="20"/>
  <c r="B24" i="20"/>
  <c r="D24" i="20"/>
  <c r="I24" i="20"/>
  <c r="J24" i="20"/>
  <c r="M24" i="20"/>
  <c r="P24" i="20" s="1"/>
  <c r="O24" i="20"/>
  <c r="A25" i="20"/>
  <c r="B25" i="20"/>
  <c r="D25" i="20"/>
  <c r="I25" i="20"/>
  <c r="J25" i="20"/>
  <c r="M25" i="20"/>
  <c r="O25" i="20"/>
  <c r="P25" i="20"/>
  <c r="A26" i="20"/>
  <c r="B26" i="20"/>
  <c r="D26" i="20"/>
  <c r="I26" i="20"/>
  <c r="J26" i="20"/>
  <c r="M26" i="20"/>
  <c r="P26" i="20" s="1"/>
  <c r="O26" i="20"/>
  <c r="A27" i="20"/>
  <c r="B27" i="20"/>
  <c r="D27" i="20"/>
  <c r="I27" i="20"/>
  <c r="J27" i="20"/>
  <c r="M27" i="20"/>
  <c r="O27" i="20"/>
  <c r="P27" i="20"/>
  <c r="A28" i="20"/>
  <c r="B28" i="20"/>
  <c r="D28" i="20"/>
  <c r="I28" i="20"/>
  <c r="J28" i="20"/>
  <c r="M28" i="20"/>
  <c r="P28" i="20" s="1"/>
  <c r="O28" i="20"/>
  <c r="A29" i="20"/>
  <c r="B29" i="20"/>
  <c r="D29" i="20"/>
  <c r="I29" i="20"/>
  <c r="J29" i="20"/>
  <c r="M29" i="20"/>
  <c r="P29" i="20" s="1"/>
  <c r="O29" i="20"/>
  <c r="A30" i="20"/>
  <c r="B30" i="20"/>
  <c r="D30" i="20"/>
  <c r="I30" i="20"/>
  <c r="J30" i="20"/>
  <c r="M30" i="20"/>
  <c r="O30" i="20"/>
  <c r="P30" i="20"/>
  <c r="A23" i="21"/>
  <c r="B23" i="21"/>
  <c r="D23" i="21"/>
  <c r="I23" i="21"/>
  <c r="J23" i="21"/>
  <c r="M23" i="21"/>
  <c r="A24" i="21"/>
  <c r="B24" i="21"/>
  <c r="D24" i="21"/>
  <c r="I24" i="21"/>
  <c r="J24" i="21"/>
  <c r="M24" i="21"/>
  <c r="A25" i="21"/>
  <c r="B25" i="21"/>
  <c r="D25" i="21"/>
  <c r="I25" i="21"/>
  <c r="J25" i="21"/>
  <c r="M25" i="21"/>
  <c r="P25" i="21" s="1"/>
  <c r="O25" i="21"/>
  <c r="A26" i="21"/>
  <c r="B26" i="21"/>
  <c r="D26" i="21"/>
  <c r="I26" i="21"/>
  <c r="J26" i="21"/>
  <c r="M26" i="21"/>
  <c r="A27" i="21"/>
  <c r="B27" i="21"/>
  <c r="D27" i="21"/>
  <c r="I27" i="21"/>
  <c r="J27" i="21"/>
  <c r="M27" i="21"/>
  <c r="O27" i="21"/>
  <c r="P27" i="21"/>
  <c r="A28" i="21"/>
  <c r="B28" i="21"/>
  <c r="D28" i="21"/>
  <c r="I28" i="21"/>
  <c r="J28" i="21"/>
  <c r="M28" i="21"/>
  <c r="O28" i="21"/>
  <c r="P28" i="21"/>
  <c r="A29" i="21"/>
  <c r="B29" i="21"/>
  <c r="D29" i="21"/>
  <c r="I29" i="21"/>
  <c r="J29" i="21"/>
  <c r="M29" i="21"/>
  <c r="O29" i="21"/>
  <c r="P29" i="21"/>
  <c r="A30" i="21"/>
  <c r="B30" i="21"/>
  <c r="D30" i="21"/>
  <c r="I30" i="21"/>
  <c r="J30" i="21"/>
  <c r="M30" i="21"/>
  <c r="P30" i="21" s="1"/>
  <c r="O30" i="21"/>
  <c r="A31" i="21"/>
  <c r="B31" i="21"/>
  <c r="D31" i="21"/>
  <c r="I31" i="21"/>
  <c r="J31" i="21"/>
  <c r="M31" i="21"/>
  <c r="P31" i="21" s="1"/>
  <c r="O31" i="21"/>
  <c r="A32" i="21"/>
  <c r="B32" i="21"/>
  <c r="D32" i="21"/>
  <c r="I32" i="21"/>
  <c r="J32" i="21"/>
  <c r="M32" i="21"/>
  <c r="O32" i="21"/>
  <c r="P32" i="21"/>
  <c r="A33" i="21"/>
  <c r="B33" i="21"/>
  <c r="D33" i="21"/>
  <c r="I33" i="21"/>
  <c r="J33" i="21"/>
  <c r="M33" i="21"/>
  <c r="O33" i="21"/>
  <c r="P33" i="21"/>
  <c r="M22" i="21"/>
  <c r="J22" i="21"/>
  <c r="I22" i="21"/>
  <c r="D22" i="21"/>
  <c r="B22" i="21"/>
  <c r="A22" i="21"/>
  <c r="M21" i="21"/>
  <c r="J21" i="21"/>
  <c r="I21" i="21"/>
  <c r="D21" i="21"/>
  <c r="B21" i="21"/>
  <c r="A21" i="21"/>
  <c r="M20" i="21"/>
  <c r="J20" i="21"/>
  <c r="I20" i="21"/>
  <c r="D20" i="21"/>
  <c r="B20" i="21"/>
  <c r="A20" i="21"/>
  <c r="M19" i="21"/>
  <c r="J19" i="21"/>
  <c r="I19" i="21"/>
  <c r="D19" i="21"/>
  <c r="B19" i="21"/>
  <c r="A19" i="21"/>
  <c r="M18" i="21"/>
  <c r="J18" i="21"/>
  <c r="I18" i="21"/>
  <c r="D18" i="21"/>
  <c r="B18" i="21"/>
  <c r="A18" i="21"/>
  <c r="M17" i="21"/>
  <c r="J17" i="21"/>
  <c r="I17" i="21"/>
  <c r="D17" i="21"/>
  <c r="B17" i="21"/>
  <c r="A17" i="21"/>
  <c r="M16" i="21"/>
  <c r="J16" i="21"/>
  <c r="I16" i="21"/>
  <c r="D16" i="21"/>
  <c r="B16" i="21"/>
  <c r="A16" i="21"/>
  <c r="M15" i="21"/>
  <c r="J15" i="21"/>
  <c r="I15" i="21"/>
  <c r="D15" i="21"/>
  <c r="B15" i="21"/>
  <c r="A15" i="21"/>
  <c r="M14" i="21"/>
  <c r="J14" i="21"/>
  <c r="I14" i="21"/>
  <c r="D14" i="21"/>
  <c r="B14" i="21"/>
  <c r="A14" i="21"/>
  <c r="M13" i="21"/>
  <c r="J13" i="21"/>
  <c r="I13" i="21"/>
  <c r="D13" i="21"/>
  <c r="B13" i="21"/>
  <c r="A13" i="21"/>
  <c r="M12" i="21"/>
  <c r="J12" i="21"/>
  <c r="I12" i="21"/>
  <c r="D12" i="21"/>
  <c r="B12" i="21"/>
  <c r="A12" i="21"/>
  <c r="M11" i="21"/>
  <c r="J11" i="21"/>
  <c r="I11" i="21"/>
  <c r="D11" i="21"/>
  <c r="B11" i="21"/>
  <c r="A11" i="21"/>
  <c r="M10" i="21"/>
  <c r="J10" i="21"/>
  <c r="I10" i="21"/>
  <c r="D10" i="21"/>
  <c r="B10" i="21"/>
  <c r="A10" i="21"/>
  <c r="O7" i="21"/>
  <c r="O6" i="21"/>
  <c r="C1" i="21"/>
  <c r="M22" i="20"/>
  <c r="J22" i="20"/>
  <c r="I22" i="20"/>
  <c r="D22" i="20"/>
  <c r="B22" i="20"/>
  <c r="A22" i="20"/>
  <c r="M21" i="20"/>
  <c r="J21" i="20"/>
  <c r="I21" i="20"/>
  <c r="D21" i="20"/>
  <c r="B21" i="20"/>
  <c r="A21" i="20"/>
  <c r="M20" i="20"/>
  <c r="J20" i="20"/>
  <c r="I20" i="20"/>
  <c r="D20" i="20"/>
  <c r="B20" i="20"/>
  <c r="A20" i="20"/>
  <c r="M19" i="20"/>
  <c r="J19" i="20"/>
  <c r="I19" i="20"/>
  <c r="D19" i="20"/>
  <c r="B19" i="20"/>
  <c r="A19" i="20"/>
  <c r="M18" i="20"/>
  <c r="J18" i="20"/>
  <c r="I18" i="20"/>
  <c r="D18" i="20"/>
  <c r="B18" i="20"/>
  <c r="A18" i="20"/>
  <c r="M17" i="20"/>
  <c r="J17" i="20"/>
  <c r="I17" i="20"/>
  <c r="D17" i="20"/>
  <c r="B17" i="20"/>
  <c r="A17" i="20"/>
  <c r="M16" i="20"/>
  <c r="J16" i="20"/>
  <c r="I16" i="20"/>
  <c r="D16" i="20"/>
  <c r="B16" i="20"/>
  <c r="A16" i="20"/>
  <c r="M15" i="20"/>
  <c r="J15" i="20"/>
  <c r="I15" i="20"/>
  <c r="D15" i="20"/>
  <c r="B15" i="20"/>
  <c r="A15" i="20"/>
  <c r="M14" i="20"/>
  <c r="J14" i="20"/>
  <c r="I14" i="20"/>
  <c r="D14" i="20"/>
  <c r="B14" i="20"/>
  <c r="A14" i="20"/>
  <c r="M13" i="20"/>
  <c r="J13" i="20"/>
  <c r="I13" i="20"/>
  <c r="D13" i="20"/>
  <c r="B13" i="20"/>
  <c r="A13" i="20"/>
  <c r="M12" i="20"/>
  <c r="J12" i="20"/>
  <c r="I12" i="20"/>
  <c r="D12" i="20"/>
  <c r="B12" i="20"/>
  <c r="A12" i="20"/>
  <c r="M11" i="20"/>
  <c r="J11" i="20"/>
  <c r="I11" i="20"/>
  <c r="D11" i="20"/>
  <c r="B11" i="20"/>
  <c r="A11" i="20"/>
  <c r="M10" i="20"/>
  <c r="J10" i="20"/>
  <c r="I10" i="20"/>
  <c r="D10" i="20"/>
  <c r="B10" i="20"/>
  <c r="A10" i="20"/>
  <c r="O7" i="20"/>
  <c r="O6" i="20"/>
  <c r="C1" i="20"/>
  <c r="M22" i="18"/>
  <c r="J22" i="18"/>
  <c r="I22" i="18"/>
  <c r="D22" i="18"/>
  <c r="B22" i="18"/>
  <c r="A22" i="18"/>
  <c r="M21" i="18"/>
  <c r="J21" i="18"/>
  <c r="I21" i="18"/>
  <c r="D21" i="18"/>
  <c r="B21" i="18"/>
  <c r="A21" i="18"/>
  <c r="M20" i="18"/>
  <c r="J20" i="18"/>
  <c r="I20" i="18"/>
  <c r="D20" i="18"/>
  <c r="B20" i="18"/>
  <c r="A20" i="18"/>
  <c r="M19" i="18"/>
  <c r="J19" i="18"/>
  <c r="I19" i="18"/>
  <c r="D19" i="18"/>
  <c r="B19" i="18"/>
  <c r="A19" i="18"/>
  <c r="M18" i="18"/>
  <c r="J18" i="18"/>
  <c r="I18" i="18"/>
  <c r="D18" i="18"/>
  <c r="B18" i="18"/>
  <c r="A18" i="18"/>
  <c r="M17" i="18"/>
  <c r="J17" i="18"/>
  <c r="I17" i="18"/>
  <c r="D17" i="18"/>
  <c r="B17" i="18"/>
  <c r="A17" i="18"/>
  <c r="M16" i="18"/>
  <c r="J16" i="18"/>
  <c r="I16" i="18"/>
  <c r="D16" i="18"/>
  <c r="B16" i="18"/>
  <c r="A16" i="18"/>
  <c r="M15" i="18"/>
  <c r="J15" i="18"/>
  <c r="I15" i="18"/>
  <c r="D15" i="18"/>
  <c r="B15" i="18"/>
  <c r="A15" i="18"/>
  <c r="M14" i="18"/>
  <c r="J14" i="18"/>
  <c r="I14" i="18"/>
  <c r="D14" i="18"/>
  <c r="B14" i="18"/>
  <c r="A14" i="18"/>
  <c r="M13" i="18"/>
  <c r="J13" i="18"/>
  <c r="I13" i="18"/>
  <c r="D13" i="18"/>
  <c r="B13" i="18"/>
  <c r="A13" i="18"/>
  <c r="M12" i="18"/>
  <c r="J12" i="18"/>
  <c r="I12" i="18"/>
  <c r="D12" i="18"/>
  <c r="B12" i="18"/>
  <c r="A12" i="18"/>
  <c r="M11" i="18"/>
  <c r="J11" i="18"/>
  <c r="I11" i="18"/>
  <c r="D11" i="18"/>
  <c r="B11" i="18"/>
  <c r="A11" i="18"/>
  <c r="M10" i="18"/>
  <c r="J10" i="18"/>
  <c r="I10" i="18"/>
  <c r="D10" i="18"/>
  <c r="B10" i="18"/>
  <c r="A10" i="18"/>
  <c r="O7" i="18"/>
  <c r="O6" i="18"/>
  <c r="C1" i="18"/>
  <c r="M31" i="17"/>
  <c r="J31" i="17"/>
  <c r="I31" i="17"/>
  <c r="D31" i="17"/>
  <c r="B31" i="17"/>
  <c r="A31" i="17"/>
  <c r="M30" i="17"/>
  <c r="J30" i="17"/>
  <c r="I30" i="17"/>
  <c r="D30" i="17"/>
  <c r="B30" i="17"/>
  <c r="A30" i="17"/>
  <c r="M29" i="17"/>
  <c r="J29" i="17"/>
  <c r="I29" i="17"/>
  <c r="D29" i="17"/>
  <c r="B29" i="17"/>
  <c r="A29" i="17"/>
  <c r="O28" i="17"/>
  <c r="M28" i="17"/>
  <c r="P28" i="17" s="1"/>
  <c r="J28" i="17"/>
  <c r="I28" i="17"/>
  <c r="D28" i="17"/>
  <c r="B28" i="17"/>
  <c r="A28" i="17"/>
  <c r="M27" i="17"/>
  <c r="J27" i="17"/>
  <c r="I27" i="17"/>
  <c r="D27" i="17"/>
  <c r="B27" i="17"/>
  <c r="A27" i="17"/>
  <c r="M26" i="17"/>
  <c r="J26" i="17"/>
  <c r="I26" i="17"/>
  <c r="D26" i="17"/>
  <c r="B26" i="17"/>
  <c r="A26" i="17"/>
  <c r="M25" i="17"/>
  <c r="J25" i="17"/>
  <c r="I25" i="17"/>
  <c r="D25" i="17"/>
  <c r="B25" i="17"/>
  <c r="A25" i="17"/>
  <c r="M24" i="17"/>
  <c r="J24" i="17"/>
  <c r="I24" i="17"/>
  <c r="D24" i="17"/>
  <c r="B24" i="17"/>
  <c r="A24" i="17"/>
  <c r="O23" i="17"/>
  <c r="M23" i="17"/>
  <c r="P23" i="17" s="1"/>
  <c r="J23" i="17"/>
  <c r="I23" i="17"/>
  <c r="D23" i="17"/>
  <c r="B23" i="17"/>
  <c r="A23" i="17"/>
  <c r="O22" i="17"/>
  <c r="M22" i="17"/>
  <c r="P22" i="17" s="1"/>
  <c r="J22" i="17"/>
  <c r="I22" i="17"/>
  <c r="D22" i="17"/>
  <c r="B22" i="17"/>
  <c r="A22" i="17"/>
  <c r="M21" i="17"/>
  <c r="J21" i="17"/>
  <c r="I21" i="17"/>
  <c r="D21" i="17"/>
  <c r="B21" i="17"/>
  <c r="A21" i="17"/>
  <c r="M20" i="17"/>
  <c r="J20" i="17"/>
  <c r="I20" i="17"/>
  <c r="D20" i="17"/>
  <c r="B20" i="17"/>
  <c r="A20" i="17"/>
  <c r="M19" i="17"/>
  <c r="J19" i="17"/>
  <c r="I19" i="17"/>
  <c r="D19" i="17"/>
  <c r="B19" i="17"/>
  <c r="A19" i="17"/>
  <c r="M18" i="17"/>
  <c r="J18" i="17"/>
  <c r="I18" i="17"/>
  <c r="D18" i="17"/>
  <c r="B18" i="17"/>
  <c r="A18" i="17"/>
  <c r="M17" i="17"/>
  <c r="J17" i="17"/>
  <c r="I17" i="17"/>
  <c r="D17" i="17"/>
  <c r="B17" i="17"/>
  <c r="A17" i="17"/>
  <c r="O16" i="17"/>
  <c r="M16" i="17"/>
  <c r="P16" i="17" s="1"/>
  <c r="J16" i="17"/>
  <c r="I16" i="17"/>
  <c r="D16" i="17"/>
  <c r="B16" i="17"/>
  <c r="A16" i="17"/>
  <c r="P15" i="17"/>
  <c r="M15" i="17"/>
  <c r="O15" i="17" s="1"/>
  <c r="J15" i="17"/>
  <c r="I15" i="17"/>
  <c r="D15" i="17"/>
  <c r="B15" i="17"/>
  <c r="A15" i="17"/>
  <c r="O14" i="17"/>
  <c r="M14" i="17"/>
  <c r="P14" i="17" s="1"/>
  <c r="J14" i="17"/>
  <c r="I14" i="17"/>
  <c r="D14" i="17"/>
  <c r="B14" i="17"/>
  <c r="A14" i="17"/>
  <c r="M13" i="17"/>
  <c r="J13" i="17"/>
  <c r="I13" i="17"/>
  <c r="D13" i="17"/>
  <c r="B13" i="17"/>
  <c r="A13" i="17"/>
  <c r="M12" i="17"/>
  <c r="J12" i="17"/>
  <c r="I12" i="17"/>
  <c r="D12" i="17"/>
  <c r="B12" i="17"/>
  <c r="A12" i="17"/>
  <c r="M11" i="17"/>
  <c r="J11" i="17"/>
  <c r="I11" i="17"/>
  <c r="D11" i="17"/>
  <c r="B11" i="17"/>
  <c r="A11" i="17"/>
  <c r="O10" i="17"/>
  <c r="M10" i="17"/>
  <c r="P10" i="17" s="1"/>
  <c r="J10" i="17"/>
  <c r="I10" i="17"/>
  <c r="D10" i="17"/>
  <c r="B10" i="17"/>
  <c r="A10" i="17"/>
  <c r="O7" i="17"/>
  <c r="O6" i="17"/>
  <c r="C1" i="17"/>
  <c r="M31" i="16"/>
  <c r="J31" i="16"/>
  <c r="I31" i="16"/>
  <c r="D31" i="16"/>
  <c r="B31" i="16"/>
  <c r="A31" i="16"/>
  <c r="M30" i="16"/>
  <c r="J30" i="16"/>
  <c r="I30" i="16"/>
  <c r="D30" i="16"/>
  <c r="B30" i="16"/>
  <c r="A30" i="16"/>
  <c r="M29" i="16"/>
  <c r="J29" i="16"/>
  <c r="I29" i="16"/>
  <c r="D29" i="16"/>
  <c r="B29" i="16"/>
  <c r="A29" i="16"/>
  <c r="M28" i="16"/>
  <c r="J28" i="16"/>
  <c r="I28" i="16"/>
  <c r="D28" i="16"/>
  <c r="B28" i="16"/>
  <c r="A28" i="16"/>
  <c r="O27" i="16"/>
  <c r="M27" i="16"/>
  <c r="P27" i="16" s="1"/>
  <c r="J27" i="16"/>
  <c r="I27" i="16"/>
  <c r="D27" i="16"/>
  <c r="B27" i="16"/>
  <c r="A27" i="16"/>
  <c r="M26" i="16"/>
  <c r="J26" i="16"/>
  <c r="I26" i="16"/>
  <c r="D26" i="16"/>
  <c r="B26" i="16"/>
  <c r="A26" i="16"/>
  <c r="M25" i="16"/>
  <c r="J25" i="16"/>
  <c r="I25" i="16"/>
  <c r="D25" i="16"/>
  <c r="B25" i="16"/>
  <c r="A25" i="16"/>
  <c r="O24" i="16"/>
  <c r="M24" i="16"/>
  <c r="P24" i="16" s="1"/>
  <c r="J24" i="16"/>
  <c r="I24" i="16"/>
  <c r="D24" i="16"/>
  <c r="B24" i="16"/>
  <c r="A24" i="16"/>
  <c r="M23" i="16"/>
  <c r="J23" i="16"/>
  <c r="I23" i="16"/>
  <c r="D23" i="16"/>
  <c r="B23" i="16"/>
  <c r="A23" i="16"/>
  <c r="M22" i="16"/>
  <c r="J22" i="16"/>
  <c r="I22" i="16"/>
  <c r="D22" i="16"/>
  <c r="B22" i="16"/>
  <c r="A22" i="16"/>
  <c r="M21" i="16"/>
  <c r="J21" i="16"/>
  <c r="I21" i="16"/>
  <c r="D21" i="16"/>
  <c r="B21" i="16"/>
  <c r="A21" i="16"/>
  <c r="M20" i="16"/>
  <c r="J20" i="16"/>
  <c r="I20" i="16"/>
  <c r="D20" i="16"/>
  <c r="B20" i="16"/>
  <c r="A20" i="16"/>
  <c r="O19" i="16"/>
  <c r="M19" i="16"/>
  <c r="P19" i="16" s="1"/>
  <c r="J19" i="16"/>
  <c r="I19" i="16"/>
  <c r="D19" i="16"/>
  <c r="B19" i="16"/>
  <c r="A19" i="16"/>
  <c r="M18" i="16"/>
  <c r="J18" i="16"/>
  <c r="I18" i="16"/>
  <c r="D18" i="16"/>
  <c r="B18" i="16"/>
  <c r="A18" i="16"/>
  <c r="M17" i="16"/>
  <c r="J17" i="16"/>
  <c r="I17" i="16"/>
  <c r="D17" i="16"/>
  <c r="B17" i="16"/>
  <c r="A17" i="16"/>
  <c r="M16" i="16"/>
  <c r="J16" i="16"/>
  <c r="I16" i="16"/>
  <c r="D16" i="16"/>
  <c r="B16" i="16"/>
  <c r="A16" i="16"/>
  <c r="O15" i="16"/>
  <c r="M15" i="16"/>
  <c r="P15" i="16" s="1"/>
  <c r="J15" i="16"/>
  <c r="I15" i="16"/>
  <c r="D15" i="16"/>
  <c r="B15" i="16"/>
  <c r="A15" i="16"/>
  <c r="M14" i="16"/>
  <c r="J14" i="16"/>
  <c r="I14" i="16"/>
  <c r="D14" i="16"/>
  <c r="B14" i="16"/>
  <c r="A14" i="16"/>
  <c r="M13" i="16"/>
  <c r="J13" i="16"/>
  <c r="I13" i="16"/>
  <c r="D13" i="16"/>
  <c r="B13" i="16"/>
  <c r="A13" i="16"/>
  <c r="M12" i="16"/>
  <c r="J12" i="16"/>
  <c r="I12" i="16"/>
  <c r="D12" i="16"/>
  <c r="B12" i="16"/>
  <c r="A12" i="16"/>
  <c r="M11" i="16"/>
  <c r="J11" i="16"/>
  <c r="I11" i="16"/>
  <c r="D11" i="16"/>
  <c r="B11" i="16"/>
  <c r="A11" i="16"/>
  <c r="M10" i="16"/>
  <c r="J10" i="16"/>
  <c r="I10" i="16"/>
  <c r="D10" i="16"/>
  <c r="B10" i="16"/>
  <c r="A10" i="16"/>
  <c r="O7" i="16"/>
  <c r="O6" i="16"/>
  <c r="C1" i="16"/>
  <c r="M38" i="15"/>
  <c r="J38" i="15"/>
  <c r="I38" i="15"/>
  <c r="D38" i="15"/>
  <c r="B38" i="15"/>
  <c r="A38" i="15"/>
  <c r="M37" i="15"/>
  <c r="J37" i="15"/>
  <c r="I37" i="15"/>
  <c r="D37" i="15"/>
  <c r="B37" i="15"/>
  <c r="A37" i="15"/>
  <c r="M36" i="15"/>
  <c r="J36" i="15"/>
  <c r="I36" i="15"/>
  <c r="D36" i="15"/>
  <c r="B36" i="15"/>
  <c r="A36" i="15"/>
  <c r="M35" i="15"/>
  <c r="J35" i="15"/>
  <c r="I35" i="15"/>
  <c r="D35" i="15"/>
  <c r="B35" i="15"/>
  <c r="A35" i="15"/>
  <c r="M21" i="15"/>
  <c r="J21" i="15"/>
  <c r="I21" i="15"/>
  <c r="D21" i="15"/>
  <c r="B21" i="15"/>
  <c r="A21" i="15"/>
  <c r="M20" i="15"/>
  <c r="J20" i="15"/>
  <c r="I20" i="15"/>
  <c r="D20" i="15"/>
  <c r="B20" i="15"/>
  <c r="A20" i="15"/>
  <c r="M19" i="15"/>
  <c r="J19" i="15"/>
  <c r="I19" i="15"/>
  <c r="D19" i="15"/>
  <c r="B19" i="15"/>
  <c r="A19" i="15"/>
  <c r="M18" i="15"/>
  <c r="J18" i="15"/>
  <c r="I18" i="15"/>
  <c r="D18" i="15"/>
  <c r="B18" i="15"/>
  <c r="A18" i="15"/>
  <c r="M17" i="15"/>
  <c r="J17" i="15"/>
  <c r="I17" i="15"/>
  <c r="D17" i="15"/>
  <c r="B17" i="15"/>
  <c r="A17" i="15"/>
  <c r="M16" i="15"/>
  <c r="J16" i="15"/>
  <c r="I16" i="15"/>
  <c r="D16" i="15"/>
  <c r="B16" i="15"/>
  <c r="A16" i="15"/>
  <c r="M15" i="15"/>
  <c r="J15" i="15"/>
  <c r="I15" i="15"/>
  <c r="D15" i="15"/>
  <c r="B15" i="15"/>
  <c r="A15" i="15"/>
  <c r="M14" i="15"/>
  <c r="J14" i="15"/>
  <c r="I14" i="15"/>
  <c r="D14" i="15"/>
  <c r="B14" i="15"/>
  <c r="A14" i="15"/>
  <c r="M13" i="15"/>
  <c r="J13" i="15"/>
  <c r="I13" i="15"/>
  <c r="D13" i="15"/>
  <c r="B13" i="15"/>
  <c r="A13" i="15"/>
  <c r="M12" i="15"/>
  <c r="J12" i="15"/>
  <c r="I12" i="15"/>
  <c r="D12" i="15"/>
  <c r="B12" i="15"/>
  <c r="A12" i="15"/>
  <c r="M11" i="15"/>
  <c r="J11" i="15"/>
  <c r="I11" i="15"/>
  <c r="D11" i="15"/>
  <c r="B11" i="15"/>
  <c r="A11" i="15"/>
  <c r="M10" i="15"/>
  <c r="J10" i="15"/>
  <c r="I10" i="15"/>
  <c r="D10" i="15"/>
  <c r="B10" i="15"/>
  <c r="A10" i="15"/>
  <c r="O7" i="15"/>
  <c r="O6" i="15"/>
  <c r="C1" i="15"/>
  <c r="M31" i="14"/>
  <c r="J31" i="14"/>
  <c r="I31" i="14"/>
  <c r="D31" i="14"/>
  <c r="B31" i="14"/>
  <c r="A31" i="14"/>
  <c r="M30" i="14"/>
  <c r="J30" i="14"/>
  <c r="I30" i="14"/>
  <c r="D30" i="14"/>
  <c r="B30" i="14"/>
  <c r="A30" i="14"/>
  <c r="M29" i="14"/>
  <c r="J29" i="14"/>
  <c r="I29" i="14"/>
  <c r="D29" i="14"/>
  <c r="B29" i="14"/>
  <c r="A29" i="14"/>
  <c r="M28" i="14"/>
  <c r="J28" i="14"/>
  <c r="I28" i="14"/>
  <c r="D28" i="14"/>
  <c r="B28" i="14"/>
  <c r="A28" i="14"/>
  <c r="M27" i="14"/>
  <c r="J27" i="14"/>
  <c r="I27" i="14"/>
  <c r="D27" i="14"/>
  <c r="B27" i="14"/>
  <c r="A27" i="14"/>
  <c r="M26" i="14"/>
  <c r="J26" i="14"/>
  <c r="I26" i="14"/>
  <c r="D26" i="14"/>
  <c r="B26" i="14"/>
  <c r="A26" i="14"/>
  <c r="M25" i="14"/>
  <c r="J25" i="14"/>
  <c r="I25" i="14"/>
  <c r="D25" i="14"/>
  <c r="B25" i="14"/>
  <c r="A25" i="14"/>
  <c r="M24" i="14"/>
  <c r="J24" i="14"/>
  <c r="I24" i="14"/>
  <c r="D24" i="14"/>
  <c r="B24" i="14"/>
  <c r="A24" i="14"/>
  <c r="M23" i="14"/>
  <c r="J23" i="14"/>
  <c r="I23" i="14"/>
  <c r="D23" i="14"/>
  <c r="B23" i="14"/>
  <c r="A23" i="14"/>
  <c r="M22" i="14"/>
  <c r="J22" i="14"/>
  <c r="I22" i="14"/>
  <c r="D22" i="14"/>
  <c r="B22" i="14"/>
  <c r="A22" i="14"/>
  <c r="M21" i="14"/>
  <c r="J21" i="14"/>
  <c r="I21" i="14"/>
  <c r="D21" i="14"/>
  <c r="B21" i="14"/>
  <c r="A21" i="14"/>
  <c r="M20" i="14"/>
  <c r="J20" i="14"/>
  <c r="I20" i="14"/>
  <c r="D20" i="14"/>
  <c r="M19" i="14"/>
  <c r="J19" i="14"/>
  <c r="I19" i="14"/>
  <c r="D19" i="14"/>
  <c r="B19" i="14"/>
  <c r="A19" i="14"/>
  <c r="M18" i="14"/>
  <c r="J18" i="14"/>
  <c r="I18" i="14"/>
  <c r="D18" i="14"/>
  <c r="B18" i="14"/>
  <c r="A18" i="14"/>
  <c r="M17" i="14"/>
  <c r="J17" i="14"/>
  <c r="I17" i="14"/>
  <c r="D17" i="14"/>
  <c r="B17" i="14"/>
  <c r="A17" i="14"/>
  <c r="M16" i="14"/>
  <c r="J16" i="14"/>
  <c r="I16" i="14"/>
  <c r="D16" i="14"/>
  <c r="B16" i="14"/>
  <c r="A16" i="14"/>
  <c r="M15" i="14"/>
  <c r="J15" i="14"/>
  <c r="I15" i="14"/>
  <c r="D15" i="14"/>
  <c r="B15" i="14"/>
  <c r="A15" i="14"/>
  <c r="M14" i="14"/>
  <c r="J14" i="14"/>
  <c r="I14" i="14"/>
  <c r="D14" i="14"/>
  <c r="B14" i="14"/>
  <c r="A14" i="14"/>
  <c r="M13" i="14"/>
  <c r="J13" i="14"/>
  <c r="I13" i="14"/>
  <c r="D13" i="14"/>
  <c r="B13" i="14"/>
  <c r="A13" i="14"/>
  <c r="M12" i="14"/>
  <c r="J12" i="14"/>
  <c r="I12" i="14"/>
  <c r="D12" i="14"/>
  <c r="B12" i="14"/>
  <c r="A12" i="14"/>
  <c r="M11" i="14"/>
  <c r="J11" i="14"/>
  <c r="I11" i="14"/>
  <c r="D11" i="14"/>
  <c r="B11" i="14"/>
  <c r="A11" i="14"/>
  <c r="M10" i="14"/>
  <c r="J10" i="14"/>
  <c r="I10" i="14"/>
  <c r="D10" i="14"/>
  <c r="B10" i="14"/>
  <c r="A10" i="14"/>
  <c r="O7" i="14"/>
  <c r="O6" i="14"/>
  <c r="C1" i="14"/>
  <c r="M21" i="13"/>
  <c r="J21" i="13"/>
  <c r="I21" i="13"/>
  <c r="D21" i="13"/>
  <c r="B21" i="13"/>
  <c r="A21" i="13"/>
  <c r="M20" i="13"/>
  <c r="J20" i="13"/>
  <c r="I20" i="13"/>
  <c r="D20" i="13"/>
  <c r="B20" i="13"/>
  <c r="A20" i="13"/>
  <c r="M19" i="13"/>
  <c r="J19" i="13"/>
  <c r="I19" i="13"/>
  <c r="D19" i="13"/>
  <c r="B19" i="13"/>
  <c r="A19" i="13"/>
  <c r="M18" i="13"/>
  <c r="J18" i="13"/>
  <c r="I18" i="13"/>
  <c r="D18" i="13"/>
  <c r="B18" i="13"/>
  <c r="A18" i="13"/>
  <c r="M17" i="13"/>
  <c r="J17" i="13"/>
  <c r="I17" i="13"/>
  <c r="D17" i="13"/>
  <c r="B17" i="13"/>
  <c r="A17" i="13"/>
  <c r="M16" i="13"/>
  <c r="J16" i="13"/>
  <c r="I16" i="13"/>
  <c r="D16" i="13"/>
  <c r="B16" i="13"/>
  <c r="A16" i="13"/>
  <c r="M15" i="13"/>
  <c r="J15" i="13"/>
  <c r="I15" i="13"/>
  <c r="D15" i="13"/>
  <c r="B15" i="13"/>
  <c r="A15" i="13"/>
  <c r="M14" i="13"/>
  <c r="J14" i="13"/>
  <c r="I14" i="13"/>
  <c r="D14" i="13"/>
  <c r="B14" i="13"/>
  <c r="A14" i="13"/>
  <c r="M13" i="13"/>
  <c r="J13" i="13"/>
  <c r="I13" i="13"/>
  <c r="D13" i="13"/>
  <c r="B13" i="13"/>
  <c r="A13" i="13"/>
  <c r="M12" i="13"/>
  <c r="J12" i="13"/>
  <c r="I12" i="13"/>
  <c r="D12" i="13"/>
  <c r="B12" i="13"/>
  <c r="A12" i="13"/>
  <c r="M11" i="13"/>
  <c r="J11" i="13"/>
  <c r="I11" i="13"/>
  <c r="D11" i="13"/>
  <c r="B11" i="13"/>
  <c r="A11" i="13"/>
  <c r="M10" i="13"/>
  <c r="J10" i="13"/>
  <c r="I10" i="13"/>
  <c r="D10" i="13"/>
  <c r="B10" i="13"/>
  <c r="A10" i="13"/>
  <c r="O7" i="13"/>
  <c r="O6" i="13"/>
  <c r="C1" i="13"/>
  <c r="M21" i="12"/>
  <c r="J21" i="12"/>
  <c r="I21" i="12"/>
  <c r="D21" i="12"/>
  <c r="B21" i="12"/>
  <c r="A21" i="12"/>
  <c r="M20" i="12"/>
  <c r="J20" i="12"/>
  <c r="I20" i="12"/>
  <c r="D20" i="12"/>
  <c r="B20" i="12"/>
  <c r="A20" i="12"/>
  <c r="M19" i="12"/>
  <c r="J19" i="12"/>
  <c r="I19" i="12"/>
  <c r="D19" i="12"/>
  <c r="B19" i="12"/>
  <c r="A19" i="12"/>
  <c r="M18" i="12"/>
  <c r="J18" i="12"/>
  <c r="I18" i="12"/>
  <c r="D18" i="12"/>
  <c r="B18" i="12"/>
  <c r="A18" i="12"/>
  <c r="M17" i="12"/>
  <c r="J17" i="12"/>
  <c r="I17" i="12"/>
  <c r="D17" i="12"/>
  <c r="B17" i="12"/>
  <c r="A17" i="12"/>
  <c r="M16" i="12"/>
  <c r="J16" i="12"/>
  <c r="I16" i="12"/>
  <c r="D16" i="12"/>
  <c r="B16" i="12"/>
  <c r="A16" i="12"/>
  <c r="M15" i="12"/>
  <c r="J15" i="12"/>
  <c r="I15" i="12"/>
  <c r="D15" i="12"/>
  <c r="B15" i="12"/>
  <c r="A15" i="12"/>
  <c r="M14" i="12"/>
  <c r="J14" i="12"/>
  <c r="I14" i="12"/>
  <c r="D14" i="12"/>
  <c r="B14" i="12"/>
  <c r="A14" i="12"/>
  <c r="M13" i="12"/>
  <c r="J13" i="12"/>
  <c r="I13" i="12"/>
  <c r="D13" i="12"/>
  <c r="B13" i="12"/>
  <c r="A13" i="12"/>
  <c r="M12" i="12"/>
  <c r="J12" i="12"/>
  <c r="I12" i="12"/>
  <c r="D12" i="12"/>
  <c r="B12" i="12"/>
  <c r="A12" i="12"/>
  <c r="M11" i="12"/>
  <c r="J11" i="12"/>
  <c r="I11" i="12"/>
  <c r="D11" i="12"/>
  <c r="B11" i="12"/>
  <c r="A11" i="12"/>
  <c r="M10" i="12"/>
  <c r="J10" i="12"/>
  <c r="I10" i="12"/>
  <c r="D10" i="12"/>
  <c r="B10" i="12"/>
  <c r="A10" i="12"/>
  <c r="O7" i="12"/>
  <c r="O6" i="12"/>
  <c r="C1" i="12"/>
  <c r="D10" i="11"/>
  <c r="J30" i="11"/>
  <c r="I30" i="11"/>
  <c r="D30" i="11"/>
  <c r="B30" i="11"/>
  <c r="A30" i="11"/>
  <c r="J29" i="11"/>
  <c r="I29" i="11"/>
  <c r="D29" i="11"/>
  <c r="B29" i="11"/>
  <c r="A29" i="11"/>
  <c r="M28" i="11"/>
  <c r="J28" i="11"/>
  <c r="I28" i="11"/>
  <c r="D28" i="11"/>
  <c r="B28" i="11"/>
  <c r="A28" i="11"/>
  <c r="M27" i="11"/>
  <c r="J27" i="11"/>
  <c r="I27" i="11"/>
  <c r="D27" i="11"/>
  <c r="B27" i="11"/>
  <c r="A27" i="11"/>
  <c r="M26" i="11"/>
  <c r="J26" i="11"/>
  <c r="I26" i="11"/>
  <c r="D26" i="11"/>
  <c r="B26" i="11"/>
  <c r="A26" i="11"/>
  <c r="M25" i="11"/>
  <c r="J25" i="11"/>
  <c r="I25" i="11"/>
  <c r="D25" i="11"/>
  <c r="B25" i="11"/>
  <c r="A25" i="11"/>
  <c r="M24" i="11"/>
  <c r="J24" i="11"/>
  <c r="I24" i="11"/>
  <c r="D24" i="11"/>
  <c r="B24" i="11"/>
  <c r="A24" i="11"/>
  <c r="M23" i="11"/>
  <c r="J23" i="11"/>
  <c r="I23" i="11"/>
  <c r="D23" i="11"/>
  <c r="B23" i="11"/>
  <c r="A23" i="11"/>
  <c r="M22" i="11"/>
  <c r="J22" i="11"/>
  <c r="I22" i="11"/>
  <c r="D22" i="11"/>
  <c r="B22" i="11"/>
  <c r="A22" i="11"/>
  <c r="M21" i="11"/>
  <c r="J21" i="11"/>
  <c r="I21" i="11"/>
  <c r="D21" i="11"/>
  <c r="B21" i="11"/>
  <c r="A21" i="11"/>
  <c r="M20" i="11"/>
  <c r="J20" i="11"/>
  <c r="I20" i="11"/>
  <c r="D20" i="11"/>
  <c r="B20" i="11"/>
  <c r="A20" i="11"/>
  <c r="M19" i="11"/>
  <c r="J19" i="11"/>
  <c r="I19" i="11"/>
  <c r="D19" i="11"/>
  <c r="B19" i="11"/>
  <c r="A19" i="11"/>
  <c r="M18" i="11"/>
  <c r="J18" i="11"/>
  <c r="I18" i="11"/>
  <c r="D18" i="11"/>
  <c r="B18" i="11"/>
  <c r="A18" i="11"/>
  <c r="M17" i="11"/>
  <c r="J17" i="11"/>
  <c r="I17" i="11"/>
  <c r="D17" i="11"/>
  <c r="B17" i="11"/>
  <c r="A17" i="11"/>
  <c r="M16" i="11"/>
  <c r="J16" i="11"/>
  <c r="I16" i="11"/>
  <c r="D16" i="11"/>
  <c r="B16" i="11"/>
  <c r="A16" i="11"/>
  <c r="M15" i="11"/>
  <c r="J15" i="11"/>
  <c r="I15" i="11"/>
  <c r="D15" i="11"/>
  <c r="B15" i="11"/>
  <c r="A15" i="11"/>
  <c r="M14" i="11"/>
  <c r="J14" i="11"/>
  <c r="I14" i="11"/>
  <c r="D14" i="11"/>
  <c r="B14" i="11"/>
  <c r="A14" i="11"/>
  <c r="M13" i="11"/>
  <c r="J13" i="11"/>
  <c r="I13" i="11"/>
  <c r="D13" i="11"/>
  <c r="B13" i="11"/>
  <c r="A13" i="11"/>
  <c r="M12" i="11"/>
  <c r="J12" i="11"/>
  <c r="I12" i="11"/>
  <c r="D12" i="11"/>
  <c r="B12" i="11"/>
  <c r="A12" i="11"/>
  <c r="M11" i="11"/>
  <c r="J11" i="11"/>
  <c r="I11" i="11"/>
  <c r="D11" i="11"/>
  <c r="B11" i="11"/>
  <c r="A11" i="11"/>
  <c r="M10" i="11"/>
  <c r="J10" i="11"/>
  <c r="I10" i="11"/>
  <c r="B10" i="11"/>
  <c r="A10" i="11"/>
  <c r="O7" i="11"/>
  <c r="O6" i="11"/>
  <c r="C1" i="11"/>
  <c r="M13" i="10"/>
  <c r="M12" i="10"/>
  <c r="M11" i="10"/>
  <c r="M10" i="10"/>
  <c r="B31" i="10"/>
  <c r="A31" i="10"/>
  <c r="B30" i="10"/>
  <c r="A30" i="10"/>
  <c r="B29" i="10"/>
  <c r="A29" i="10"/>
  <c r="B28" i="10"/>
  <c r="A28" i="10"/>
  <c r="B27" i="10"/>
  <c r="A27" i="10"/>
  <c r="B26" i="10"/>
  <c r="A26" i="10"/>
  <c r="B25" i="10"/>
  <c r="A25" i="10"/>
  <c r="B24" i="10"/>
  <c r="A24" i="10"/>
  <c r="B23" i="10"/>
  <c r="A23" i="10"/>
  <c r="B22" i="10"/>
  <c r="A22" i="10"/>
  <c r="B21" i="10"/>
  <c r="A21" i="10"/>
  <c r="B20" i="10"/>
  <c r="A20" i="10"/>
  <c r="B19" i="10"/>
  <c r="A19" i="10"/>
  <c r="B18" i="10"/>
  <c r="A18" i="10"/>
  <c r="B17" i="10"/>
  <c r="A17" i="10"/>
  <c r="B16" i="10"/>
  <c r="A16" i="10"/>
  <c r="B15" i="10"/>
  <c r="A15" i="10"/>
  <c r="B14" i="10"/>
  <c r="A14" i="10"/>
  <c r="J13" i="10"/>
  <c r="I13" i="10"/>
  <c r="D13" i="10"/>
  <c r="B13" i="10"/>
  <c r="A13" i="10"/>
  <c r="J12" i="10"/>
  <c r="I12" i="10"/>
  <c r="D12" i="10"/>
  <c r="B12" i="10"/>
  <c r="A12" i="10"/>
  <c r="J11" i="10"/>
  <c r="I11" i="10"/>
  <c r="D11" i="10"/>
  <c r="B11" i="10"/>
  <c r="A11" i="10"/>
  <c r="J10" i="10"/>
  <c r="I10" i="10"/>
  <c r="D10" i="10"/>
  <c r="B10" i="10"/>
  <c r="A10" i="10"/>
  <c r="O7" i="10"/>
  <c r="O6" i="10"/>
  <c r="C1" i="10"/>
  <c r="M31" i="9"/>
  <c r="J31" i="9"/>
  <c r="I31" i="9"/>
  <c r="D31" i="9"/>
  <c r="B31" i="9"/>
  <c r="A31" i="9"/>
  <c r="M30" i="9"/>
  <c r="J30" i="9"/>
  <c r="I30" i="9"/>
  <c r="D30" i="9"/>
  <c r="B30" i="9"/>
  <c r="A30" i="9"/>
  <c r="O29" i="9"/>
  <c r="M29" i="9"/>
  <c r="P29" i="9" s="1"/>
  <c r="J29" i="9"/>
  <c r="I29" i="9"/>
  <c r="D29" i="9"/>
  <c r="B29" i="9"/>
  <c r="A29" i="9"/>
  <c r="M28" i="9"/>
  <c r="J28" i="9"/>
  <c r="I28" i="9"/>
  <c r="D28" i="9"/>
  <c r="B28" i="9"/>
  <c r="A28" i="9"/>
  <c r="M27" i="9"/>
  <c r="J27" i="9"/>
  <c r="I27" i="9"/>
  <c r="D27" i="9"/>
  <c r="B27" i="9"/>
  <c r="A27" i="9"/>
  <c r="M26" i="9"/>
  <c r="J26" i="9"/>
  <c r="I26" i="9"/>
  <c r="D26" i="9"/>
  <c r="B26" i="9"/>
  <c r="A26" i="9"/>
  <c r="M25" i="9"/>
  <c r="J25" i="9"/>
  <c r="I25" i="9"/>
  <c r="D25" i="9"/>
  <c r="B25" i="9"/>
  <c r="A25" i="9"/>
  <c r="M24" i="9"/>
  <c r="J24" i="9"/>
  <c r="I24" i="9"/>
  <c r="D24" i="9"/>
  <c r="B24" i="9"/>
  <c r="A24" i="9"/>
  <c r="M23" i="9"/>
  <c r="J23" i="9"/>
  <c r="I23" i="9"/>
  <c r="D23" i="9"/>
  <c r="B23" i="9"/>
  <c r="A23" i="9"/>
  <c r="M22" i="9"/>
  <c r="J22" i="9"/>
  <c r="I22" i="9"/>
  <c r="D22" i="9"/>
  <c r="B22" i="9"/>
  <c r="A22" i="9"/>
  <c r="O21" i="9"/>
  <c r="M21" i="9"/>
  <c r="P21" i="9" s="1"/>
  <c r="J21" i="9"/>
  <c r="I21" i="9"/>
  <c r="D21" i="9"/>
  <c r="B21" i="9"/>
  <c r="A21" i="9"/>
  <c r="M20" i="9"/>
  <c r="J20" i="9"/>
  <c r="I20" i="9"/>
  <c r="D20" i="9"/>
  <c r="B20" i="9"/>
  <c r="A20" i="9"/>
  <c r="O19" i="9"/>
  <c r="M19" i="9"/>
  <c r="P19" i="9" s="1"/>
  <c r="J19" i="9"/>
  <c r="I19" i="9"/>
  <c r="D19" i="9"/>
  <c r="B19" i="9"/>
  <c r="A19" i="9"/>
  <c r="O18" i="9"/>
  <c r="M18" i="9"/>
  <c r="P18" i="9" s="1"/>
  <c r="J18" i="9"/>
  <c r="I18" i="9"/>
  <c r="D18" i="9"/>
  <c r="B18" i="9"/>
  <c r="A18" i="9"/>
  <c r="M17" i="9"/>
  <c r="J17" i="9"/>
  <c r="I17" i="9"/>
  <c r="D17" i="9"/>
  <c r="B17" i="9"/>
  <c r="A17" i="9"/>
  <c r="M16" i="9"/>
  <c r="J16" i="9"/>
  <c r="I16" i="9"/>
  <c r="D16" i="9"/>
  <c r="B16" i="9"/>
  <c r="A16" i="9"/>
  <c r="O15" i="9"/>
  <c r="M15" i="9"/>
  <c r="P15" i="9" s="1"/>
  <c r="J15" i="9"/>
  <c r="I15" i="9"/>
  <c r="D15" i="9"/>
  <c r="B15" i="9"/>
  <c r="A15" i="9"/>
  <c r="M14" i="9"/>
  <c r="J14" i="9"/>
  <c r="I14" i="9"/>
  <c r="D14" i="9"/>
  <c r="B14" i="9"/>
  <c r="A14" i="9"/>
  <c r="M13" i="9"/>
  <c r="J13" i="9"/>
  <c r="I13" i="9"/>
  <c r="D13" i="9"/>
  <c r="B13" i="9"/>
  <c r="A13" i="9"/>
  <c r="M12" i="9"/>
  <c r="J12" i="9"/>
  <c r="I12" i="9"/>
  <c r="D12" i="9"/>
  <c r="B12" i="9"/>
  <c r="A12" i="9"/>
  <c r="M11" i="9"/>
  <c r="J11" i="9"/>
  <c r="I11" i="9"/>
  <c r="D11" i="9"/>
  <c r="B11" i="9"/>
  <c r="A11" i="9"/>
  <c r="M10" i="9"/>
  <c r="J10" i="9"/>
  <c r="I10" i="9"/>
  <c r="D10" i="9"/>
  <c r="B10" i="9"/>
  <c r="A10" i="9"/>
  <c r="O7" i="9"/>
  <c r="O6" i="9"/>
  <c r="C1" i="9"/>
  <c r="M31" i="7"/>
  <c r="J31" i="7"/>
  <c r="I31" i="7"/>
  <c r="D31" i="7"/>
  <c r="B31" i="7"/>
  <c r="A31" i="7"/>
  <c r="M30" i="7"/>
  <c r="J30" i="7"/>
  <c r="I30" i="7"/>
  <c r="D30" i="7"/>
  <c r="B30" i="7"/>
  <c r="A30" i="7"/>
  <c r="M29" i="7"/>
  <c r="J29" i="7"/>
  <c r="I29" i="7"/>
  <c r="D29" i="7"/>
  <c r="B29" i="7"/>
  <c r="A29" i="7"/>
  <c r="O28" i="7"/>
  <c r="M28" i="7"/>
  <c r="P28" i="7" s="1"/>
  <c r="J28" i="7"/>
  <c r="I28" i="7"/>
  <c r="D28" i="7"/>
  <c r="B28" i="7"/>
  <c r="A28" i="7"/>
  <c r="M27" i="7"/>
  <c r="J27" i="7"/>
  <c r="I27" i="7"/>
  <c r="D27" i="7"/>
  <c r="B27" i="7"/>
  <c r="A27" i="7"/>
  <c r="M26" i="7"/>
  <c r="J26" i="7"/>
  <c r="I26" i="7"/>
  <c r="D26" i="7"/>
  <c r="B26" i="7"/>
  <c r="A26" i="7"/>
  <c r="M25" i="7"/>
  <c r="J25" i="7"/>
  <c r="I25" i="7"/>
  <c r="D25" i="7"/>
  <c r="B25" i="7"/>
  <c r="A25" i="7"/>
  <c r="M24" i="7"/>
  <c r="J24" i="7"/>
  <c r="I24" i="7"/>
  <c r="D24" i="7"/>
  <c r="B24" i="7"/>
  <c r="A24" i="7"/>
  <c r="M23" i="7"/>
  <c r="J23" i="7"/>
  <c r="I23" i="7"/>
  <c r="D23" i="7"/>
  <c r="B23" i="7"/>
  <c r="A23" i="7"/>
  <c r="M22" i="7"/>
  <c r="J22" i="7"/>
  <c r="I22" i="7"/>
  <c r="D22" i="7"/>
  <c r="B22" i="7"/>
  <c r="A22" i="7"/>
  <c r="M21" i="7"/>
  <c r="J21" i="7"/>
  <c r="I21" i="7"/>
  <c r="D21" i="7"/>
  <c r="B21" i="7"/>
  <c r="A21" i="7"/>
  <c r="M20" i="7"/>
  <c r="J20" i="7"/>
  <c r="I20" i="7"/>
  <c r="D20" i="7"/>
  <c r="B20" i="7"/>
  <c r="A20" i="7"/>
  <c r="M19" i="7"/>
  <c r="J19" i="7"/>
  <c r="I19" i="7"/>
  <c r="D19" i="7"/>
  <c r="B19" i="7"/>
  <c r="A19" i="7"/>
  <c r="M18" i="7"/>
  <c r="J18" i="7"/>
  <c r="I18" i="7"/>
  <c r="D18" i="7"/>
  <c r="B18" i="7"/>
  <c r="A18" i="7"/>
  <c r="O17" i="7"/>
  <c r="M17" i="7"/>
  <c r="P17" i="7" s="1"/>
  <c r="J17" i="7"/>
  <c r="I17" i="7"/>
  <c r="D17" i="7"/>
  <c r="B17" i="7"/>
  <c r="A17" i="7"/>
  <c r="M16" i="7"/>
  <c r="J16" i="7"/>
  <c r="I16" i="7"/>
  <c r="D16" i="7"/>
  <c r="B16" i="7"/>
  <c r="A16" i="7"/>
  <c r="M15" i="7"/>
  <c r="J15" i="7"/>
  <c r="I15" i="7"/>
  <c r="D15" i="7"/>
  <c r="B15" i="7"/>
  <c r="A15" i="7"/>
  <c r="M14" i="7"/>
  <c r="J14" i="7"/>
  <c r="I14" i="7"/>
  <c r="D14" i="7"/>
  <c r="B14" i="7"/>
  <c r="A14" i="7"/>
  <c r="M13" i="7"/>
  <c r="J13" i="7"/>
  <c r="I13" i="7"/>
  <c r="D13" i="7"/>
  <c r="B13" i="7"/>
  <c r="A13" i="7"/>
  <c r="M12" i="7"/>
  <c r="J12" i="7"/>
  <c r="I12" i="7"/>
  <c r="D12" i="7"/>
  <c r="B12" i="7"/>
  <c r="A12" i="7"/>
  <c r="M11" i="7"/>
  <c r="J11" i="7"/>
  <c r="I11" i="7"/>
  <c r="D11" i="7"/>
  <c r="B11" i="7"/>
  <c r="A11" i="7"/>
  <c r="M10" i="7"/>
  <c r="J10" i="7"/>
  <c r="I10" i="7"/>
  <c r="D10" i="7"/>
  <c r="B10" i="7"/>
  <c r="A10" i="7"/>
  <c r="O7" i="7"/>
  <c r="O6" i="7"/>
  <c r="C1" i="7"/>
  <c r="C1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J10" i="6"/>
  <c r="I10" i="6"/>
  <c r="D10" i="6"/>
  <c r="F7" i="4"/>
  <c r="M32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O7" i="6"/>
  <c r="O6" i="6"/>
  <c r="P26" i="15" l="1"/>
  <c r="O26" i="15"/>
  <c r="O34" i="15"/>
  <c r="O32" i="15"/>
  <c r="O31" i="15"/>
  <c r="O28" i="15"/>
  <c r="O29" i="15"/>
  <c r="O30" i="15"/>
  <c r="O22" i="15"/>
  <c r="P22" i="15"/>
  <c r="O23" i="15"/>
  <c r="P23" i="15"/>
  <c r="P24" i="15"/>
  <c r="O24" i="15"/>
  <c r="O25" i="15"/>
  <c r="P25" i="15"/>
  <c r="O33" i="15"/>
  <c r="N25" i="15"/>
  <c r="N26" i="15"/>
  <c r="N27" i="15"/>
  <c r="N29" i="15"/>
  <c r="N30" i="15"/>
  <c r="N33" i="15"/>
  <c r="N34" i="15"/>
  <c r="N24" i="15"/>
  <c r="N22" i="15"/>
  <c r="N23" i="15"/>
  <c r="N31" i="15"/>
  <c r="N32" i="15"/>
  <c r="N28" i="15"/>
  <c r="O35" i="15"/>
  <c r="P23" i="14"/>
  <c r="O23" i="14"/>
  <c r="P29" i="14"/>
  <c r="O29" i="14"/>
  <c r="P20" i="14"/>
  <c r="O20" i="14"/>
  <c r="P22" i="14"/>
  <c r="O22" i="14"/>
  <c r="P30" i="14"/>
  <c r="O30" i="14"/>
  <c r="P28" i="14"/>
  <c r="O28" i="14"/>
  <c r="P24" i="14"/>
  <c r="O24" i="14"/>
  <c r="P12" i="7"/>
  <c r="O12" i="7"/>
  <c r="P10" i="7"/>
  <c r="O10" i="7"/>
  <c r="N27" i="21"/>
  <c r="N28" i="21"/>
  <c r="N29" i="21"/>
  <c r="N24" i="21"/>
  <c r="N25" i="21"/>
  <c r="N26" i="21"/>
  <c r="N23" i="21"/>
  <c r="N30" i="21"/>
  <c r="N31" i="21"/>
  <c r="N33" i="21"/>
  <c r="N32" i="21"/>
  <c r="N23" i="20"/>
  <c r="N24" i="20"/>
  <c r="N25" i="20"/>
  <c r="N26" i="20"/>
  <c r="N27" i="20"/>
  <c r="N28" i="20"/>
  <c r="N29" i="20"/>
  <c r="N30" i="20"/>
  <c r="O23" i="20"/>
  <c r="P23" i="20"/>
  <c r="P23" i="21"/>
  <c r="O23" i="21"/>
  <c r="P24" i="21"/>
  <c r="O24" i="21"/>
  <c r="P26" i="21"/>
  <c r="O26" i="21"/>
  <c r="P10" i="21"/>
  <c r="O10" i="21"/>
  <c r="P21" i="21"/>
  <c r="O21" i="21"/>
  <c r="P18" i="21"/>
  <c r="O18" i="21"/>
  <c r="O16" i="21"/>
  <c r="P16" i="21"/>
  <c r="P15" i="21"/>
  <c r="O15" i="21"/>
  <c r="P13" i="21"/>
  <c r="O13" i="21"/>
  <c r="P22" i="21"/>
  <c r="O22" i="21"/>
  <c r="P20" i="21"/>
  <c r="O20" i="21"/>
  <c r="O19" i="21"/>
  <c r="P19" i="21"/>
  <c r="P17" i="21"/>
  <c r="O17" i="21"/>
  <c r="P14" i="21"/>
  <c r="O14" i="21"/>
  <c r="P12" i="21"/>
  <c r="O12" i="21"/>
  <c r="P11" i="21"/>
  <c r="O11" i="21"/>
  <c r="N15" i="21"/>
  <c r="N12" i="21"/>
  <c r="N18" i="21"/>
  <c r="N16" i="21"/>
  <c r="N10" i="21"/>
  <c r="N22" i="21"/>
  <c r="N20" i="21"/>
  <c r="N17" i="21"/>
  <c r="N14" i="21"/>
  <c r="N13" i="21"/>
  <c r="N11" i="21"/>
  <c r="N21" i="21"/>
  <c r="N19" i="21"/>
  <c r="N19" i="20"/>
  <c r="N16" i="20"/>
  <c r="N14" i="20"/>
  <c r="N11" i="20"/>
  <c r="N21" i="20"/>
  <c r="N17" i="20"/>
  <c r="N13" i="20"/>
  <c r="N10" i="20"/>
  <c r="N18" i="20"/>
  <c r="N15" i="20"/>
  <c r="N12" i="20"/>
  <c r="N22" i="20"/>
  <c r="N20" i="20"/>
  <c r="N18" i="18"/>
  <c r="N14" i="18"/>
  <c r="N13" i="18"/>
  <c r="N19" i="18"/>
  <c r="N17" i="18"/>
  <c r="N15" i="18"/>
  <c r="N12" i="18"/>
  <c r="N22" i="18"/>
  <c r="N21" i="18"/>
  <c r="N20" i="18"/>
  <c r="N16" i="18"/>
  <c r="N11" i="18"/>
  <c r="N10" i="18"/>
  <c r="P31" i="17"/>
  <c r="O31" i="17"/>
  <c r="P30" i="17"/>
  <c r="O30" i="17"/>
  <c r="P29" i="17"/>
  <c r="O29" i="17"/>
  <c r="O27" i="17"/>
  <c r="P27" i="17"/>
  <c r="O26" i="17"/>
  <c r="P26" i="17"/>
  <c r="O25" i="17"/>
  <c r="P25" i="17"/>
  <c r="O24" i="17"/>
  <c r="P24" i="17"/>
  <c r="P21" i="17"/>
  <c r="O21" i="17"/>
  <c r="P20" i="17"/>
  <c r="O20" i="17"/>
  <c r="P19" i="17"/>
  <c r="O19" i="17"/>
  <c r="P18" i="17"/>
  <c r="O18" i="17"/>
  <c r="O17" i="17"/>
  <c r="P17" i="17"/>
  <c r="O13" i="17"/>
  <c r="P13" i="17"/>
  <c r="O12" i="17"/>
  <c r="P12" i="17"/>
  <c r="O11" i="17"/>
  <c r="P11" i="17"/>
  <c r="P32" i="17" s="1"/>
  <c r="C5" i="17"/>
  <c r="N31" i="17"/>
  <c r="N22" i="17"/>
  <c r="N13" i="17"/>
  <c r="N21" i="17"/>
  <c r="N12" i="17"/>
  <c r="N30" i="17"/>
  <c r="N29" i="17"/>
  <c r="N10" i="17"/>
  <c r="N28" i="17"/>
  <c r="N27" i="17"/>
  <c r="N25" i="17"/>
  <c r="N24" i="17"/>
  <c r="N15" i="17"/>
  <c r="N26" i="17"/>
  <c r="N19" i="17"/>
  <c r="N17" i="17"/>
  <c r="N14" i="17"/>
  <c r="N18" i="17"/>
  <c r="N23" i="17"/>
  <c r="N11" i="17"/>
  <c r="N20" i="17"/>
  <c r="N16" i="17"/>
  <c r="O31" i="16"/>
  <c r="P31" i="16"/>
  <c r="P30" i="16"/>
  <c r="O30" i="16"/>
  <c r="P29" i="16"/>
  <c r="O29" i="16"/>
  <c r="O28" i="16"/>
  <c r="P28" i="16"/>
  <c r="P26" i="16"/>
  <c r="O26" i="16"/>
  <c r="P25" i="16"/>
  <c r="O25" i="16"/>
  <c r="P23" i="16"/>
  <c r="O23" i="16"/>
  <c r="O22" i="16"/>
  <c r="P22" i="16"/>
  <c r="P21" i="16"/>
  <c r="O21" i="16"/>
  <c r="P20" i="16"/>
  <c r="O20" i="16"/>
  <c r="O18" i="16"/>
  <c r="P18" i="16"/>
  <c r="O17" i="16"/>
  <c r="P17" i="16"/>
  <c r="O16" i="16"/>
  <c r="P16" i="16"/>
  <c r="P14" i="16"/>
  <c r="O14" i="16"/>
  <c r="O13" i="16"/>
  <c r="P13" i="16"/>
  <c r="P12" i="16"/>
  <c r="O12" i="16"/>
  <c r="O11" i="16"/>
  <c r="P11" i="16"/>
  <c r="P10" i="16"/>
  <c r="O10" i="16"/>
  <c r="F5" i="16" s="1"/>
  <c r="N15" i="16"/>
  <c r="N26" i="16"/>
  <c r="N21" i="16"/>
  <c r="N18" i="16"/>
  <c r="N12" i="16"/>
  <c r="N13" i="16"/>
  <c r="N22" i="16"/>
  <c r="N27" i="16"/>
  <c r="N11" i="16"/>
  <c r="N31" i="16"/>
  <c r="N25" i="16"/>
  <c r="N16" i="16"/>
  <c r="N30" i="16"/>
  <c r="N20" i="16"/>
  <c r="N28" i="16"/>
  <c r="N29" i="16"/>
  <c r="N24" i="16"/>
  <c r="N17" i="16"/>
  <c r="N23" i="16"/>
  <c r="N14" i="16"/>
  <c r="N10" i="16"/>
  <c r="N19" i="16"/>
  <c r="O38" i="15"/>
  <c r="O37" i="15"/>
  <c r="O36" i="15"/>
  <c r="N15" i="15"/>
  <c r="N12" i="15"/>
  <c r="N11" i="15"/>
  <c r="N19" i="15"/>
  <c r="N35" i="15"/>
  <c r="N37" i="15"/>
  <c r="N36" i="15"/>
  <c r="N38" i="15"/>
  <c r="N21" i="15"/>
  <c r="N20" i="15"/>
  <c r="N18" i="15"/>
  <c r="N17" i="15"/>
  <c r="N16" i="15"/>
  <c r="N14" i="15"/>
  <c r="N13" i="15"/>
  <c r="N10" i="15"/>
  <c r="P19" i="14"/>
  <c r="O19" i="14"/>
  <c r="P18" i="14"/>
  <c r="O18" i="14"/>
  <c r="P31" i="14"/>
  <c r="O31" i="14"/>
  <c r="O27" i="14"/>
  <c r="P27" i="14"/>
  <c r="O26" i="14"/>
  <c r="P26" i="14"/>
  <c r="P25" i="14"/>
  <c r="O25" i="14"/>
  <c r="O21" i="14"/>
  <c r="P21" i="14"/>
  <c r="P17" i="14"/>
  <c r="O17" i="14"/>
  <c r="O16" i="14"/>
  <c r="P16" i="14"/>
  <c r="P15" i="14"/>
  <c r="O15" i="14"/>
  <c r="O14" i="14"/>
  <c r="P14" i="14"/>
  <c r="O13" i="14"/>
  <c r="P13" i="14"/>
  <c r="P12" i="14"/>
  <c r="O12" i="14"/>
  <c r="P11" i="14"/>
  <c r="O11" i="14"/>
  <c r="O10" i="14"/>
  <c r="P10" i="14"/>
  <c r="N15" i="14"/>
  <c r="N11" i="14"/>
  <c r="N10" i="14"/>
  <c r="N24" i="14"/>
  <c r="N14" i="14"/>
  <c r="N17" i="14"/>
  <c r="N18" i="14"/>
  <c r="N21" i="14"/>
  <c r="N30" i="14"/>
  <c r="N19" i="14"/>
  <c r="N22" i="14"/>
  <c r="N12" i="14"/>
  <c r="N13" i="14"/>
  <c r="N23" i="14"/>
  <c r="N25" i="14"/>
  <c r="N31" i="14"/>
  <c r="N29" i="14"/>
  <c r="N28" i="14"/>
  <c r="N26" i="14"/>
  <c r="N27" i="14"/>
  <c r="N20" i="14"/>
  <c r="N16" i="14"/>
  <c r="N10" i="13"/>
  <c r="N14" i="13"/>
  <c r="N11" i="13"/>
  <c r="N17" i="13"/>
  <c r="N18" i="13"/>
  <c r="N21" i="13"/>
  <c r="N19" i="13"/>
  <c r="N16" i="13"/>
  <c r="N12" i="13"/>
  <c r="N15" i="13"/>
  <c r="N20" i="13"/>
  <c r="N13" i="13"/>
  <c r="N12" i="12"/>
  <c r="N18" i="12"/>
  <c r="N15" i="12"/>
  <c r="N19" i="12"/>
  <c r="N21" i="12"/>
  <c r="N20" i="12"/>
  <c r="N13" i="12"/>
  <c r="N16" i="12"/>
  <c r="N17" i="12"/>
  <c r="N14" i="12"/>
  <c r="N11" i="12"/>
  <c r="N10" i="12"/>
  <c r="N20" i="11"/>
  <c r="N16" i="11"/>
  <c r="N29" i="11"/>
  <c r="N15" i="11"/>
  <c r="N18" i="11"/>
  <c r="N24" i="11"/>
  <c r="N13" i="11"/>
  <c r="N12" i="11"/>
  <c r="N30" i="11"/>
  <c r="N14" i="11"/>
  <c r="N10" i="11"/>
  <c r="N22" i="11"/>
  <c r="N27" i="11"/>
  <c r="N11" i="11"/>
  <c r="N23" i="11"/>
  <c r="N21" i="11"/>
  <c r="N28" i="11"/>
  <c r="N19" i="11"/>
  <c r="N25" i="11"/>
  <c r="N17" i="11"/>
  <c r="N26" i="11"/>
  <c r="P31" i="10"/>
  <c r="O31" i="10"/>
  <c r="P30" i="10"/>
  <c r="O30" i="10"/>
  <c r="P29" i="10"/>
  <c r="O29" i="10"/>
  <c r="P28" i="10"/>
  <c r="O28" i="10"/>
  <c r="P27" i="10"/>
  <c r="O27" i="10"/>
  <c r="O26" i="10"/>
  <c r="P26" i="10"/>
  <c r="P25" i="10"/>
  <c r="O25" i="10"/>
  <c r="O24" i="10"/>
  <c r="P24" i="10"/>
  <c r="P23" i="10"/>
  <c r="O23" i="10"/>
  <c r="P22" i="10"/>
  <c r="O22" i="10"/>
  <c r="O21" i="10"/>
  <c r="P21" i="10"/>
  <c r="O20" i="10"/>
  <c r="P20" i="10"/>
  <c r="P19" i="10"/>
  <c r="O19" i="10"/>
  <c r="O18" i="10"/>
  <c r="P18" i="10"/>
  <c r="P17" i="10"/>
  <c r="O17" i="10"/>
  <c r="O16" i="10"/>
  <c r="P16" i="10"/>
  <c r="P15" i="10"/>
  <c r="O15" i="10"/>
  <c r="O14" i="10"/>
  <c r="P14" i="10"/>
  <c r="O11" i="10"/>
  <c r="O10" i="10"/>
  <c r="N13" i="10"/>
  <c r="N12" i="10"/>
  <c r="N11" i="10"/>
  <c r="P11" i="10" s="1"/>
  <c r="N10" i="10"/>
  <c r="P10" i="10" s="1"/>
  <c r="P31" i="9"/>
  <c r="O31" i="9"/>
  <c r="P30" i="9"/>
  <c r="O30" i="9"/>
  <c r="P28" i="9"/>
  <c r="O28" i="9"/>
  <c r="P27" i="9"/>
  <c r="O27" i="9"/>
  <c r="P26" i="9"/>
  <c r="O26" i="9"/>
  <c r="O25" i="9"/>
  <c r="P25" i="9"/>
  <c r="O24" i="9"/>
  <c r="P24" i="9"/>
  <c r="P23" i="9"/>
  <c r="O23" i="9"/>
  <c r="P22" i="9"/>
  <c r="O22" i="9"/>
  <c r="O20" i="9"/>
  <c r="P20" i="9"/>
  <c r="P17" i="9"/>
  <c r="O17" i="9"/>
  <c r="O16" i="9"/>
  <c r="P16" i="9"/>
  <c r="P14" i="9"/>
  <c r="O14" i="9"/>
  <c r="N21" i="9"/>
  <c r="N25" i="9"/>
  <c r="N27" i="9"/>
  <c r="N14" i="9"/>
  <c r="N24" i="9"/>
  <c r="N31" i="9"/>
  <c r="N23" i="9"/>
  <c r="N29" i="9"/>
  <c r="N10" i="9"/>
  <c r="N22" i="9"/>
  <c r="N28" i="9"/>
  <c r="N15" i="9"/>
  <c r="N18" i="9"/>
  <c r="N19" i="9"/>
  <c r="N30" i="9"/>
  <c r="N20" i="9"/>
  <c r="N17" i="9"/>
  <c r="N26" i="9"/>
  <c r="N16" i="9"/>
  <c r="N13" i="9"/>
  <c r="N12" i="9"/>
  <c r="N11" i="9"/>
  <c r="O31" i="7"/>
  <c r="P31" i="7"/>
  <c r="P30" i="7"/>
  <c r="O30" i="7"/>
  <c r="P29" i="7"/>
  <c r="O29" i="7"/>
  <c r="P27" i="7"/>
  <c r="O27" i="7"/>
  <c r="P26" i="7"/>
  <c r="O26" i="7"/>
  <c r="O25" i="7"/>
  <c r="P25" i="7"/>
  <c r="P24" i="7"/>
  <c r="O24" i="7"/>
  <c r="P23" i="7"/>
  <c r="O23" i="7"/>
  <c r="P22" i="7"/>
  <c r="O22" i="7"/>
  <c r="P21" i="7"/>
  <c r="O21" i="7"/>
  <c r="P20" i="7"/>
  <c r="O20" i="7"/>
  <c r="P19" i="7"/>
  <c r="O19" i="7"/>
  <c r="O18" i="7"/>
  <c r="P18" i="7"/>
  <c r="P16" i="7"/>
  <c r="O16" i="7"/>
  <c r="P15" i="7"/>
  <c r="O15" i="7"/>
  <c r="P14" i="7"/>
  <c r="O14" i="7"/>
  <c r="O13" i="7"/>
  <c r="P13" i="7"/>
  <c r="P11" i="7"/>
  <c r="O11" i="7"/>
  <c r="P32" i="7"/>
  <c r="C5" i="7"/>
  <c r="N13" i="7"/>
  <c r="N12" i="7"/>
  <c r="N11" i="7"/>
  <c r="N20" i="7"/>
  <c r="N16" i="7"/>
  <c r="N14" i="7"/>
  <c r="N15" i="7"/>
  <c r="N19" i="7"/>
  <c r="N30" i="7"/>
  <c r="N31" i="7"/>
  <c r="N26" i="7"/>
  <c r="N29" i="7"/>
  <c r="N17" i="7"/>
  <c r="N28" i="7"/>
  <c r="N27" i="7"/>
  <c r="N25" i="7"/>
  <c r="N21" i="7"/>
  <c r="N23" i="7"/>
  <c r="N24" i="7"/>
  <c r="N18" i="7"/>
  <c r="N22" i="7"/>
  <c r="N10" i="7"/>
  <c r="E12" i="4"/>
  <c r="N32" i="6"/>
  <c r="N29" i="6"/>
  <c r="N27" i="6"/>
  <c r="N22" i="6"/>
  <c r="N19" i="6"/>
  <c r="N17" i="6"/>
  <c r="N14" i="6"/>
  <c r="N12" i="6"/>
  <c r="N11" i="6"/>
  <c r="N31" i="6"/>
  <c r="N30" i="6"/>
  <c r="N28" i="6"/>
  <c r="N26" i="6"/>
  <c r="N25" i="6"/>
  <c r="N24" i="6"/>
  <c r="N23" i="6"/>
  <c r="N21" i="6"/>
  <c r="N20" i="6"/>
  <c r="N18" i="6"/>
  <c r="N16" i="6"/>
  <c r="N15" i="6"/>
  <c r="N13" i="6"/>
  <c r="N10" i="6"/>
  <c r="F5" i="14" l="1"/>
  <c r="F5" i="7"/>
  <c r="O15" i="15"/>
  <c r="P15" i="15"/>
  <c r="P12" i="15"/>
  <c r="O12" i="15"/>
  <c r="P11" i="15"/>
  <c r="O11" i="15"/>
  <c r="O19" i="15"/>
  <c r="P19" i="15"/>
  <c r="P21" i="15"/>
  <c r="O21" i="15"/>
  <c r="P20" i="15"/>
  <c r="O20" i="15"/>
  <c r="P18" i="15"/>
  <c r="O18" i="15"/>
  <c r="P17" i="15"/>
  <c r="O17" i="15"/>
  <c r="P16" i="15"/>
  <c r="O16" i="15"/>
  <c r="P14" i="15"/>
  <c r="O14" i="15"/>
  <c r="P13" i="15"/>
  <c r="O13" i="15"/>
  <c r="P10" i="15"/>
  <c r="O10" i="15"/>
  <c r="F5" i="15" s="1"/>
  <c r="P11" i="13"/>
  <c r="O11" i="13"/>
  <c r="P13" i="12"/>
  <c r="O13" i="12"/>
  <c r="P20" i="11"/>
  <c r="O20" i="11"/>
  <c r="O16" i="11"/>
  <c r="P16" i="11"/>
  <c r="O15" i="11"/>
  <c r="P15" i="11"/>
  <c r="P18" i="11"/>
  <c r="O18" i="11"/>
  <c r="P24" i="11"/>
  <c r="O24" i="11"/>
  <c r="P13" i="11"/>
  <c r="O13" i="11"/>
  <c r="O12" i="11"/>
  <c r="P12" i="11"/>
  <c r="O14" i="11"/>
  <c r="P14" i="11"/>
  <c r="O10" i="11"/>
  <c r="F5" i="11" s="1"/>
  <c r="P10" i="11"/>
  <c r="P22" i="11"/>
  <c r="O22" i="11"/>
  <c r="O27" i="11"/>
  <c r="P27" i="11"/>
  <c r="O11" i="11"/>
  <c r="P11" i="11"/>
  <c r="O23" i="11"/>
  <c r="P23" i="11"/>
  <c r="P21" i="11"/>
  <c r="O21" i="11"/>
  <c r="O28" i="11"/>
  <c r="P28" i="11"/>
  <c r="O19" i="11"/>
  <c r="P19" i="11"/>
  <c r="O25" i="11"/>
  <c r="P25" i="11"/>
  <c r="O17" i="11"/>
  <c r="P17" i="11"/>
  <c r="O26" i="11"/>
  <c r="P26" i="11"/>
  <c r="P13" i="10"/>
  <c r="O13" i="10"/>
  <c r="O12" i="10"/>
  <c r="P12" i="10"/>
  <c r="P10" i="9"/>
  <c r="O10" i="9"/>
  <c r="P13" i="9"/>
  <c r="O13" i="9"/>
  <c r="P12" i="9"/>
  <c r="O12" i="9"/>
  <c r="F5" i="9" s="1"/>
  <c r="O11" i="9"/>
  <c r="P11" i="9"/>
  <c r="P34" i="21"/>
  <c r="C5" i="21"/>
  <c r="P16" i="20"/>
  <c r="O16" i="20"/>
  <c r="P11" i="20"/>
  <c r="O11" i="20"/>
  <c r="P13" i="20"/>
  <c r="O13" i="20"/>
  <c r="P10" i="20"/>
  <c r="O10" i="20"/>
  <c r="P18" i="20"/>
  <c r="O18" i="20"/>
  <c r="P22" i="20"/>
  <c r="O22" i="20"/>
  <c r="P20" i="20"/>
  <c r="O20" i="20"/>
  <c r="O19" i="20"/>
  <c r="P19" i="20"/>
  <c r="P14" i="20"/>
  <c r="O14" i="20"/>
  <c r="P21" i="20"/>
  <c r="O21" i="20"/>
  <c r="P17" i="20"/>
  <c r="O17" i="20"/>
  <c r="P15" i="20"/>
  <c r="O15" i="20"/>
  <c r="O12" i="20"/>
  <c r="P12" i="20"/>
  <c r="O18" i="18"/>
  <c r="P18" i="18"/>
  <c r="O14" i="18"/>
  <c r="P14" i="18"/>
  <c r="P13" i="18"/>
  <c r="O13" i="18"/>
  <c r="O19" i="18"/>
  <c r="P19" i="18"/>
  <c r="O17" i="18"/>
  <c r="P17" i="18"/>
  <c r="O15" i="18"/>
  <c r="P15" i="18"/>
  <c r="O12" i="18"/>
  <c r="P12" i="18"/>
  <c r="P22" i="18"/>
  <c r="O22" i="18"/>
  <c r="O21" i="18"/>
  <c r="P21" i="18"/>
  <c r="P20" i="18"/>
  <c r="O20" i="18"/>
  <c r="P16" i="18"/>
  <c r="O16" i="18"/>
  <c r="P11" i="18"/>
  <c r="O11" i="18"/>
  <c r="O10" i="18"/>
  <c r="P10" i="18"/>
  <c r="P23" i="18" s="1"/>
  <c r="F5" i="17"/>
  <c r="C5" i="16"/>
  <c r="P32" i="16"/>
  <c r="C5" i="14"/>
  <c r="P32" i="14"/>
  <c r="P10" i="13"/>
  <c r="O10" i="13"/>
  <c r="P14" i="13"/>
  <c r="O14" i="13"/>
  <c r="P17" i="13"/>
  <c r="O17" i="13"/>
  <c r="P18" i="13"/>
  <c r="O18" i="13"/>
  <c r="P21" i="13"/>
  <c r="O21" i="13"/>
  <c r="P19" i="13"/>
  <c r="O19" i="13"/>
  <c r="P16" i="13"/>
  <c r="O16" i="13"/>
  <c r="P12" i="13"/>
  <c r="O12" i="13"/>
  <c r="P15" i="13"/>
  <c r="O15" i="13"/>
  <c r="P20" i="13"/>
  <c r="O20" i="13"/>
  <c r="P13" i="13"/>
  <c r="O13" i="13"/>
  <c r="P12" i="12"/>
  <c r="O12" i="12"/>
  <c r="P18" i="12"/>
  <c r="O18" i="12"/>
  <c r="P15" i="12"/>
  <c r="O15" i="12"/>
  <c r="O19" i="12"/>
  <c r="P19" i="12"/>
  <c r="O21" i="12"/>
  <c r="P21" i="12"/>
  <c r="O20" i="12"/>
  <c r="P20" i="12"/>
  <c r="P16" i="12"/>
  <c r="O16" i="12"/>
  <c r="O17" i="12"/>
  <c r="P17" i="12"/>
  <c r="O14" i="12"/>
  <c r="P14" i="12"/>
  <c r="P11" i="12"/>
  <c r="O11" i="12"/>
  <c r="P10" i="12"/>
  <c r="O10" i="12"/>
  <c r="F5" i="10"/>
  <c r="P32" i="10"/>
  <c r="C5" i="10"/>
  <c r="P29" i="6"/>
  <c r="O29" i="6"/>
  <c r="P18" i="6"/>
  <c r="O18" i="6"/>
  <c r="P27" i="6"/>
  <c r="O27" i="6"/>
  <c r="P22" i="6"/>
  <c r="O22" i="6"/>
  <c r="P14" i="6"/>
  <c r="O14" i="6"/>
  <c r="P12" i="6"/>
  <c r="O12" i="6"/>
  <c r="P21" i="6"/>
  <c r="O21" i="6"/>
  <c r="P13" i="6"/>
  <c r="O13" i="6"/>
  <c r="P19" i="6"/>
  <c r="O19" i="6"/>
  <c r="P17" i="6"/>
  <c r="O17" i="6"/>
  <c r="P11" i="6"/>
  <c r="O11" i="6"/>
  <c r="P30" i="6"/>
  <c r="O30" i="6"/>
  <c r="P25" i="6"/>
  <c r="O25" i="6"/>
  <c r="P23" i="6"/>
  <c r="O23" i="6"/>
  <c r="P32" i="6"/>
  <c r="O32" i="6"/>
  <c r="P31" i="6"/>
  <c r="O31" i="6"/>
  <c r="P28" i="6"/>
  <c r="O28" i="6"/>
  <c r="P26" i="6"/>
  <c r="O26" i="6"/>
  <c r="P24" i="6"/>
  <c r="O24" i="6"/>
  <c r="P20" i="6"/>
  <c r="O20" i="6"/>
  <c r="P16" i="6"/>
  <c r="O16" i="6"/>
  <c r="P15" i="6"/>
  <c r="O15" i="6"/>
  <c r="P10" i="6"/>
  <c r="C5" i="6" s="1"/>
  <c r="G11" i="4" s="1"/>
  <c r="H11" i="4" s="1"/>
  <c r="O10" i="6"/>
  <c r="F11" i="4" s="1"/>
  <c r="F12" i="4" s="1"/>
  <c r="P39" i="15" l="1"/>
  <c r="C5" i="15"/>
  <c r="P39" i="11"/>
  <c r="C5" i="11"/>
  <c r="P32" i="9"/>
  <c r="C5" i="9"/>
  <c r="F5" i="18"/>
  <c r="F5" i="12"/>
  <c r="P31" i="20"/>
  <c r="C5" i="20"/>
  <c r="C5" i="18"/>
  <c r="C5" i="13"/>
  <c r="P22" i="13"/>
  <c r="F5" i="13"/>
  <c r="C5" i="12"/>
  <c r="P22" i="12"/>
  <c r="G12" i="4"/>
  <c r="F5" i="6"/>
  <c r="P33" i="6"/>
  <c r="H12" i="4" l="1"/>
  <c r="C7" i="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<sst xmlns="http://schemas.openxmlformats.org/spreadsheetml/2006/main" count="1095" uniqueCount="384">
  <si>
    <t>MOCOH Deal No.</t>
  </si>
  <si>
    <t>Consignee</t>
  </si>
  <si>
    <t>Date Loaded</t>
  </si>
  <si>
    <t>Truck No.</t>
  </si>
  <si>
    <t>Trailer Reg.</t>
  </si>
  <si>
    <t>Transporter</t>
  </si>
  <si>
    <t>Driver Name</t>
  </si>
  <si>
    <t>Destination</t>
  </si>
  <si>
    <t>Product</t>
  </si>
  <si>
    <t>Arrival Date at Offloading</t>
  </si>
  <si>
    <t>Offloaded Date</t>
  </si>
  <si>
    <t>Total Waiting Days</t>
  </si>
  <si>
    <t>Laytime Allowance (days)</t>
  </si>
  <si>
    <t>Total Demurrage to Invoice (USD)</t>
  </si>
  <si>
    <t>TOTAL</t>
  </si>
  <si>
    <t>Rubis Energy Zambia</t>
  </si>
  <si>
    <t>Truckeaze</t>
  </si>
  <si>
    <t>Lusaka</t>
  </si>
  <si>
    <t>PMS</t>
  </si>
  <si>
    <t>Loading Port</t>
  </si>
  <si>
    <t>Demurrage Rate (USD/day)</t>
  </si>
  <si>
    <t>Deal No.</t>
  </si>
  <si>
    <t>Route</t>
  </si>
  <si>
    <t>Beira → Lusaka</t>
  </si>
  <si>
    <t>Beira</t>
  </si>
  <si>
    <t>Laytime Used (days)</t>
  </si>
  <si>
    <t>Sanity Check</t>
  </si>
  <si>
    <t>KEY METRICS</t>
  </si>
  <si>
    <t>TOTAL OWED</t>
  </si>
  <si>
    <t># IN DEMURRAGE</t>
  </si>
  <si>
    <t>DEAL DEFAULTS</t>
  </si>
  <si>
    <t>Laytime (days)</t>
  </si>
  <si>
    <t>Rate (USD/day)</t>
  </si>
  <si>
    <t>PORTFOLIO SUMMARY</t>
  </si>
  <si>
    <t>ACTIVE DEALS</t>
  </si>
  <si>
    <t>Total Trips</t>
  </si>
  <si>
    <t>Total Demurrage</t>
  </si>
  <si>
    <t>DEALS MASTER</t>
  </si>
  <si>
    <t>Central register of all demurrage deals  •  Laytime and rate defaults are pulled from here automatically</t>
  </si>
  <si>
    <t>Reliance Energy Zambia</t>
  </si>
  <si>
    <t>La Grace De Dieu Avec Nous Sarl</t>
  </si>
  <si>
    <t>Lake Petroleum Zambia</t>
  </si>
  <si>
    <t>AGO</t>
  </si>
  <si>
    <t>ARV Energy</t>
  </si>
  <si>
    <t>Monaluxe</t>
  </si>
  <si>
    <t>AEZ6774</t>
  </si>
  <si>
    <t>AEZ6933</t>
  </si>
  <si>
    <t>Charuka Antony Denhere</t>
  </si>
  <si>
    <t>DEMURRAGE DASHBOARD</t>
  </si>
  <si>
    <t>TOTAL DEMURRAGE</t>
  </si>
  <si>
    <t>In Demurrage</t>
  </si>
  <si>
    <t>Avg / Truck</t>
  </si>
  <si>
    <t>💡  Add a row per deal sheet. Duplicate _TEMPLATE for new deals, then add a reference row here.</t>
  </si>
  <si>
    <t>HOW TO USE:</t>
  </si>
  <si>
    <t>1️⃣ Enter Deal No. in the gold box above  →  2️⃣ Fill in truck details (columns C–L) row by row  →  3️⃣ Demurrage calculates automatically  →  4️⃣ Rename the sheet tab when done</t>
  </si>
  <si>
    <t>WHC</t>
  </si>
  <si>
    <t>AKO080MC</t>
  </si>
  <si>
    <t>AH456MC</t>
  </si>
  <si>
    <t>AKN021MC</t>
  </si>
  <si>
    <t>AH430MC</t>
  </si>
  <si>
    <t>AK0101MC</t>
  </si>
  <si>
    <t>AH451MC</t>
  </si>
  <si>
    <t>AKN812MC</t>
  </si>
  <si>
    <t>AH439MC</t>
  </si>
  <si>
    <t>PETRODA</t>
  </si>
  <si>
    <t>FERNANDO ULISSONE FERNANDO MATANDIRE</t>
  </si>
  <si>
    <t>CHICONDI RAIMUNDO TEMBO</t>
  </si>
  <si>
    <t>PEREIRA FERNANDO ARGOLA</t>
  </si>
  <si>
    <t>MOISES BACALEUANE ARROZ</t>
  </si>
  <si>
    <t>AGU 496 MP</t>
  </si>
  <si>
    <t>AF 738 MC</t>
  </si>
  <si>
    <t>AJJ 602 MP</t>
  </si>
  <si>
    <t>AF 699 MC</t>
  </si>
  <si>
    <t>AFW 378 MP</t>
  </si>
  <si>
    <t>AE 731 MC</t>
  </si>
  <si>
    <t>AIB 049 MC</t>
  </si>
  <si>
    <t>AF 715 MC</t>
  </si>
  <si>
    <t>TRANSIR</t>
  </si>
  <si>
    <t>Nhamo Mukwekwerere</t>
  </si>
  <si>
    <t>Hestings Banda</t>
  </si>
  <si>
    <t>Kangai Tafirenyika</t>
  </si>
  <si>
    <t>Kumirai Krispen</t>
  </si>
  <si>
    <t>AKN 001 MC</t>
  </si>
  <si>
    <t>AH 453 MC</t>
  </si>
  <si>
    <t>AKN 014 MC</t>
  </si>
  <si>
    <t>AH 447 MC</t>
  </si>
  <si>
    <t>AKN 767 MC</t>
  </si>
  <si>
    <t>AH 437 MC</t>
  </si>
  <si>
    <t>AKN 010 MC</t>
  </si>
  <si>
    <t>AH 438 MC</t>
  </si>
  <si>
    <t>AKN 820 MC</t>
  </si>
  <si>
    <t>AH 468 MC</t>
  </si>
  <si>
    <t>MOMADE MOEDA MOMADE</t>
  </si>
  <si>
    <t>KEITH TCHUMA</t>
  </si>
  <si>
    <t>CARLOS JOSE JOAO</t>
  </si>
  <si>
    <t>NELSON GOTINE</t>
  </si>
  <si>
    <t>CHIFUNDO SITOLO</t>
  </si>
  <si>
    <t>Laytime Allowed (days)</t>
  </si>
  <si>
    <t>ABC 253 SF</t>
  </si>
  <si>
    <t>AH 386 SF</t>
  </si>
  <si>
    <t>AKO 101 MC</t>
  </si>
  <si>
    <t>AH 451 MC</t>
  </si>
  <si>
    <t>Zacarias Huo</t>
  </si>
  <si>
    <t>Casse Moguene</t>
  </si>
  <si>
    <t>AKN 021 MC</t>
  </si>
  <si>
    <t>ABC 281 SF</t>
  </si>
  <si>
    <t>AH 405 SF</t>
  </si>
  <si>
    <t>ABC 296 SF</t>
  </si>
  <si>
    <t>AH 396 SF</t>
  </si>
  <si>
    <t>ABC 288 SF</t>
  </si>
  <si>
    <t>AH 388 SF</t>
  </si>
  <si>
    <t>AKO 096 MC</t>
  </si>
  <si>
    <t>AH 452 MC</t>
  </si>
  <si>
    <t>AKN 003 MC</t>
  </si>
  <si>
    <t>AH426MC</t>
  </si>
  <si>
    <t>AKN 017 MC</t>
  </si>
  <si>
    <t>AH 424 MC</t>
  </si>
  <si>
    <t>AKO 141 MC</t>
  </si>
  <si>
    <t>AH449MC</t>
  </si>
  <si>
    <t>ABC 257 SF</t>
  </si>
  <si>
    <t>AH 420 SF</t>
  </si>
  <si>
    <t>AKN 777 MC</t>
  </si>
  <si>
    <t>AH415MC</t>
  </si>
  <si>
    <t>ABC 241 SF</t>
  </si>
  <si>
    <t>AH 421 SF</t>
  </si>
  <si>
    <t>ABC 248 SF</t>
  </si>
  <si>
    <t>AH 418 SF</t>
  </si>
  <si>
    <t>JOSE MORAIS AUGUSTO</t>
  </si>
  <si>
    <t xml:space="preserve">DAUTI GUBE </t>
  </si>
  <si>
    <t>ANTONIO  ZECA  NDATCHERENGA</t>
  </si>
  <si>
    <t>EMIDIO SEBASTIAO JOAO MUSSAFE</t>
  </si>
  <si>
    <t>PAULO INACIO</t>
  </si>
  <si>
    <t>RAUL UARROTA JORGE</t>
  </si>
  <si>
    <t>SILVIO MARIANO</t>
  </si>
  <si>
    <t>INACIO NUNES LANGA</t>
  </si>
  <si>
    <t>PAULINO CHICO GUILHERME</t>
  </si>
  <si>
    <t>FELIX VIEGAS</t>
  </si>
  <si>
    <t>ARAUJO MARCELINO RAFAEL NOTICE</t>
  </si>
  <si>
    <t>Petroda</t>
  </si>
  <si>
    <t>ABC 251 SF</t>
  </si>
  <si>
    <t>AH 395 SF</t>
  </si>
  <si>
    <t>ABC 255 SF</t>
  </si>
  <si>
    <t>AH 397 SF</t>
  </si>
  <si>
    <t>ABC 282 SF</t>
  </si>
  <si>
    <t>AH 382 SF</t>
  </si>
  <si>
    <t>ABC 276 SF</t>
  </si>
  <si>
    <t>AH 416 SF</t>
  </si>
  <si>
    <t>ABC 285 SF</t>
  </si>
  <si>
    <t>AH 461 MC</t>
  </si>
  <si>
    <t>ABC 286 SF</t>
  </si>
  <si>
    <t>AH 406 SF</t>
  </si>
  <si>
    <t>ABC 237 SF</t>
  </si>
  <si>
    <t>AH 393 SF</t>
  </si>
  <si>
    <t>AKN 811 MC</t>
  </si>
  <si>
    <t>AH 419 MC</t>
  </si>
  <si>
    <t>ABC 283 SF</t>
  </si>
  <si>
    <t>AH 383 SF</t>
  </si>
  <si>
    <t>AAO 766 SF</t>
  </si>
  <si>
    <t>AH 440 MC</t>
  </si>
  <si>
    <t>AH 426 MC</t>
  </si>
  <si>
    <t>AKO 144 MC</t>
  </si>
  <si>
    <t>AH 414 MC</t>
  </si>
  <si>
    <t>GERITO AVELINO JOAQUIM</t>
  </si>
  <si>
    <t>EDIMO M.S AINOSSE BOBO</t>
  </si>
  <si>
    <t>BAPTISTA SAENE RUPIA</t>
  </si>
  <si>
    <t>ISSUFO ASSANE AMADE</t>
  </si>
  <si>
    <t>XADREQUE JORGE MAIBEQUE</t>
  </si>
  <si>
    <t>FERRAO AGOSTINHO SALICUCHEPA</t>
  </si>
  <si>
    <t>Issufo Paulino</t>
  </si>
  <si>
    <t>SAMUEL LOTI MATABWA</t>
  </si>
  <si>
    <t>WILLIAMO MALISHE</t>
  </si>
  <si>
    <t>DOMINGOS FRANCISCO ARGOLA</t>
  </si>
  <si>
    <t>GUERRA JULIAO</t>
  </si>
  <si>
    <t>CAPESSE LUIS CAPESSE</t>
  </si>
  <si>
    <t>OASIS</t>
  </si>
  <si>
    <t>FRANCIS</t>
  </si>
  <si>
    <t xml:space="preserve">AARON </t>
  </si>
  <si>
    <t>ANDRE</t>
  </si>
  <si>
    <t>CECIL</t>
  </si>
  <si>
    <t>EMMANUEL</t>
  </si>
  <si>
    <t>JAMES</t>
  </si>
  <si>
    <t>ATIN</t>
  </si>
  <si>
    <t>JOSEPH</t>
  </si>
  <si>
    <t>JASON</t>
  </si>
  <si>
    <t>ALEX</t>
  </si>
  <si>
    <t>RAJ HILLARY</t>
  </si>
  <si>
    <t>DUNCAN</t>
  </si>
  <si>
    <t>CAA-8073ZM</t>
  </si>
  <si>
    <t>CAA-8067ZM</t>
  </si>
  <si>
    <t>BAZ-3920ZM</t>
  </si>
  <si>
    <t>BAZ-4329ZM</t>
  </si>
  <si>
    <t>BAV-7007ZM</t>
  </si>
  <si>
    <t>BAV-7070ZM</t>
  </si>
  <si>
    <t>BAV-7006ZM</t>
  </si>
  <si>
    <t>BAV-7074ZM</t>
  </si>
  <si>
    <t>BAZ-4162ZM</t>
  </si>
  <si>
    <t>BAZ-4663ZM</t>
  </si>
  <si>
    <t>BAV-7223ZM</t>
  </si>
  <si>
    <t>BAV-7081ZM</t>
  </si>
  <si>
    <t>CAJ-4203 ZM</t>
  </si>
  <si>
    <t>CAJ-4205 ZM</t>
  </si>
  <si>
    <t>CAJ-7188 ZM</t>
  </si>
  <si>
    <t>CAJ-7178 ZM</t>
  </si>
  <si>
    <t>CAJ-7193 ZM</t>
  </si>
  <si>
    <t xml:space="preserve">CAJ-7197 ZM </t>
  </si>
  <si>
    <t>CAJ-7192 ZM</t>
  </si>
  <si>
    <t>CAJ-7175 ZM</t>
  </si>
  <si>
    <t>CAJ-4325 ZM</t>
  </si>
  <si>
    <t>CAJ-4321 ZM</t>
  </si>
  <si>
    <t>CAF-8526ZM</t>
  </si>
  <si>
    <t>CAF-8515ZM</t>
  </si>
  <si>
    <t>CAJ-4204 ZM</t>
  </si>
  <si>
    <t>CAJ-4195 ZM</t>
  </si>
  <si>
    <t>CAF-8484ZM</t>
  </si>
  <si>
    <t>CAF-8530ZM</t>
  </si>
  <si>
    <t>CAJ-4322 ZM</t>
  </si>
  <si>
    <t>CAJ-4323 ZM</t>
  </si>
  <si>
    <t>CAJ-4194ZM</t>
  </si>
  <si>
    <t>CAJ-4191ZM</t>
  </si>
  <si>
    <t>CAJ-4196 ZM</t>
  </si>
  <si>
    <t>CAJ-4189 ZM</t>
  </si>
  <si>
    <t>CAJ-7173 ZM</t>
  </si>
  <si>
    <t>CAJ-7186 ZM</t>
  </si>
  <si>
    <t>CAJ-7191 ZM</t>
  </si>
  <si>
    <t>CAJ-7179 ZM</t>
  </si>
  <si>
    <t>CAJ-4193ZM</t>
  </si>
  <si>
    <t>BAZ-5057ZM</t>
  </si>
  <si>
    <t>CAJ-4324 ZM</t>
  </si>
  <si>
    <t>CAJ-4326 ZM</t>
  </si>
  <si>
    <t xml:space="preserve">OASIS </t>
  </si>
  <si>
    <t>CHARLES PHIRI</t>
  </si>
  <si>
    <t>RAJ HILLARY DESAI</t>
  </si>
  <si>
    <t>STEVEN BANDA</t>
  </si>
  <si>
    <t>STEVE KANENGO</t>
  </si>
  <si>
    <t>JOCKONIA SAKALA</t>
  </si>
  <si>
    <t>CHILESHE MUTALE</t>
  </si>
  <si>
    <t>MWACHATUBA ERIC MALUSA</t>
  </si>
  <si>
    <t>PHILLIMON NKHOMA</t>
  </si>
  <si>
    <t>LAFTON SHIPUNGA</t>
  </si>
  <si>
    <t>MICHEAL MAKEPESHI</t>
  </si>
  <si>
    <t>AKN 779 MC</t>
  </si>
  <si>
    <t>AH 420 MC</t>
  </si>
  <si>
    <t>AKM 997 MC</t>
  </si>
  <si>
    <t>AH 428 MC</t>
  </si>
  <si>
    <t>AKN 006 MC</t>
  </si>
  <si>
    <t>AH 457 MC</t>
  </si>
  <si>
    <t>AKM 999 MC</t>
  </si>
  <si>
    <t>AH 416 MC</t>
  </si>
  <si>
    <t>ABC 280 SF</t>
  </si>
  <si>
    <t>AH 380 SF</t>
  </si>
  <si>
    <t>ABC 259 SF</t>
  </si>
  <si>
    <t>AH 419 SF</t>
  </si>
  <si>
    <t>AAO 768 SF</t>
  </si>
  <si>
    <t>AH 421 MC</t>
  </si>
  <si>
    <t>ABC 277 SF</t>
  </si>
  <si>
    <t>AH 377 SF</t>
  </si>
  <si>
    <t>ABC 244 SF</t>
  </si>
  <si>
    <t>AH 424 SF</t>
  </si>
  <si>
    <t>AKN 765 MC</t>
  </si>
  <si>
    <t>AH 427 MC</t>
  </si>
  <si>
    <t>ABC 292 SF</t>
  </si>
  <si>
    <t>AH 402 SF</t>
  </si>
  <si>
    <t>ABC 252 SF</t>
  </si>
  <si>
    <t>AH 387 SF</t>
  </si>
  <si>
    <t>LOURENCO JOSE JORGE</t>
  </si>
  <si>
    <t>JOAO XAVIER LEVANHE PAULINO</t>
  </si>
  <si>
    <t>TAIBO RATO KANO</t>
  </si>
  <si>
    <t>DOMINGOS CASTIGO</t>
  </si>
  <si>
    <t>AGOSTINHO GONCALVES PIRES</t>
  </si>
  <si>
    <t>ALBERTO JOSE VASCO</t>
  </si>
  <si>
    <t>BRITO BITONE SEMENTE MUTANDO</t>
  </si>
  <si>
    <t>DANIEL WAIRESSE MUDUWA</t>
  </si>
  <si>
    <t>BONIFACIO BYSON MALEFULA</t>
  </si>
  <si>
    <t>AGZ4447</t>
  </si>
  <si>
    <t>AHD0019</t>
  </si>
  <si>
    <t>AHA2259</t>
  </si>
  <si>
    <t>AHD0551</t>
  </si>
  <si>
    <t>AGZ4446</t>
  </si>
  <si>
    <t>AHD0018</t>
  </si>
  <si>
    <t>AGZ3864</t>
  </si>
  <si>
    <t>AGK6600</t>
  </si>
  <si>
    <t>AHA2260</t>
  </si>
  <si>
    <t>AHD0552</t>
  </si>
  <si>
    <t>AGL7682</t>
  </si>
  <si>
    <t>AHD0567</t>
  </si>
  <si>
    <t>AGJ9268</t>
  </si>
  <si>
    <t>AGK3620</t>
  </si>
  <si>
    <t>AGJ9269</t>
  </si>
  <si>
    <t>AGK3385</t>
  </si>
  <si>
    <t>AGZ4444</t>
  </si>
  <si>
    <t>AHD0020</t>
  </si>
  <si>
    <t>AGL5522</t>
  </si>
  <si>
    <t>AGK6549</t>
  </si>
  <si>
    <t>AFQ9753</t>
  </si>
  <si>
    <t>ABN8077</t>
  </si>
  <si>
    <t>AGJ0464</t>
  </si>
  <si>
    <t>AHD0382</t>
  </si>
  <si>
    <t>AEZ9150</t>
  </si>
  <si>
    <t>AGK6758</t>
  </si>
  <si>
    <t>Solomon Mudondiro</t>
  </si>
  <si>
    <t>Daniel Ndabaningi</t>
  </si>
  <si>
    <t>Artwell Billiat</t>
  </si>
  <si>
    <t>Alban Onismo</t>
  </si>
  <si>
    <t>Blessing Manimanzi</t>
  </si>
  <si>
    <t>Masotsha Nyoni</t>
  </si>
  <si>
    <t>Talkmore Ngonidzashe Gumbwa</t>
  </si>
  <si>
    <t>Trevor Shambare</t>
  </si>
  <si>
    <t>Noah Murenje</t>
  </si>
  <si>
    <t>Neville Robson Kaukonde</t>
  </si>
  <si>
    <t>Bernard Dhinda</t>
  </si>
  <si>
    <t xml:space="preserve">Ranganai Tarasizio Kabanya </t>
  </si>
  <si>
    <t>Stanley Munyebvu</t>
  </si>
  <si>
    <t>=COUNTIF($O$10:$O$33,"DEMURRAGE")&amp;" / "&amp;COUNTA($A$10:$A$33)</t>
  </si>
  <si>
    <t>=COUNTIF(TEMPLATE!$O$10:$O$30,"DEMURRAGE")&amp;" / "&amp;COUNTA(TEMPLATE!$A$10:$A$30)</t>
  </si>
  <si>
    <t>Transportation rate (per m3)</t>
  </si>
  <si>
    <t>AHN 716 MP</t>
  </si>
  <si>
    <t>AJ 041 MC</t>
  </si>
  <si>
    <t>AFV 439 MP</t>
  </si>
  <si>
    <t>AE 760 MC</t>
  </si>
  <si>
    <t>AIQ 955 MP</t>
  </si>
  <si>
    <t>AJ 042 MC</t>
  </si>
  <si>
    <t>AAX 014 SF</t>
  </si>
  <si>
    <t>AA 475 MC</t>
  </si>
  <si>
    <t>Average Chitengwa</t>
  </si>
  <si>
    <t>Adelino Silira</t>
  </si>
  <si>
    <t>Maxwell Shamu</t>
  </si>
  <si>
    <t>Clayton Kamudzeya</t>
  </si>
  <si>
    <t>AHG 527 MP</t>
  </si>
  <si>
    <t>AE 730 MC</t>
  </si>
  <si>
    <t>AIB 236 MC</t>
  </si>
  <si>
    <t>AA 486 MC</t>
  </si>
  <si>
    <t>AVERAGE CHITENGWA</t>
  </si>
  <si>
    <t>HESTINGS JAMU BANDA</t>
  </si>
  <si>
    <t>NHAMO MUKWEKWERERE</t>
  </si>
  <si>
    <t>KANGAI TAFIRENYIKA</t>
  </si>
  <si>
    <t>KELVIN JAKARASI</t>
  </si>
  <si>
    <t>INNOCENT MPOSHI</t>
  </si>
  <si>
    <t>CLAYTON KAMUDZEYA</t>
  </si>
  <si>
    <t>ALBERT ADELINO SILIRA</t>
  </si>
  <si>
    <t>MAXWELL SHAMU</t>
  </si>
  <si>
    <t>KUMIRAI KRISPEN</t>
  </si>
  <si>
    <t>OSMAN AFIYA YUNUSU</t>
  </si>
  <si>
    <t>BENEDITO ANTONIO DOMINGOS BUZI</t>
  </si>
  <si>
    <t xml:space="preserve">MATEUS VASCO ZAMBO </t>
  </si>
  <si>
    <t>JOSSIA RESENDE NHONE</t>
  </si>
  <si>
    <t>IVAN MANUEL AMADE JOAQUIM</t>
  </si>
  <si>
    <t>GILDO LUIS DE SOUSA</t>
  </si>
  <si>
    <t>WILIAMO BRITO MALISSIE</t>
  </si>
  <si>
    <t>ADILSON DOMINGOS JOSE</t>
  </si>
  <si>
    <t>ANTONIO EFREMO ANDICENE</t>
  </si>
  <si>
    <t>YONA MARCOS ABILIO</t>
  </si>
  <si>
    <t>BLESSING LINOS NDENGUMA</t>
  </si>
  <si>
    <t>NILTON DERCIO ADRIANO LANGA</t>
  </si>
  <si>
    <t>FRANCISCO ZACARIAS</t>
  </si>
  <si>
    <t>JOAQUIM FRANCISCO HAMELA</t>
  </si>
  <si>
    <t xml:space="preserve">JONE BERNARDO QUIPA </t>
  </si>
  <si>
    <t>ABC 234 SF</t>
  </si>
  <si>
    <t>AH 414 SF</t>
  </si>
  <si>
    <t>AKN 848 MC</t>
  </si>
  <si>
    <t>AH 413 MC</t>
  </si>
  <si>
    <t>ABC 274 SF</t>
  </si>
  <si>
    <t>AH 379 SF</t>
  </si>
  <si>
    <t>AKN 012 MC</t>
  </si>
  <si>
    <t>AH 432 MC</t>
  </si>
  <si>
    <t>ABC 294 SF</t>
  </si>
  <si>
    <t>AH 422 SF</t>
  </si>
  <si>
    <t>ABC 236 SF</t>
  </si>
  <si>
    <t>AH 376 SF</t>
  </si>
  <si>
    <t>AKO 283 MC</t>
  </si>
  <si>
    <t>AH 446 MC</t>
  </si>
  <si>
    <t>AKN 854 MC</t>
  </si>
  <si>
    <t>AH 423 MC</t>
  </si>
  <si>
    <t>AKN 461MC</t>
  </si>
  <si>
    <t>AH 425 MC</t>
  </si>
  <si>
    <t>AKN 783 MC</t>
  </si>
  <si>
    <t>AH 450 MC</t>
  </si>
  <si>
    <t>ABC 284 SF</t>
  </si>
  <si>
    <t>AH 384 SF</t>
  </si>
  <si>
    <t>AKN 009 MC</t>
  </si>
  <si>
    <t>AH 463 MC</t>
  </si>
  <si>
    <t>AKN 812 MC</t>
  </si>
  <si>
    <t>AH 439 MC</t>
  </si>
  <si>
    <t>ABC 291 SF</t>
  </si>
  <si>
    <t>AH 391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</si>
</sst>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dd\-mmm\-yyyy"/>
    <numFmt numFmtId="165" formatCode="_-[$$-409]* #,##0.00_ ;_-[$$-409]* \-#,##0.00\ ;_-[$$-409]* &quot;-&quot;??_ ;_-@_ "/>
    <numFmt numFmtId="166" formatCode="[$$USD]\ #,##0.00;[$$USD]\ \(#,##0.00\);&quot;-&quot;"/>
    <numFmt numFmtId="167" formatCode="[$$USD]\ #,##0.00"/>
    <numFmt numFmtId="168" formatCode="[$$USD]\ #,##0;[$$USD]\ \(#,##0\);&quot;-&quot;"/>
    <numFmt numFmtId="169" formatCode="[$-409]d\-mmm\-yy;@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20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1F2A6E"/>
      <name val="Calibri"/>
      <family val="2"/>
    </font>
    <font>
      <b/>
      <sz val="11"/>
      <color rgb="FF15205A"/>
      <name val="Aptos Narrow"/>
      <family val="2"/>
      <scheme val="minor"/>
    </font>
    <font>
      <b/>
      <sz val="11"/>
      <color rgb="FF1F2A6E"/>
      <name val="Aptos Narrow"/>
      <family val="2"/>
      <scheme val="minor"/>
    </font>
    <font>
      <sz val="10"/>
      <color rgb="FF008000"/>
      <name val="Calibri"/>
      <family val="2"/>
    </font>
    <font>
      <sz val="11"/>
      <color rgb="FF008000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sz val="11"/>
      <color rgb="FF1F2A6E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9"/>
      <color rgb="FF1F2A6E"/>
      <name val="Aptos Narrow"/>
      <family val="2"/>
      <scheme val="minor"/>
    </font>
    <font>
      <b/>
      <sz val="16"/>
      <color rgb="FF1F2A6E"/>
      <name val="Aptos Narrow"/>
      <family val="2"/>
      <scheme val="minor"/>
    </font>
    <font>
      <b/>
      <sz val="10"/>
      <color rgb="FF1F2A6E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i/>
      <sz val="9"/>
      <color rgb="FF888888"/>
      <name val="Aptos Narrow"/>
      <family val="2"/>
      <scheme val="minor"/>
    </font>
    <font>
      <i/>
      <sz val="9"/>
      <color rgb="FF666666"/>
      <name val="Aptos Narrow"/>
      <family val="2"/>
      <scheme val="minor"/>
    </font>
    <font>
      <sz val="11"/>
      <color rgb="FF888888"/>
      <name val="Aptos Narrow"/>
      <family val="2"/>
      <scheme val="minor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2A6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B233"/>
        <bgColor indexed="64"/>
      </patternFill>
    </fill>
    <fill>
      <patternFill patternType="solid">
        <fgColor rgb="FFFAF6EE"/>
        <bgColor indexed="64"/>
      </patternFill>
    </fill>
    <fill>
      <patternFill patternType="solid">
        <fgColor rgb="FFFCEBC8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FFF2CC"/>
        <bgColor indexed="64"/>
      </patternFill>
    </fill>
  </fills>
  <borders count="27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medium">
        <color rgb="FF1F2A6E"/>
      </right>
      <top style="thin">
        <color rgb="FFD9D9D9"/>
      </top>
      <bottom style="medium">
        <color rgb="FF1F2A6E"/>
      </bottom>
      <diagonal/>
    </border>
    <border>
      <left style="medium">
        <color rgb="FF1F2A6E"/>
      </left>
      <right/>
      <top style="medium">
        <color rgb="FF1F2A6E"/>
      </top>
      <bottom/>
      <diagonal/>
    </border>
    <border>
      <left style="thin">
        <color rgb="FFD9D9D9"/>
      </left>
      <right style="medium">
        <color rgb="FF1F2A6E"/>
      </right>
      <top style="thin">
        <color rgb="FFD9D9D9"/>
      </top>
      <bottom/>
      <diagonal/>
    </border>
    <border>
      <left/>
      <right/>
      <top style="thin">
        <color rgb="FFD0D7E2"/>
      </top>
      <bottom/>
      <diagonal/>
    </border>
    <border>
      <left/>
      <right/>
      <top/>
      <bottom style="thin">
        <color rgb="FFD0D7E2"/>
      </bottom>
      <diagonal/>
    </border>
    <border>
      <left style="thin">
        <color rgb="FFD0D7E2"/>
      </left>
      <right/>
      <top style="thin">
        <color rgb="FFD0D7E2"/>
      </top>
      <bottom/>
      <diagonal/>
    </border>
    <border>
      <left style="thin">
        <color rgb="FFD0D7E2"/>
      </left>
      <right/>
      <top/>
      <bottom/>
      <diagonal/>
    </border>
    <border>
      <left style="thin">
        <color rgb="FFD0D7E2"/>
      </left>
      <right/>
      <top/>
      <bottom style="thin">
        <color rgb="FFD0D7E2"/>
      </bottom>
      <diagonal/>
    </border>
    <border>
      <left/>
      <right style="thin">
        <color rgb="FFD0D7E2"/>
      </right>
      <top style="thin">
        <color rgb="FFD0D7E2"/>
      </top>
      <bottom/>
      <diagonal/>
    </border>
    <border>
      <left/>
      <right style="thin">
        <color rgb="FFD0D7E2"/>
      </right>
      <top/>
      <bottom/>
      <diagonal/>
    </border>
    <border>
      <left/>
      <right style="thin">
        <color rgb="FFD0D7E2"/>
      </right>
      <top/>
      <bottom style="thin">
        <color rgb="FFD0D7E2"/>
      </bottom>
      <diagonal/>
    </border>
    <border>
      <left style="thin">
        <color rgb="FFD9D9D9"/>
      </left>
      <right/>
      <top style="medium">
        <color rgb="FF1F2A6E"/>
      </top>
      <bottom/>
      <diagonal/>
    </border>
    <border>
      <left style="thin">
        <color rgb="FFD9D9D9"/>
      </left>
      <right style="medium">
        <color rgb="FF1F2A6E"/>
      </right>
      <top style="medium">
        <color rgb="FF1F2A6E"/>
      </top>
      <bottom/>
      <diagonal/>
    </border>
    <border>
      <left style="medium">
        <color rgb="FF1F2A6E"/>
      </left>
      <right/>
      <top style="thin">
        <color rgb="FFD9D9D9"/>
      </top>
      <bottom/>
      <diagonal/>
    </border>
    <border>
      <left style="medium">
        <color rgb="FF1F2A6E"/>
      </left>
      <right/>
      <top style="thin">
        <color rgb="FFD9D9D9"/>
      </top>
      <bottom style="medium">
        <color rgb="FF1F2A6E"/>
      </bottom>
      <diagonal/>
    </border>
    <border>
      <left style="thin">
        <color rgb="FFD9D9D9"/>
      </left>
      <right/>
      <top style="thin">
        <color rgb="FFD9D9D9"/>
      </top>
      <bottom style="medium">
        <color rgb="FF1F2A6E"/>
      </bottom>
      <diagonal/>
    </border>
    <border>
      <left style="thin">
        <color rgb="FFD0D7E2"/>
      </left>
      <right style="thin">
        <color rgb="FFD0D7E2"/>
      </right>
      <top/>
      <bottom/>
      <diagonal/>
    </border>
    <border>
      <left style="medium">
        <color rgb="FF1F2A6E"/>
      </left>
      <right style="thin">
        <color rgb="FFD0D7E2"/>
      </right>
      <top/>
      <bottom/>
      <diagonal/>
    </border>
    <border>
      <left style="thin">
        <color rgb="FFD0D7E2"/>
      </left>
      <right style="medium">
        <color rgb="FF1F2A6E"/>
      </right>
      <top/>
      <bottom/>
      <diagonal/>
    </border>
    <border>
      <left style="medium">
        <color rgb="FF1F2A6E"/>
      </left>
      <right style="thin">
        <color rgb="FFD0D7E2"/>
      </right>
      <top style="medium">
        <color rgb="FF1F2A6E"/>
      </top>
      <bottom style="thin">
        <color rgb="FF44B3E1"/>
      </bottom>
      <diagonal/>
    </border>
    <border>
      <left style="thin">
        <color rgb="FFD0D7E2"/>
      </left>
      <right style="thin">
        <color rgb="FFD0D7E2"/>
      </right>
      <top style="medium">
        <color rgb="FF1F2A6E"/>
      </top>
      <bottom style="thin">
        <color rgb="FF44B3E1"/>
      </bottom>
      <diagonal/>
    </border>
    <border>
      <left style="thin">
        <color rgb="FFD0D7E2"/>
      </left>
      <right style="medium">
        <color rgb="FF1F2A6E"/>
      </right>
      <top style="medium">
        <color rgb="FF1F2A6E"/>
      </top>
      <bottom style="thin">
        <color rgb="FF44B3E1"/>
      </bottom>
      <diagonal/>
    </border>
    <border>
      <left style="medium">
        <color rgb="FF1F2A6E"/>
      </left>
      <right style="thin">
        <color rgb="FFD0D7E2"/>
      </right>
      <top style="thin">
        <color rgb="FFD9D9D9"/>
      </top>
      <bottom style="medium">
        <color rgb="FF1F2A6E"/>
      </bottom>
      <diagonal/>
    </border>
    <border>
      <left style="thin">
        <color rgb="FFD0D7E2"/>
      </left>
      <right style="thin">
        <color rgb="FFD0D7E2"/>
      </right>
      <top style="thin">
        <color rgb="FFD9D9D9"/>
      </top>
      <bottom style="medium">
        <color rgb="FF1F2A6E"/>
      </bottom>
      <diagonal/>
    </border>
    <border>
      <left style="thin">
        <color rgb="FFD0D7E2"/>
      </left>
      <right style="medium">
        <color rgb="FF1F2A6E"/>
      </right>
      <top style="thin">
        <color rgb="FFD9D9D9"/>
      </top>
      <bottom style="medium">
        <color rgb="FF1F2A6E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2" fillId="0" borderId="0"/>
  </cellStyleXfs>
  <cellXfs count="100">
    <xf numFmtId="0" fontId="0" fillId="0" borderId="0" xfId="0"/>
    <xf numFmtId="165" fontId="0" fillId="0" borderId="0" xfId="0" applyNumberFormat="1"/>
    <xf numFmtId="0" fontId="8" fillId="5" borderId="0" xfId="0" applyFont="1" applyFill="1" applyAlignment="1">
      <alignment horizontal="left"/>
    </xf>
    <xf numFmtId="0" fontId="0" fillId="4" borderId="0" xfId="0" applyFill="1"/>
    <xf numFmtId="0" fontId="0" fillId="2" borderId="0" xfId="0" applyFill="1"/>
    <xf numFmtId="0" fontId="17" fillId="5" borderId="8" xfId="0" applyFont="1" applyFill="1" applyBorder="1" applyAlignment="1">
      <alignment horizontal="left" vertical="center"/>
    </xf>
    <xf numFmtId="0" fontId="17" fillId="5" borderId="9" xfId="0" applyFont="1" applyFill="1" applyBorder="1" applyAlignment="1">
      <alignment horizontal="left" vertical="center"/>
    </xf>
    <xf numFmtId="164" fontId="6" fillId="3" borderId="1" xfId="0" applyNumberFormat="1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left" vertical="center"/>
      <protection locked="0"/>
    </xf>
    <xf numFmtId="0" fontId="0" fillId="5" borderId="0" xfId="0" applyFill="1"/>
    <xf numFmtId="0" fontId="18" fillId="2" borderId="0" xfId="0" applyFont="1" applyFill="1" applyAlignment="1">
      <alignment horizontal="left"/>
    </xf>
    <xf numFmtId="0" fontId="20" fillId="5" borderId="0" xfId="0" applyFont="1" applyFill="1" applyAlignment="1">
      <alignment horizontal="left"/>
    </xf>
    <xf numFmtId="0" fontId="13" fillId="2" borderId="11" xfId="0" applyFont="1" applyFill="1" applyBorder="1" applyAlignment="1">
      <alignment horizontal="center"/>
    </xf>
    <xf numFmtId="0" fontId="13" fillId="2" borderId="18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/>
    </xf>
    <xf numFmtId="1" fontId="12" fillId="3" borderId="11" xfId="0" applyNumberFormat="1" applyFont="1" applyFill="1" applyBorder="1" applyAlignment="1">
      <alignment horizontal="center"/>
    </xf>
    <xf numFmtId="0" fontId="12" fillId="3" borderId="18" xfId="0" applyFont="1" applyFill="1" applyBorder="1" applyAlignment="1">
      <alignment horizontal="left"/>
    </xf>
    <xf numFmtId="0" fontId="12" fillId="3" borderId="18" xfId="0" applyFont="1" applyFill="1" applyBorder="1" applyAlignment="1">
      <alignment horizontal="center"/>
    </xf>
    <xf numFmtId="2" fontId="3" fillId="3" borderId="18" xfId="0" applyNumberFormat="1" applyFont="1" applyFill="1" applyBorder="1" applyAlignment="1">
      <alignment horizontal="center"/>
    </xf>
    <xf numFmtId="0" fontId="19" fillId="5" borderId="0" xfId="0" applyFont="1" applyFill="1" applyAlignment="1">
      <alignment horizontal="left"/>
    </xf>
    <xf numFmtId="0" fontId="14" fillId="2" borderId="7" xfId="0" applyFont="1" applyFill="1" applyBorder="1" applyAlignment="1">
      <alignment horizontal="center"/>
    </xf>
    <xf numFmtId="0" fontId="15" fillId="4" borderId="7" xfId="0" applyFont="1" applyFill="1" applyBorder="1" applyAlignment="1">
      <alignment horizontal="center"/>
    </xf>
    <xf numFmtId="0" fontId="0" fillId="2" borderId="10" xfId="0" applyFill="1" applyBorder="1"/>
    <xf numFmtId="0" fontId="0" fillId="3" borderId="12" xfId="0" applyFill="1" applyBorder="1"/>
    <xf numFmtId="1" fontId="16" fillId="3" borderId="9" xfId="0" applyNumberFormat="1" applyFont="1" applyFill="1" applyBorder="1" applyAlignment="1">
      <alignment horizontal="center"/>
    </xf>
    <xf numFmtId="0" fontId="0" fillId="4" borderId="10" xfId="0" applyFill="1" applyBorder="1"/>
    <xf numFmtId="1" fontId="12" fillId="3" borderId="19" xfId="0" applyNumberFormat="1" applyFont="1" applyFill="1" applyBorder="1" applyAlignment="1">
      <alignment horizontal="center"/>
    </xf>
    <xf numFmtId="1" fontId="12" fillId="3" borderId="18" xfId="0" applyNumberFormat="1" applyFont="1" applyFill="1" applyBorder="1" applyAlignment="1">
      <alignment horizontal="center"/>
    </xf>
    <xf numFmtId="0" fontId="13" fillId="2" borderId="21" xfId="0" applyFont="1" applyFill="1" applyBorder="1" applyAlignment="1">
      <alignment horizontal="center"/>
    </xf>
    <xf numFmtId="0" fontId="13" fillId="2" borderId="22" xfId="0" applyFont="1" applyFill="1" applyBorder="1" applyAlignment="1">
      <alignment horizontal="center"/>
    </xf>
    <xf numFmtId="0" fontId="13" fillId="2" borderId="23" xfId="0" applyFont="1" applyFill="1" applyBorder="1" applyAlignment="1">
      <alignment horizontal="center"/>
    </xf>
    <xf numFmtId="0" fontId="0" fillId="6" borderId="24" xfId="0" applyFill="1" applyBorder="1"/>
    <xf numFmtId="0" fontId="0" fillId="6" borderId="25" xfId="0" applyFill="1" applyBorder="1"/>
    <xf numFmtId="0" fontId="17" fillId="6" borderId="25" xfId="0" applyFont="1" applyFill="1" applyBorder="1" applyAlignment="1">
      <alignment horizontal="right"/>
    </xf>
    <xf numFmtId="1" fontId="8" fillId="6" borderId="25" xfId="0" applyNumberFormat="1" applyFont="1" applyFill="1" applyBorder="1" applyAlignment="1">
      <alignment horizontal="center"/>
    </xf>
    <xf numFmtId="2" fontId="11" fillId="3" borderId="8" xfId="0" applyNumberFormat="1" applyFont="1" applyFill="1" applyBorder="1" applyAlignment="1">
      <alignment horizontal="right" vertical="center"/>
    </xf>
    <xf numFmtId="2" fontId="11" fillId="3" borderId="8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 applyProtection="1">
      <alignment horizontal="right" vertical="center"/>
      <protection locked="0"/>
    </xf>
    <xf numFmtId="2" fontId="11" fillId="0" borderId="0" xfId="0" applyNumberFormat="1" applyFont="1" applyAlignment="1">
      <alignment horizontal="right" vertical="center"/>
    </xf>
    <xf numFmtId="167" fontId="11" fillId="0" borderId="6" xfId="0" applyNumberFormat="1" applyFont="1" applyBorder="1" applyAlignment="1">
      <alignment horizontal="center" vertical="center"/>
    </xf>
    <xf numFmtId="167" fontId="11" fillId="3" borderId="8" xfId="0" applyNumberFormat="1" applyFont="1" applyFill="1" applyBorder="1" applyAlignment="1">
      <alignment horizontal="center" vertical="center"/>
    </xf>
    <xf numFmtId="168" fontId="16" fillId="3" borderId="9" xfId="0" applyNumberFormat="1" applyFont="1" applyFill="1" applyBorder="1" applyAlignment="1">
      <alignment horizontal="center"/>
    </xf>
    <xf numFmtId="168" fontId="8" fillId="3" borderId="18" xfId="0" applyNumberFormat="1" applyFont="1" applyFill="1" applyBorder="1" applyAlignment="1">
      <alignment horizontal="right"/>
    </xf>
    <xf numFmtId="168" fontId="21" fillId="3" borderId="20" xfId="0" applyNumberFormat="1" applyFont="1" applyFill="1" applyBorder="1" applyAlignment="1">
      <alignment horizontal="right"/>
    </xf>
    <xf numFmtId="168" fontId="8" fillId="6" borderId="25" xfId="0" applyNumberFormat="1" applyFont="1" applyFill="1" applyBorder="1" applyAlignment="1">
      <alignment horizontal="right"/>
    </xf>
    <xf numFmtId="168" fontId="8" fillId="6" borderId="26" xfId="0" applyNumberFormat="1" applyFont="1" applyFill="1" applyBorder="1" applyAlignment="1">
      <alignment horizontal="right"/>
    </xf>
    <xf numFmtId="167" fontId="3" fillId="3" borderId="18" xfId="0" applyNumberFormat="1" applyFont="1" applyFill="1" applyBorder="1" applyAlignment="1">
      <alignment horizontal="center"/>
    </xf>
    <xf numFmtId="0" fontId="15" fillId="5" borderId="0" xfId="0" applyFont="1" applyFill="1" applyAlignment="1">
      <alignment horizontal="right"/>
    </xf>
    <xf numFmtId="0" fontId="0" fillId="3" borderId="0" xfId="0" applyFill="1"/>
    <xf numFmtId="0" fontId="5" fillId="2" borderId="3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1" fontId="9" fillId="3" borderId="15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2" fontId="6" fillId="3" borderId="1" xfId="0" applyNumberFormat="1" applyFont="1" applyFill="1" applyBorder="1" applyAlignment="1">
      <alignment horizontal="center" vertical="center"/>
    </xf>
    <xf numFmtId="2" fontId="10" fillId="3" borderId="1" xfId="0" applyNumberFormat="1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center"/>
    </xf>
    <xf numFmtId="166" fontId="8" fillId="3" borderId="4" xfId="0" applyNumberFormat="1" applyFont="1" applyFill="1" applyBorder="1" applyAlignment="1">
      <alignment horizontal="right"/>
    </xf>
    <xf numFmtId="0" fontId="7" fillId="6" borderId="16" xfId="0" applyFont="1" applyFill="1" applyBorder="1" applyAlignment="1">
      <alignment horizontal="right" vertical="center"/>
    </xf>
    <xf numFmtId="0" fontId="7" fillId="6" borderId="17" xfId="0" applyFont="1" applyFill="1" applyBorder="1" applyAlignment="1">
      <alignment horizontal="left" vertical="center"/>
    </xf>
    <xf numFmtId="0" fontId="7" fillId="6" borderId="17" xfId="0" applyFont="1" applyFill="1" applyBorder="1" applyAlignment="1">
      <alignment horizontal="center" vertical="center"/>
    </xf>
    <xf numFmtId="166" fontId="7" fillId="6" borderId="2" xfId="0" applyNumberFormat="1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 applyProtection="1">
      <alignment horizontal="center" vertical="center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1" xfId="0" applyFont="1" applyFill="1" applyBorder="1" applyAlignment="1" applyProtection="1">
      <alignment horizontal="left" vertical="center"/>
      <protection locked="0"/>
    </xf>
    <xf numFmtId="1" fontId="3" fillId="8" borderId="8" xfId="0" applyNumberFormat="1" applyFont="1" applyFill="1" applyBorder="1" applyAlignment="1" applyProtection="1">
      <alignment horizontal="center" vertical="center"/>
      <protection locked="0"/>
    </xf>
    <xf numFmtId="0" fontId="8" fillId="6" borderId="17" xfId="0" applyFont="1" applyFill="1" applyBorder="1" applyAlignment="1">
      <alignment horizontal="left" vertical="center"/>
    </xf>
    <xf numFmtId="166" fontId="7" fillId="6" borderId="17" xfId="1" applyNumberFormat="1" applyFont="1" applyFill="1" applyBorder="1" applyAlignment="1" applyProtection="1">
      <alignment horizontal="center" vertical="center"/>
    </xf>
    <xf numFmtId="164" fontId="9" fillId="7" borderId="1" xfId="0" applyNumberFormat="1" applyFont="1" applyFill="1" applyBorder="1" applyAlignment="1" applyProtection="1">
      <alignment horizontal="center" vertical="center"/>
      <protection locked="0"/>
    </xf>
    <xf numFmtId="0" fontId="9" fillId="7" borderId="1" xfId="0" applyFont="1" applyFill="1" applyBorder="1" applyAlignment="1" applyProtection="1">
      <alignment horizontal="center" vertical="center"/>
      <protection locked="0"/>
    </xf>
    <xf numFmtId="164" fontId="9" fillId="3" borderId="1" xfId="0" applyNumberFormat="1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167" fontId="11" fillId="3" borderId="8" xfId="0" applyNumberFormat="1" applyFont="1" applyFill="1" applyBorder="1" applyAlignment="1">
      <alignment horizontal="right" vertical="center"/>
    </xf>
    <xf numFmtId="1" fontId="3" fillId="8" borderId="8" xfId="0" applyNumberFormat="1" applyFont="1" applyFill="1" applyBorder="1" applyAlignment="1" applyProtection="1">
      <alignment horizontal="right" vertical="center"/>
      <protection locked="0"/>
    </xf>
    <xf numFmtId="169" fontId="7" fillId="6" borderId="17" xfId="0" applyNumberFormat="1" applyFont="1" applyFill="1" applyBorder="1" applyAlignment="1">
      <alignment horizontal="center" vertical="center"/>
    </xf>
    <xf numFmtId="169" fontId="0" fillId="0" borderId="0" xfId="0" applyNumberFormat="1"/>
    <xf numFmtId="166" fontId="16" fillId="3" borderId="8" xfId="0" applyNumberFormat="1" applyFont="1" applyFill="1" applyBorder="1" applyAlignment="1">
      <alignment horizontal="center" vertical="center"/>
    </xf>
    <xf numFmtId="166" fontId="0" fillId="0" borderId="0" xfId="0" applyNumberFormat="1"/>
    <xf numFmtId="166" fontId="0" fillId="0" borderId="8" xfId="0" applyNumberFormat="1" applyBorder="1"/>
    <xf numFmtId="166" fontId="0" fillId="0" borderId="9" xfId="0" applyNumberFormat="1" applyBorder="1"/>
    <xf numFmtId="166" fontId="0" fillId="0" borderId="6" xfId="0" applyNumberFormat="1" applyBorder="1"/>
    <xf numFmtId="49" fontId="16" fillId="3" borderId="8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8" xfId="0" applyBorder="1"/>
    <xf numFmtId="0" fontId="0" fillId="0" borderId="9" xfId="0" applyBorder="1"/>
    <xf numFmtId="0" fontId="0" fillId="0" borderId="6" xfId="0" applyBorder="1"/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4" borderId="0" xfId="0" applyFill="1"/>
    <xf numFmtId="0" fontId="8" fillId="5" borderId="0" xfId="0" applyFont="1" applyFill="1" applyAlignment="1">
      <alignment horizontal="left"/>
    </xf>
    <xf numFmtId="0" fontId="14" fillId="2" borderId="7" xfId="0" applyFont="1" applyFill="1" applyBorder="1" applyAlignment="1">
      <alignment horizontal="center" vertical="center"/>
    </xf>
    <xf numFmtId="0" fontId="0" fillId="0" borderId="5" xfId="0" applyBorder="1"/>
    <xf numFmtId="0" fontId="15" fillId="4" borderId="7" xfId="0" applyFont="1" applyFill="1" applyBorder="1" applyAlignment="1">
      <alignment horizontal="center" vertical="center"/>
    </xf>
    <xf numFmtId="165" fontId="0" fillId="0" borderId="0" xfId="0" applyNumberFormat="1"/>
    <xf numFmtId="165" fontId="0" fillId="0" borderId="8" xfId="0" applyNumberFormat="1" applyBorder="1"/>
    <xf numFmtId="165" fontId="0" fillId="0" borderId="9" xfId="0" applyNumberFormat="1" applyBorder="1"/>
    <xf numFmtId="165" fontId="0" fillId="0" borderId="6" xfId="0" applyNumberFormat="1" applyBorder="1"/>
  </cellXfs>
  <cellStyles count="3">
    <cellStyle name="Comma" xfId="1" builtinId="3"/>
    <cellStyle name="Normal" xfId="0" builtinId="0"/>
    <cellStyle name="Normal 4 12 2" xfId="2" xr:uid="{A9B5F2AE-7480-4AB1-8071-03B87B75B4A8}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A6E"/>
        <name val="Aptos Narrow"/>
        <family val="2"/>
        <scheme val="minor"/>
      </font>
      <numFmt numFmtId="167" formatCode="[$$USD]\ #,##0.00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0D7E2"/>
        </left>
        <right style="thin">
          <color rgb="FFD0D7E2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numFmt numFmtId="167" formatCode="[$$USD]\ #,##0.00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0D7E2"/>
        </left>
        <right style="thin">
          <color rgb="FFD0D7E2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numFmt numFmtId="167" formatCode="[$$USD]\ #,##0.00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0D7E2"/>
        </left>
        <right style="thin">
          <color rgb="FFD0D7E2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numFmt numFmtId="2" formatCode="0.00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D0D7E2"/>
        </left>
        <right style="thin">
          <color rgb="FFD0D7E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A6E"/>
        <name val="Aptos Narrow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0D7E2"/>
        </left>
        <right style="thin">
          <color rgb="FFD0D7E2"/>
        </right>
        <top/>
        <bottom/>
        <vertical style="thin">
          <color rgb="FFD0D7E2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A6E"/>
        <name val="Aptos Narrow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0D7E2"/>
        </left>
        <right style="thin">
          <color rgb="FFD0D7E2"/>
        </right>
        <top/>
        <bottom/>
        <vertical style="thin">
          <color rgb="FFD0D7E2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A6E"/>
        <name val="Aptos Narrow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0D7E2"/>
        </left>
        <right style="thin">
          <color rgb="FFD0D7E2"/>
        </right>
        <top/>
        <bottom/>
        <vertical style="thin">
          <color rgb="FFD0D7E2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A6E"/>
        <name val="Aptos Narrow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0D7E2"/>
        </left>
        <right style="thin">
          <color rgb="FFD0D7E2"/>
        </right>
        <top/>
        <bottom/>
        <vertical style="thin">
          <color rgb="FFD0D7E2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A6E"/>
        <name val="Aptos Narrow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0D7E2"/>
        </left>
        <right style="thin">
          <color rgb="FFD0D7E2"/>
        </right>
        <top/>
        <bottom/>
        <vertical style="thin">
          <color rgb="FFD0D7E2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A6E"/>
        <name val="Aptos Narrow"/>
        <family val="2"/>
        <scheme val="minor"/>
      </font>
      <numFmt numFmtId="1" formatCode="0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D0D7E2"/>
        </right>
        <top/>
        <bottom/>
        <vertical style="thin">
          <color rgb="FFD0D7E2"/>
        </vertical>
        <horizontal/>
      </border>
    </dxf>
    <dxf>
      <border diagonalUp="0" diagonalDown="0">
        <left style="medium">
          <color rgb="FF1F2A6E"/>
        </left>
        <right style="medium">
          <color rgb="FF1F2A6E"/>
        </right>
        <top style="medium">
          <color rgb="FF1F2A6E"/>
        </top>
        <bottom style="medium">
          <color rgb="FF1F2A6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 Narrow"/>
        <scheme val="minor"/>
      </font>
      <fill>
        <patternFill patternType="solid">
          <fgColor indexed="64"/>
          <bgColor rgb="FF1F2A6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0D7E2"/>
        </left>
        <right style="thin">
          <color rgb="FFD0D7E2"/>
        </right>
        <top/>
        <bottom/>
        <vertical style="thin">
          <color rgb="FFD0D7E2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microsoft.com/office/2022/10/relationships/richValueRel" Target="richData/richValueRel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FE2D4E-6640-49AC-8404-5BB2EC5EFB33}" name="DealsMaster" displayName="DealsMaster" ref="A6:J30" totalsRowShown="0" headerRowDxfId="11" tableBorderDxfId="10">
  <autoFilter ref="A6:J30" xr:uid="{E2FE2D4E-6640-49AC-8404-5BB2EC5EFB33}"/>
  <tableColumns count="10">
    <tableColumn id="1" xr3:uid="{0AE26CD2-1B36-411E-B360-43C26CA5C556}" name="Deal No." dataDxfId="9"/>
    <tableColumn id="2" xr3:uid="{DE89E0DC-616C-44D0-8644-BF05061EC060}" name="Consignee" dataDxfId="8"/>
    <tableColumn id="3" xr3:uid="{CF1C70E8-6192-4A8D-B96E-160AFEA86CE8}" name="Route" dataDxfId="7"/>
    <tableColumn id="4" xr3:uid="{70EC899C-DB76-4A6E-B4E1-8DA846C968E2}" name="Loading Port" dataDxfId="6"/>
    <tableColumn id="5" xr3:uid="{569121F1-B682-4FBE-AEB3-B44FA817B219}" name="Destination" dataDxfId="5"/>
    <tableColumn id="6" xr3:uid="{A8D6CF5F-1307-42D7-8ACC-5CAFC043FFD6}" name="Product" dataDxfId="4"/>
    <tableColumn id="7" xr3:uid="{CC89585F-9E7C-4705-9D00-DECAA0B0C381}" name="Laytime Allowance (days)" dataDxfId="3"/>
    <tableColumn id="8" xr3:uid="{C1DA8898-83E8-40A1-B75F-BA2E88557513}" name="Demurrage Rate (USD/day)" dataDxfId="2"/>
    <tableColumn id="9" xr3:uid="{1C6AE4C4-FEE8-44BA-8B0F-753F144BEC25}" name="Transportation rate (per m3)" dataDxfId="1"/>
    <tableColumn id="10" xr3:uid="{B552AC57-4DDB-4DDA-85FE-B4AED3E1A474}" name="Transport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1EF0DF5-FD05-4B66-820B-82185905CC0F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c8c69a34-c0b0-4b7d-b98d-bd50012e38e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5406-E4E3-41A7-86B0-7EC2666AD15E}">
  <sheetPr>
    <tabColor rgb="FFF2B233"/>
  </sheetPr>
  <dimension ref="A1:Z40"/>
  <sheetViews>
    <sheetView showGridLines="0" workbookViewId="0">
      <pane ySplit="6" topLeftCell="A7" activePane="bottomLeft" state="frozen"/>
      <selection pane="bottomLeft" activeCell="F23" sqref="F23"/>
    </sheetView>
  </sheetViews>
  <sheetFormatPr defaultRowHeight="15" x14ac:dyDescent="0.25"/>
  <cols>
    <col min="1" max="1" width="16.140625" customWidth="1"/>
    <col min="2" max="2" width="29.5703125" customWidth="1"/>
    <col min="3" max="3" width="22.85546875" customWidth="1"/>
    <col min="4" max="5" width="19" customWidth="1"/>
    <col min="6" max="6" width="13.28515625" customWidth="1"/>
    <col min="7" max="7" width="24.7109375" customWidth="1"/>
    <col min="8" max="8" width="26.7109375" customWidth="1"/>
    <col min="9" max="9" width="30.42578125" customWidth="1"/>
    <col min="10" max="10" width="28.140625" bestFit="1" customWidth="1"/>
  </cols>
  <sheetData>
    <row r="1" spans="1:26" ht="32.1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36" customHeight="1" x14ac:dyDescent="0.4">
      <c r="A2" s="11" t="s">
        <v>37</v>
      </c>
      <c r="B2" s="4"/>
      <c r="C2" s="4"/>
      <c r="D2" s="4"/>
      <c r="E2" s="4"/>
      <c r="F2" s="4"/>
      <c r="G2" s="4"/>
      <c r="H2" s="4"/>
      <c r="I2" s="4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x14ac:dyDescent="0.25">
      <c r="A3" s="3"/>
      <c r="B3" s="3"/>
      <c r="C3" s="3"/>
      <c r="D3" s="3"/>
      <c r="E3" s="3"/>
      <c r="F3" s="3"/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20.100000000000001" customHeight="1" x14ac:dyDescent="0.25">
      <c r="A4" s="12" t="s">
        <v>38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2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27.95" customHeight="1" x14ac:dyDescent="0.25">
      <c r="A6" s="13" t="s">
        <v>21</v>
      </c>
      <c r="B6" s="14" t="s">
        <v>1</v>
      </c>
      <c r="C6" s="14" t="s">
        <v>22</v>
      </c>
      <c r="D6" s="14" t="s">
        <v>19</v>
      </c>
      <c r="E6" s="14" t="s">
        <v>7</v>
      </c>
      <c r="F6" s="14" t="s">
        <v>8</v>
      </c>
      <c r="G6" s="14" t="s">
        <v>12</v>
      </c>
      <c r="H6" s="14" t="s">
        <v>20</v>
      </c>
      <c r="I6" s="15" t="s">
        <v>314</v>
      </c>
      <c r="J6" s="14" t="s">
        <v>5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24" customHeight="1" x14ac:dyDescent="0.25">
      <c r="A7" s="16">
        <v>183574</v>
      </c>
      <c r="B7" s="17" t="s">
        <v>15</v>
      </c>
      <c r="C7" s="18" t="s">
        <v>23</v>
      </c>
      <c r="D7" s="18" t="s">
        <v>24</v>
      </c>
      <c r="E7" s="18" t="s">
        <v>17</v>
      </c>
      <c r="F7" s="18" t="s">
        <v>18</v>
      </c>
      <c r="G7" s="19">
        <v>2</v>
      </c>
      <c r="H7" s="47">
        <v>250</v>
      </c>
      <c r="I7" s="47"/>
      <c r="J7" s="18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x14ac:dyDescent="0.25">
      <c r="A8" s="16">
        <v>184119</v>
      </c>
      <c r="B8" s="17" t="s">
        <v>15</v>
      </c>
      <c r="C8" s="18" t="s">
        <v>23</v>
      </c>
      <c r="D8" s="18" t="s">
        <v>24</v>
      </c>
      <c r="E8" s="18" t="s">
        <v>17</v>
      </c>
      <c r="F8" s="18" t="s">
        <v>18</v>
      </c>
      <c r="G8" s="19">
        <v>2</v>
      </c>
      <c r="H8" s="47">
        <v>250</v>
      </c>
      <c r="I8" s="47"/>
      <c r="J8" s="18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x14ac:dyDescent="0.25">
      <c r="A9" s="16">
        <v>184752</v>
      </c>
      <c r="B9" s="17" t="s">
        <v>15</v>
      </c>
      <c r="C9" s="18" t="s">
        <v>23</v>
      </c>
      <c r="D9" s="18" t="s">
        <v>24</v>
      </c>
      <c r="E9" s="18" t="s">
        <v>17</v>
      </c>
      <c r="F9" s="18" t="s">
        <v>18</v>
      </c>
      <c r="G9" s="19">
        <v>2</v>
      </c>
      <c r="H9" s="47">
        <v>250</v>
      </c>
      <c r="I9" s="47"/>
      <c r="J9" s="18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x14ac:dyDescent="0.25">
      <c r="A10" s="16">
        <v>184834</v>
      </c>
      <c r="B10" s="17" t="s">
        <v>39</v>
      </c>
      <c r="C10" s="18" t="s">
        <v>23</v>
      </c>
      <c r="D10" s="18" t="s">
        <v>24</v>
      </c>
      <c r="E10" s="18" t="s">
        <v>17</v>
      </c>
      <c r="F10" s="18" t="s">
        <v>18</v>
      </c>
      <c r="G10" s="19">
        <v>2</v>
      </c>
      <c r="H10" s="47">
        <v>250</v>
      </c>
      <c r="I10" s="47"/>
      <c r="J10" s="18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x14ac:dyDescent="0.25">
      <c r="A11" s="16">
        <v>185260</v>
      </c>
      <c r="B11" s="17" t="s">
        <v>15</v>
      </c>
      <c r="C11" s="18" t="s">
        <v>23</v>
      </c>
      <c r="D11" s="18" t="s">
        <v>24</v>
      </c>
      <c r="E11" s="18" t="s">
        <v>17</v>
      </c>
      <c r="F11" s="18" t="s">
        <v>18</v>
      </c>
      <c r="G11" s="19">
        <v>2</v>
      </c>
      <c r="H11" s="47">
        <v>250</v>
      </c>
      <c r="I11" s="47"/>
      <c r="J11" s="18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x14ac:dyDescent="0.25">
      <c r="A12" s="16">
        <v>185732</v>
      </c>
      <c r="B12" s="17" t="s">
        <v>15</v>
      </c>
      <c r="C12" s="18" t="s">
        <v>23</v>
      </c>
      <c r="D12" s="18" t="s">
        <v>24</v>
      </c>
      <c r="E12" s="18" t="s">
        <v>17</v>
      </c>
      <c r="F12" s="18" t="s">
        <v>18</v>
      </c>
      <c r="G12" s="19">
        <v>2</v>
      </c>
      <c r="H12" s="47">
        <v>250</v>
      </c>
      <c r="I12" s="47"/>
      <c r="J12" s="18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x14ac:dyDescent="0.25">
      <c r="A13" s="16">
        <v>186216</v>
      </c>
      <c r="B13" s="17" t="s">
        <v>15</v>
      </c>
      <c r="C13" s="18" t="s">
        <v>23</v>
      </c>
      <c r="D13" s="18" t="s">
        <v>24</v>
      </c>
      <c r="E13" s="18" t="s">
        <v>17</v>
      </c>
      <c r="F13" s="18" t="s">
        <v>18</v>
      </c>
      <c r="G13" s="19">
        <v>2</v>
      </c>
      <c r="H13" s="47">
        <v>250</v>
      </c>
      <c r="I13" s="47"/>
      <c r="J13" s="18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x14ac:dyDescent="0.25">
      <c r="A14" s="16">
        <v>186326</v>
      </c>
      <c r="B14" s="17" t="s">
        <v>40</v>
      </c>
      <c r="C14" s="18" t="s">
        <v>23</v>
      </c>
      <c r="D14" s="18" t="s">
        <v>24</v>
      </c>
      <c r="E14" s="18" t="s">
        <v>17</v>
      </c>
      <c r="F14" s="18" t="s">
        <v>18</v>
      </c>
      <c r="G14" s="19">
        <v>2</v>
      </c>
      <c r="H14" s="47">
        <v>250</v>
      </c>
      <c r="I14" s="47"/>
      <c r="J14" s="18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x14ac:dyDescent="0.25">
      <c r="A15" s="16">
        <v>187293</v>
      </c>
      <c r="B15" s="17" t="s">
        <v>41</v>
      </c>
      <c r="C15" s="18" t="s">
        <v>23</v>
      </c>
      <c r="D15" s="18" t="s">
        <v>24</v>
      </c>
      <c r="E15" s="18" t="s">
        <v>17</v>
      </c>
      <c r="F15" s="18" t="s">
        <v>18</v>
      </c>
      <c r="G15" s="19">
        <v>2</v>
      </c>
      <c r="H15" s="47">
        <v>250</v>
      </c>
      <c r="I15" s="47">
        <v>122</v>
      </c>
      <c r="J15" s="18" t="s">
        <v>16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x14ac:dyDescent="0.25">
      <c r="A16" s="16">
        <v>187296</v>
      </c>
      <c r="B16" s="17" t="s">
        <v>15</v>
      </c>
      <c r="C16" s="18" t="s">
        <v>23</v>
      </c>
      <c r="D16" s="18" t="s">
        <v>24</v>
      </c>
      <c r="E16" s="18" t="s">
        <v>17</v>
      </c>
      <c r="F16" s="18" t="s">
        <v>18</v>
      </c>
      <c r="G16" s="19">
        <v>2</v>
      </c>
      <c r="H16" s="47">
        <v>250</v>
      </c>
      <c r="I16" s="47"/>
      <c r="J16" s="18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x14ac:dyDescent="0.25">
      <c r="A17" s="16">
        <v>189084</v>
      </c>
      <c r="B17" s="17" t="s">
        <v>15</v>
      </c>
      <c r="C17" s="18" t="s">
        <v>23</v>
      </c>
      <c r="D17" s="18" t="s">
        <v>24</v>
      </c>
      <c r="E17" s="18" t="s">
        <v>17</v>
      </c>
      <c r="F17" s="18" t="s">
        <v>18</v>
      </c>
      <c r="G17" s="19">
        <v>2</v>
      </c>
      <c r="H17" s="47">
        <v>250</v>
      </c>
      <c r="I17" s="47"/>
      <c r="J17" s="18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x14ac:dyDescent="0.25">
      <c r="A18" s="16">
        <v>190261</v>
      </c>
      <c r="B18" s="17" t="s">
        <v>41</v>
      </c>
      <c r="C18" s="18" t="s">
        <v>23</v>
      </c>
      <c r="D18" s="18" t="s">
        <v>24</v>
      </c>
      <c r="E18" s="18" t="s">
        <v>17</v>
      </c>
      <c r="F18" s="18" t="s">
        <v>18</v>
      </c>
      <c r="G18" s="19">
        <v>2</v>
      </c>
      <c r="H18" s="47">
        <v>250</v>
      </c>
      <c r="I18" s="47"/>
      <c r="J18" s="18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x14ac:dyDescent="0.25">
      <c r="A19" s="16">
        <v>190664</v>
      </c>
      <c r="B19" s="17" t="s">
        <v>15</v>
      </c>
      <c r="C19" s="18" t="s">
        <v>23</v>
      </c>
      <c r="D19" s="18" t="s">
        <v>24</v>
      </c>
      <c r="E19" s="18" t="s">
        <v>17</v>
      </c>
      <c r="F19" s="18" t="s">
        <v>18</v>
      </c>
      <c r="G19" s="19">
        <v>2</v>
      </c>
      <c r="H19" s="47">
        <v>250</v>
      </c>
      <c r="I19" s="47"/>
      <c r="J19" s="18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x14ac:dyDescent="0.25">
      <c r="A20" s="16">
        <v>191609</v>
      </c>
      <c r="B20" s="17" t="s">
        <v>15</v>
      </c>
      <c r="C20" s="18" t="s">
        <v>23</v>
      </c>
      <c r="D20" s="18" t="s">
        <v>24</v>
      </c>
      <c r="E20" s="18" t="s">
        <v>17</v>
      </c>
      <c r="F20" s="18" t="s">
        <v>18</v>
      </c>
      <c r="G20" s="19">
        <v>2</v>
      </c>
      <c r="H20" s="47">
        <v>250</v>
      </c>
      <c r="I20" s="47"/>
      <c r="J20" s="18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x14ac:dyDescent="0.25">
      <c r="A21" s="16">
        <v>191610</v>
      </c>
      <c r="B21" s="17" t="s">
        <v>15</v>
      </c>
      <c r="C21" s="18" t="s">
        <v>23</v>
      </c>
      <c r="D21" s="18" t="s">
        <v>24</v>
      </c>
      <c r="E21" s="18" t="s">
        <v>17</v>
      </c>
      <c r="F21" s="18" t="s">
        <v>18</v>
      </c>
      <c r="G21" s="19">
        <v>2</v>
      </c>
      <c r="H21" s="47">
        <v>250</v>
      </c>
      <c r="I21" s="47"/>
      <c r="J21" s="18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x14ac:dyDescent="0.25">
      <c r="A22" s="16">
        <v>184182</v>
      </c>
      <c r="B22" s="17" t="s">
        <v>15</v>
      </c>
      <c r="C22" s="18" t="s">
        <v>23</v>
      </c>
      <c r="D22" s="18" t="s">
        <v>24</v>
      </c>
      <c r="E22" s="18" t="s">
        <v>17</v>
      </c>
      <c r="F22" s="18" t="s">
        <v>42</v>
      </c>
      <c r="G22" s="19">
        <v>2</v>
      </c>
      <c r="H22" s="47">
        <v>250</v>
      </c>
      <c r="I22" s="47"/>
      <c r="J22" s="18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x14ac:dyDescent="0.25">
      <c r="A23" s="16">
        <v>184663</v>
      </c>
      <c r="B23" s="17" t="s">
        <v>39</v>
      </c>
      <c r="C23" s="18" t="s">
        <v>23</v>
      </c>
      <c r="D23" s="18" t="s">
        <v>24</v>
      </c>
      <c r="E23" s="18" t="s">
        <v>17</v>
      </c>
      <c r="F23" s="18" t="s">
        <v>42</v>
      </c>
      <c r="G23" s="19">
        <v>2</v>
      </c>
      <c r="H23" s="47">
        <v>250</v>
      </c>
      <c r="I23" s="47"/>
      <c r="J23" s="18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x14ac:dyDescent="0.25">
      <c r="A24" s="16">
        <v>184978</v>
      </c>
      <c r="B24" s="17" t="s">
        <v>39</v>
      </c>
      <c r="C24" s="18" t="s">
        <v>23</v>
      </c>
      <c r="D24" s="18" t="s">
        <v>24</v>
      </c>
      <c r="E24" s="18" t="s">
        <v>17</v>
      </c>
      <c r="F24" s="18" t="s">
        <v>42</v>
      </c>
      <c r="G24" s="19">
        <v>2</v>
      </c>
      <c r="H24" s="47">
        <v>250</v>
      </c>
      <c r="I24" s="47"/>
      <c r="J24" s="18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x14ac:dyDescent="0.25">
      <c r="A25" s="16">
        <v>185350</v>
      </c>
      <c r="B25" s="17" t="s">
        <v>43</v>
      </c>
      <c r="C25" s="18" t="s">
        <v>23</v>
      </c>
      <c r="D25" s="18" t="s">
        <v>24</v>
      </c>
      <c r="E25" s="18" t="s">
        <v>17</v>
      </c>
      <c r="F25" s="18" t="s">
        <v>42</v>
      </c>
      <c r="G25" s="19">
        <v>2</v>
      </c>
      <c r="H25" s="47">
        <v>250</v>
      </c>
      <c r="I25" s="47"/>
      <c r="J25" s="18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x14ac:dyDescent="0.25">
      <c r="A26" s="16">
        <v>189548</v>
      </c>
      <c r="B26" s="17" t="s">
        <v>40</v>
      </c>
      <c r="C26" s="18" t="s">
        <v>23</v>
      </c>
      <c r="D26" s="18" t="s">
        <v>24</v>
      </c>
      <c r="E26" s="18" t="s">
        <v>17</v>
      </c>
      <c r="F26" s="18" t="s">
        <v>42</v>
      </c>
      <c r="G26" s="19">
        <v>2</v>
      </c>
      <c r="H26" s="47">
        <v>250</v>
      </c>
      <c r="I26" s="47"/>
      <c r="J26" s="18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x14ac:dyDescent="0.25">
      <c r="A27" s="16">
        <v>190666</v>
      </c>
      <c r="B27" s="17" t="s">
        <v>15</v>
      </c>
      <c r="C27" s="18" t="s">
        <v>23</v>
      </c>
      <c r="D27" s="18" t="s">
        <v>24</v>
      </c>
      <c r="E27" s="18" t="s">
        <v>17</v>
      </c>
      <c r="F27" s="18" t="s">
        <v>42</v>
      </c>
      <c r="G27" s="19">
        <v>2</v>
      </c>
      <c r="H27" s="47">
        <v>250</v>
      </c>
      <c r="I27" s="47"/>
      <c r="J27" s="18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x14ac:dyDescent="0.25">
      <c r="A28" s="16">
        <v>190778</v>
      </c>
      <c r="B28" s="17" t="s">
        <v>41</v>
      </c>
      <c r="C28" s="18" t="s">
        <v>23</v>
      </c>
      <c r="D28" s="18" t="s">
        <v>24</v>
      </c>
      <c r="E28" s="18" t="s">
        <v>17</v>
      </c>
      <c r="F28" s="18" t="s">
        <v>42</v>
      </c>
      <c r="G28" s="19">
        <v>2</v>
      </c>
      <c r="H28" s="47">
        <v>250</v>
      </c>
      <c r="I28" s="47">
        <v>135</v>
      </c>
      <c r="J28" s="18" t="s">
        <v>138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x14ac:dyDescent="0.25">
      <c r="A29" s="16">
        <v>190839</v>
      </c>
      <c r="B29" s="17" t="s">
        <v>40</v>
      </c>
      <c r="C29" s="18" t="s">
        <v>23</v>
      </c>
      <c r="D29" s="18" t="s">
        <v>24</v>
      </c>
      <c r="E29" s="18" t="s">
        <v>17</v>
      </c>
      <c r="F29" s="18" t="s">
        <v>42</v>
      </c>
      <c r="G29" s="19">
        <v>2</v>
      </c>
      <c r="H29" s="47">
        <v>250</v>
      </c>
      <c r="I29" s="47"/>
      <c r="J29" s="18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x14ac:dyDescent="0.25">
      <c r="A30" s="16">
        <v>191685</v>
      </c>
      <c r="B30" s="17" t="s">
        <v>44</v>
      </c>
      <c r="C30" s="18" t="s">
        <v>23</v>
      </c>
      <c r="D30" s="18" t="s">
        <v>24</v>
      </c>
      <c r="E30" s="18" t="s">
        <v>17</v>
      </c>
      <c r="F30" s="18" t="s">
        <v>42</v>
      </c>
      <c r="G30" s="19">
        <v>2</v>
      </c>
      <c r="H30" s="47">
        <v>250</v>
      </c>
      <c r="I30" s="47"/>
      <c r="J30" s="18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</sheetData>
  <dataValidations count="3">
    <dataValidation type="list" allowBlank="1" showInputMessage="1" showErrorMessage="1" sqref="D7:D30" xr:uid="{6553FA7E-E109-4F21-88CF-483EE5B050B5}">
      <formula1>"Dar Es Salaam,Beira"</formula1>
    </dataValidation>
    <dataValidation type="list" allowBlank="1" showInputMessage="1" showErrorMessage="1" sqref="E7:E30" xr:uid="{B1E27F72-B061-431D-9AE7-E10F97F2A9F4}">
      <formula1>"Lusaka,Lubumbashi,Chipata"</formula1>
    </dataValidation>
    <dataValidation type="list" allowBlank="1" showInputMessage="1" showErrorMessage="1" sqref="F7:F30" xr:uid="{3F71A089-C4C4-45CE-A54A-E1F49E43BCCD}">
      <formula1>"PMS,AGO"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586C8-8EB5-4C3E-AD87-4E22D5244F23}">
  <sheetPr>
    <tabColor rgb="FF1F2A6E"/>
  </sheetPr>
  <dimension ref="A1:L30"/>
  <sheetViews>
    <sheetView showGridLines="0" workbookViewId="0">
      <pane ySplit="7" topLeftCell="A8" activePane="bottomLeft" state="frozen"/>
      <selection pane="bottomLeft" activeCell="E17" sqref="E17"/>
    </sheetView>
  </sheetViews>
  <sheetFormatPr defaultRowHeight="15" x14ac:dyDescent="0.25"/>
  <cols>
    <col min="1" max="1" width="3.85546875" customWidth="1"/>
    <col min="2" max="2" width="16.140625" customWidth="1"/>
    <col min="3" max="3" width="26.7109375" customWidth="1"/>
    <col min="4" max="4" width="21.85546875" customWidth="1"/>
    <col min="5" max="5" width="15.28515625" customWidth="1"/>
    <col min="6" max="6" width="19" customWidth="1"/>
    <col min="7" max="8" width="22.85546875" customWidth="1"/>
    <col min="9" max="9" width="20" customWidth="1"/>
    <col min="10" max="10" width="18.140625" customWidth="1"/>
    <col min="11" max="11" width="16.140625" customWidth="1"/>
    <col min="12" max="12" width="17.140625" customWidth="1"/>
  </cols>
  <sheetData>
    <row r="1" spans="1:12" ht="9.9499999999999993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36" customHeight="1" x14ac:dyDescent="0.4">
      <c r="A2" s="10"/>
      <c r="B2" s="11" t="s">
        <v>48</v>
      </c>
      <c r="C2" s="4"/>
      <c r="D2" s="4"/>
      <c r="E2" s="4"/>
      <c r="F2" s="4"/>
      <c r="G2" s="4"/>
      <c r="H2" s="4"/>
      <c r="I2" s="10"/>
      <c r="J2" s="10"/>
      <c r="K2" s="10"/>
      <c r="L2" s="10"/>
    </row>
    <row r="3" spans="1:12" ht="3.95" customHeight="1" x14ac:dyDescent="0.25">
      <c r="A3" s="10"/>
      <c r="B3" s="3"/>
      <c r="C3" s="3"/>
      <c r="D3" s="3"/>
      <c r="E3" s="3"/>
      <c r="F3" s="3"/>
      <c r="G3" s="3"/>
      <c r="H3" s="3"/>
      <c r="I3" s="10"/>
      <c r="J3" s="10"/>
      <c r="K3" s="10"/>
      <c r="L3" s="10"/>
    </row>
    <row r="4" spans="1:12" ht="12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20.100000000000001" customHeight="1" x14ac:dyDescent="0.25">
      <c r="A5" s="10"/>
      <c r="B5" s="2" t="s">
        <v>33</v>
      </c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 ht="20.100000000000001" customHeight="1" x14ac:dyDescent="0.25">
      <c r="A6" s="10"/>
      <c r="B6" s="10"/>
      <c r="C6" s="21" t="s">
        <v>49</v>
      </c>
      <c r="D6" s="23"/>
      <c r="E6" s="10"/>
      <c r="F6" s="22" t="s">
        <v>34</v>
      </c>
      <c r="G6" s="26"/>
      <c r="H6" s="10"/>
      <c r="I6" s="10"/>
      <c r="J6" s="10"/>
      <c r="K6" s="10"/>
      <c r="L6" s="10"/>
    </row>
    <row r="7" spans="1:12" ht="27.95" customHeight="1" x14ac:dyDescent="0.35">
      <c r="A7" s="10"/>
      <c r="B7" s="10"/>
      <c r="C7" s="42">
        <f>G12</f>
        <v>6750</v>
      </c>
      <c r="D7" s="24"/>
      <c r="E7" s="10"/>
      <c r="F7" s="25">
        <f>COUNTA(DealsMaster[Deal No.])</f>
        <v>24</v>
      </c>
      <c r="G7" s="24"/>
      <c r="H7" s="10"/>
      <c r="I7" s="10"/>
      <c r="J7" s="10"/>
      <c r="K7" s="10"/>
      <c r="L7" s="10"/>
    </row>
    <row r="8" spans="1:12" ht="12" customHeight="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ht="8.1" customHeight="1" thickBot="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ht="24" customHeight="1" x14ac:dyDescent="0.25">
      <c r="A10" s="10"/>
      <c r="B10" s="29" t="s">
        <v>21</v>
      </c>
      <c r="C10" s="30" t="s">
        <v>1</v>
      </c>
      <c r="D10" s="30" t="s">
        <v>22</v>
      </c>
      <c r="E10" s="30" t="s">
        <v>35</v>
      </c>
      <c r="F10" s="30" t="s">
        <v>50</v>
      </c>
      <c r="G10" s="30" t="s">
        <v>36</v>
      </c>
      <c r="H10" s="31" t="s">
        <v>51</v>
      </c>
      <c r="I10" s="10"/>
      <c r="J10" s="10"/>
      <c r="K10" s="10"/>
      <c r="L10" s="10"/>
    </row>
    <row r="11" spans="1:12" ht="21.95" customHeight="1" x14ac:dyDescent="0.25">
      <c r="A11" s="10"/>
      <c r="B11" s="27">
        <v>184119</v>
      </c>
      <c r="C11" s="17" t="str">
        <f>IFERROR(_xlfn.XLOOKUP(B11,DealsMaster[Deal No.],DealsMaster[Consignee]),"")</f>
        <v>Rubis Energy Zambia</v>
      </c>
      <c r="D11" s="18" t="str">
        <f>IFERROR(_xlfn.XLOOKUP(B11,DealsMaster[Deal No.],DealsMaster[Route]),"")</f>
        <v>Beira → Lusaka</v>
      </c>
      <c r="E11" s="28">
        <f>COUNTA('184119 - RUBIS - BEIRA-LSK'!A10:A32)-COUNTBLANK('184119 - RUBIS - BEIRA-LSK'!A10:A32)</f>
        <v>23</v>
      </c>
      <c r="F11" s="28">
        <f>COUNTIF('184119 - RUBIS - BEIRA-LSK'!O10:O32,"DEMURRAGE")</f>
        <v>13</v>
      </c>
      <c r="G11" s="43">
        <f>'184119 - RUBIS - BEIRA-LSK'!C5</f>
        <v>6750</v>
      </c>
      <c r="H11" s="44">
        <f>IF(E11&gt;0,G11/E11,0)</f>
        <v>293.47826086956519</v>
      </c>
      <c r="I11" s="10"/>
      <c r="J11" s="10"/>
      <c r="K11" s="10"/>
      <c r="L11" s="10"/>
    </row>
    <row r="12" spans="1:12" ht="21.95" customHeight="1" thickBot="1" x14ac:dyDescent="0.3">
      <c r="A12" s="10"/>
      <c r="B12" s="32"/>
      <c r="C12" s="33"/>
      <c r="D12" s="34" t="s">
        <v>14</v>
      </c>
      <c r="E12" s="35">
        <f>SUM(E11:E11)</f>
        <v>23</v>
      </c>
      <c r="F12" s="35">
        <f>SUM(F11:F11)</f>
        <v>13</v>
      </c>
      <c r="G12" s="45">
        <f>SUM(G11:G11)</f>
        <v>6750</v>
      </c>
      <c r="H12" s="46">
        <f>IF(E12&gt;0,G12/E12,0)</f>
        <v>293.47826086956519</v>
      </c>
      <c r="I12" s="10"/>
      <c r="J12" s="10"/>
      <c r="K12" s="10"/>
      <c r="L12" s="10"/>
    </row>
    <row r="13" spans="1:12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20" t="s">
        <v>52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0CCAA-E3D1-4CCC-AD45-E3A65D326F73}">
  <sheetPr>
    <tabColor rgb="FF1F2A6E"/>
  </sheetPr>
  <dimension ref="A1:P56"/>
  <sheetViews>
    <sheetView showGridLines="0" topLeftCell="D1" zoomScaleNormal="100" workbookViewId="0">
      <pane ySplit="9" topLeftCell="A28" activePane="bottomLeft" state="frozen"/>
      <selection activeCell="M1" sqref="M1"/>
      <selection pane="bottomLeft" activeCell="N40" sqref="N40"/>
    </sheetView>
  </sheetViews>
  <sheetFormatPr defaultRowHeight="15" outlineLevelCol="1" x14ac:dyDescent="0.25"/>
  <cols>
    <col min="1" max="1" width="21" customWidth="1"/>
    <col min="2" max="2" width="31.42578125" customWidth="1"/>
    <col min="3" max="3" width="19" customWidth="1"/>
    <col min="4" max="4" width="24.7109375" customWidth="1"/>
    <col min="5" max="5" width="18.140625" customWidth="1"/>
    <col min="6" max="6" width="19" customWidth="1"/>
    <col min="7" max="8" width="26.7109375" customWidth="1"/>
    <col min="9" max="9" width="21.85546875" customWidth="1"/>
    <col min="10" max="10" width="15.28515625" customWidth="1"/>
    <col min="11" max="12" width="21.85546875" customWidth="1"/>
    <col min="13" max="13" width="17.140625" customWidth="1"/>
    <col min="14" max="14" width="18.140625" customWidth="1"/>
    <col min="15" max="15" width="21.85546875" customWidth="1" outlineLevel="1"/>
    <col min="16" max="16" width="27.5703125" customWidth="1"/>
  </cols>
  <sheetData>
    <row r="1" spans="1:16" ht="60" customHeight="1" x14ac:dyDescent="0.25">
      <c r="A1" s="88" t="e" vm="1">
        <v>#VALUE!</v>
      </c>
      <c r="B1" s="89"/>
      <c r="C1" s="90" t="str">
        <f>IF(O5=0,"DEMURRAGE CALCULATION  —  [ENTER DEAL NO. ABOVE]","DEMURRAGE CALCULATION  —  "&amp;TEXT(O5,"0")&amp;" - "&amp;UPPER(IFERROR(_xlfn.XLOOKUP(O5,DealsMaster[Deal No.],DealsMaster[Consignee]),""))&amp;" - "&amp;UPPER(IFERROR(_xlfn.XLOOKUP(O5,DealsMaster[Deal No.],DealsMaster[Route]),"")))</f>
        <v>DEMURRAGE CALCULATION  —  184119 - RUBIS ENERGY ZAMBIA - BEIRA → LUSAKA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</row>
    <row r="2" spans="1:16" ht="6" customHeight="1" x14ac:dyDescent="0.25">
      <c r="A2" s="91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</row>
    <row r="3" spans="1:16" ht="20.100000000000001" customHeight="1" x14ac:dyDescent="0.25">
      <c r="C3" s="92" t="s">
        <v>27</v>
      </c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</row>
    <row r="4" spans="1:16" ht="20.100000000000001" customHeight="1" x14ac:dyDescent="0.25">
      <c r="C4" s="93" t="s">
        <v>28</v>
      </c>
      <c r="D4" s="94"/>
      <c r="E4" s="94"/>
      <c r="F4" s="95" t="s">
        <v>29</v>
      </c>
      <c r="G4" s="94"/>
      <c r="H4" s="94"/>
      <c r="I4" s="49"/>
      <c r="J4" s="49"/>
      <c r="K4" s="49"/>
      <c r="L4" s="49"/>
      <c r="M4" s="49"/>
      <c r="N4" s="93" t="s">
        <v>30</v>
      </c>
      <c r="O4" s="94"/>
    </row>
    <row r="5" spans="1:16" ht="18" customHeight="1" x14ac:dyDescent="0.25">
      <c r="C5" s="78">
        <f>SUM('184119 - RUBIS - BEIRA-LSK'!$P$10:$P$32)</f>
        <v>6750</v>
      </c>
      <c r="D5" s="96"/>
      <c r="E5" s="96"/>
      <c r="F5" s="83" t="str">
        <f>COUNTIF('184119 - RUBIS - BEIRA-LSK'!$O$10:$O$32,"DEMURRAGE")&amp;" / "&amp;COUNTA('184119 - RUBIS - BEIRA-LSK'!$A$10:$A$32)</f>
        <v>13 / 23</v>
      </c>
      <c r="G5" s="84"/>
      <c r="H5" s="84"/>
      <c r="I5" s="49"/>
      <c r="J5" s="49"/>
      <c r="K5" s="49"/>
      <c r="L5" s="49"/>
      <c r="M5" s="49"/>
      <c r="N5" s="5" t="s">
        <v>21</v>
      </c>
      <c r="O5" s="38">
        <v>184119</v>
      </c>
    </row>
    <row r="6" spans="1:16" ht="18" customHeight="1" x14ac:dyDescent="0.25">
      <c r="C6" s="97"/>
      <c r="D6" s="96"/>
      <c r="E6" s="96"/>
      <c r="F6" s="85"/>
      <c r="G6" s="84"/>
      <c r="H6" s="84"/>
      <c r="I6" s="49"/>
      <c r="J6" s="49"/>
      <c r="K6" s="49"/>
      <c r="L6" s="49"/>
      <c r="M6" s="49"/>
      <c r="N6" s="5" t="s">
        <v>31</v>
      </c>
      <c r="O6" s="39">
        <f>IFERROR(_xlfn.XLOOKUP($O$5,DealsMaster[Deal No.],DealsMaster[Laytime Allowance (days)]),0)</f>
        <v>2</v>
      </c>
    </row>
    <row r="7" spans="1:16" ht="18" customHeight="1" x14ac:dyDescent="0.25">
      <c r="C7" s="98"/>
      <c r="D7" s="99"/>
      <c r="E7" s="99"/>
      <c r="F7" s="86"/>
      <c r="G7" s="87"/>
      <c r="H7" s="87"/>
      <c r="I7" s="49"/>
      <c r="J7" s="49"/>
      <c r="K7" s="49"/>
      <c r="L7" s="49"/>
      <c r="M7" s="49"/>
      <c r="N7" s="6" t="s">
        <v>32</v>
      </c>
      <c r="O7" s="40">
        <f>IFERROR(_xlfn.XLOOKUP($O$5,DealsMaster[Deal No.],DealsMaster[Demurrage Rate (USD/day)]),0)</f>
        <v>250</v>
      </c>
    </row>
    <row r="8" spans="1:16" ht="15.75" thickBot="1" x14ac:dyDescent="0.3"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6" x14ac:dyDescent="0.25">
      <c r="A9" s="50" t="s">
        <v>0</v>
      </c>
      <c r="B9" s="51" t="s">
        <v>1</v>
      </c>
      <c r="C9" s="51" t="s">
        <v>2</v>
      </c>
      <c r="D9" s="51" t="s">
        <v>19</v>
      </c>
      <c r="E9" s="51" t="s">
        <v>3</v>
      </c>
      <c r="F9" s="51" t="s">
        <v>4</v>
      </c>
      <c r="G9" s="51" t="s">
        <v>5</v>
      </c>
      <c r="H9" s="51" t="s">
        <v>6</v>
      </c>
      <c r="I9" s="51" t="s">
        <v>7</v>
      </c>
      <c r="J9" s="51" t="s">
        <v>8</v>
      </c>
      <c r="K9" s="51" t="s">
        <v>9</v>
      </c>
      <c r="L9" s="51" t="s">
        <v>10</v>
      </c>
      <c r="M9" s="51" t="s">
        <v>11</v>
      </c>
      <c r="N9" s="52" t="s">
        <v>25</v>
      </c>
      <c r="O9" s="52" t="s">
        <v>26</v>
      </c>
      <c r="P9" s="53" t="s">
        <v>13</v>
      </c>
    </row>
    <row r="10" spans="1:16" ht="21.95" customHeight="1" x14ac:dyDescent="0.25">
      <c r="A10" s="54">
        <f>$O$5</f>
        <v>184119</v>
      </c>
      <c r="B10" s="55" t="str">
        <f>IFERROR(_xlfn.XLOOKUP($O$5,DealsMaster[Deal No.],DealsMaster[Consignee]),"")</f>
        <v>Rubis Energy Zambia</v>
      </c>
      <c r="C10" s="7"/>
      <c r="D10" s="72" t="str">
        <f>IFERROR(_xlfn.XLOOKUP($O$5,DealsMaster[Deal No.],DealsMaster[Loading Port]),"")</f>
        <v>Beira</v>
      </c>
      <c r="E10" s="8" t="s">
        <v>45</v>
      </c>
      <c r="F10" s="8" t="s">
        <v>46</v>
      </c>
      <c r="G10" s="9" t="s">
        <v>16</v>
      </c>
      <c r="H10" s="9" t="s">
        <v>47</v>
      </c>
      <c r="I10" s="73" t="str">
        <f>IFERROR(_xlfn.XLOOKUP($O$5,DealsMaster[Deal No.],DealsMaster[Destination]),"")</f>
        <v>Lusaka</v>
      </c>
      <c r="J10" s="73" t="str">
        <f>IFERROR(_xlfn.XLOOKUP($O$5,DealsMaster[Deal No.],DealsMaster[Product]),"")</f>
        <v>PMS</v>
      </c>
      <c r="K10" s="7">
        <v>46003</v>
      </c>
      <c r="L10" s="7">
        <v>46004</v>
      </c>
      <c r="M10" s="56">
        <f>IF(OR(K10="",L10=""),"",L10-K10)</f>
        <v>1</v>
      </c>
      <c r="N10" s="57">
        <f>$O$6</f>
        <v>2</v>
      </c>
      <c r="O10" s="58" t="str">
        <f>IF(AND(C10&lt;&gt;"",K10&lt;&gt;"",K10&lt;C10),"⚠ Arrival &lt; Loaded",IF(AND(K10&lt;&gt;"",L10&lt;&gt;"",L10&lt;K10),"⚠ Offloaded &lt; Arrival",IF(M10="","",IF(M10&gt;N10,"DEMURRAGE","OK"))))</f>
        <v>OK</v>
      </c>
      <c r="P10" s="59">
        <f>IF(M10="","",MAX(0,M10-N10)*$O$7)</f>
        <v>0</v>
      </c>
    </row>
    <row r="11" spans="1:16" ht="21.95" customHeight="1" x14ac:dyDescent="0.25">
      <c r="A11" s="54">
        <f t="shared" ref="A11:A32" si="0">$O$5</f>
        <v>184119</v>
      </c>
      <c r="B11" s="55" t="str">
        <f>IFERROR(_xlfn.XLOOKUP($O$5,DealsMaster[Deal No.],DealsMaster[Consignee]),"")</f>
        <v>Rubis Energy Zambia</v>
      </c>
      <c r="C11" s="7"/>
      <c r="D11" s="72" t="str">
        <f>IFERROR(_xlfn.XLOOKUP($O$5,DealsMaster[Deal No.],DealsMaster[Loading Port]),"")</f>
        <v>Beira</v>
      </c>
      <c r="E11" s="8" t="s">
        <v>45</v>
      </c>
      <c r="F11" s="8" t="s">
        <v>46</v>
      </c>
      <c r="G11" s="9" t="s">
        <v>16</v>
      </c>
      <c r="H11" s="9" t="s">
        <v>47</v>
      </c>
      <c r="I11" s="73" t="str">
        <f>IFERROR(_xlfn.XLOOKUP($O$5,DealsMaster[Deal No.],DealsMaster[Destination]),"")</f>
        <v>Lusaka</v>
      </c>
      <c r="J11" s="73" t="str">
        <f>IFERROR(_xlfn.XLOOKUP($O$5,DealsMaster[Deal No.],DealsMaster[Product]),"")</f>
        <v>PMS</v>
      </c>
      <c r="K11" s="7">
        <v>46002</v>
      </c>
      <c r="L11" s="7">
        <v>46007</v>
      </c>
      <c r="M11" s="56">
        <f t="shared" ref="M11:M30" si="1">IF(OR(K11="",L11=""),"",L11-K11)</f>
        <v>5</v>
      </c>
      <c r="N11" s="57">
        <f t="shared" ref="N11:N32" si="2">$O$6</f>
        <v>2</v>
      </c>
      <c r="O11" s="58" t="str">
        <f t="shared" ref="O11:O30" si="3">IF(AND(C11&lt;&gt;"",K11&lt;&gt;"",K11&lt;C11),"⚠ Arrival &lt; Loaded",IF(AND(K11&lt;&gt;"",L11&lt;&gt;"",L11&lt;K11),"⚠ Offloaded &lt; Arrival",IF(M11="","",IF(M11&gt;N11,"DEMURRAGE","OK"))))</f>
        <v>DEMURRAGE</v>
      </c>
      <c r="P11" s="59">
        <f t="shared" ref="P11:P31" si="4">IF(M11="","",MAX(0,M11-N11)*$O$7)</f>
        <v>750</v>
      </c>
    </row>
    <row r="12" spans="1:16" ht="21.95" customHeight="1" x14ac:dyDescent="0.25">
      <c r="A12" s="54">
        <f t="shared" si="0"/>
        <v>184119</v>
      </c>
      <c r="B12" s="55" t="str">
        <f>IFERROR(_xlfn.XLOOKUP($O$5,DealsMaster[Deal No.],DealsMaster[Consignee]),"")</f>
        <v>Rubis Energy Zambia</v>
      </c>
      <c r="C12" s="7"/>
      <c r="D12" s="72" t="str">
        <f>IFERROR(_xlfn.XLOOKUP($O$5,DealsMaster[Deal No.],DealsMaster[Loading Port]),"")</f>
        <v>Beira</v>
      </c>
      <c r="E12" s="8" t="s">
        <v>45</v>
      </c>
      <c r="F12" s="8" t="s">
        <v>46</v>
      </c>
      <c r="G12" s="9" t="s">
        <v>16</v>
      </c>
      <c r="H12" s="9" t="s">
        <v>47</v>
      </c>
      <c r="I12" s="73" t="str">
        <f>IFERROR(_xlfn.XLOOKUP($O$5,DealsMaster[Deal No.],DealsMaster[Destination]),"")</f>
        <v>Lusaka</v>
      </c>
      <c r="J12" s="73" t="str">
        <f>IFERROR(_xlfn.XLOOKUP($O$5,DealsMaster[Deal No.],DealsMaster[Product]),"")</f>
        <v>PMS</v>
      </c>
      <c r="K12" s="7">
        <v>46003</v>
      </c>
      <c r="L12" s="7">
        <v>46004</v>
      </c>
      <c r="M12" s="56">
        <f t="shared" si="1"/>
        <v>1</v>
      </c>
      <c r="N12" s="57">
        <f t="shared" si="2"/>
        <v>2</v>
      </c>
      <c r="O12" s="58" t="str">
        <f t="shared" si="3"/>
        <v>OK</v>
      </c>
      <c r="P12" s="59">
        <f t="shared" si="4"/>
        <v>0</v>
      </c>
    </row>
    <row r="13" spans="1:16" ht="21.95" customHeight="1" x14ac:dyDescent="0.25">
      <c r="A13" s="54">
        <f t="shared" si="0"/>
        <v>184119</v>
      </c>
      <c r="B13" s="55" t="str">
        <f>IFERROR(_xlfn.XLOOKUP($O$5,DealsMaster[Deal No.],DealsMaster[Consignee]),"")</f>
        <v>Rubis Energy Zambia</v>
      </c>
      <c r="C13" s="7"/>
      <c r="D13" s="72" t="str">
        <f>IFERROR(_xlfn.XLOOKUP($O$5,DealsMaster[Deal No.],DealsMaster[Loading Port]),"")</f>
        <v>Beira</v>
      </c>
      <c r="E13" s="8" t="s">
        <v>45</v>
      </c>
      <c r="F13" s="8" t="s">
        <v>46</v>
      </c>
      <c r="G13" s="9" t="s">
        <v>16</v>
      </c>
      <c r="H13" s="9" t="s">
        <v>47</v>
      </c>
      <c r="I13" s="73" t="str">
        <f>IFERROR(_xlfn.XLOOKUP($O$5,DealsMaster[Deal No.],DealsMaster[Destination]),"")</f>
        <v>Lusaka</v>
      </c>
      <c r="J13" s="73" t="str">
        <f>IFERROR(_xlfn.XLOOKUP($O$5,DealsMaster[Deal No.],DealsMaster[Product]),"")</f>
        <v>PMS</v>
      </c>
      <c r="K13" s="7">
        <v>46011</v>
      </c>
      <c r="L13" s="7">
        <v>46015</v>
      </c>
      <c r="M13" s="56">
        <f t="shared" si="1"/>
        <v>4</v>
      </c>
      <c r="N13" s="57">
        <f t="shared" si="2"/>
        <v>2</v>
      </c>
      <c r="O13" s="58" t="str">
        <f t="shared" si="3"/>
        <v>DEMURRAGE</v>
      </c>
      <c r="P13" s="59">
        <f t="shared" si="4"/>
        <v>500</v>
      </c>
    </row>
    <row r="14" spans="1:16" ht="21.95" customHeight="1" x14ac:dyDescent="0.25">
      <c r="A14" s="54">
        <f t="shared" si="0"/>
        <v>184119</v>
      </c>
      <c r="B14" s="55" t="str">
        <f>IFERROR(_xlfn.XLOOKUP($O$5,DealsMaster[Deal No.],DealsMaster[Consignee]),"")</f>
        <v>Rubis Energy Zambia</v>
      </c>
      <c r="C14" s="7"/>
      <c r="D14" s="72" t="str">
        <f>IFERROR(_xlfn.XLOOKUP($O$5,DealsMaster[Deal No.],DealsMaster[Loading Port]),"")</f>
        <v>Beira</v>
      </c>
      <c r="E14" s="8" t="s">
        <v>45</v>
      </c>
      <c r="F14" s="8" t="s">
        <v>46</v>
      </c>
      <c r="G14" s="9" t="s">
        <v>16</v>
      </c>
      <c r="H14" s="9" t="s">
        <v>47</v>
      </c>
      <c r="I14" s="73" t="str">
        <f>IFERROR(_xlfn.XLOOKUP($O$5,DealsMaster[Deal No.],DealsMaster[Destination]),"")</f>
        <v>Lusaka</v>
      </c>
      <c r="J14" s="73" t="str">
        <f>IFERROR(_xlfn.XLOOKUP($O$5,DealsMaster[Deal No.],DealsMaster[Product]),"")</f>
        <v>PMS</v>
      </c>
      <c r="K14" s="7">
        <v>46010</v>
      </c>
      <c r="L14" s="7">
        <v>46011</v>
      </c>
      <c r="M14" s="56">
        <f t="shared" si="1"/>
        <v>1</v>
      </c>
      <c r="N14" s="57">
        <f t="shared" si="2"/>
        <v>2</v>
      </c>
      <c r="O14" s="58" t="str">
        <f t="shared" si="3"/>
        <v>OK</v>
      </c>
      <c r="P14" s="59">
        <f t="shared" si="4"/>
        <v>0</v>
      </c>
    </row>
    <row r="15" spans="1:16" ht="21.95" customHeight="1" x14ac:dyDescent="0.25">
      <c r="A15" s="54">
        <f t="shared" si="0"/>
        <v>184119</v>
      </c>
      <c r="B15" s="55" t="str">
        <f>IFERROR(_xlfn.XLOOKUP($O$5,DealsMaster[Deal No.],DealsMaster[Consignee]),"")</f>
        <v>Rubis Energy Zambia</v>
      </c>
      <c r="C15" s="7"/>
      <c r="D15" s="72" t="str">
        <f>IFERROR(_xlfn.XLOOKUP($O$5,DealsMaster[Deal No.],DealsMaster[Loading Port]),"")</f>
        <v>Beira</v>
      </c>
      <c r="E15" s="8" t="s">
        <v>45</v>
      </c>
      <c r="F15" s="8" t="s">
        <v>46</v>
      </c>
      <c r="G15" s="9" t="s">
        <v>16</v>
      </c>
      <c r="H15" s="9" t="s">
        <v>47</v>
      </c>
      <c r="I15" s="73" t="str">
        <f>IFERROR(_xlfn.XLOOKUP($O$5,DealsMaster[Deal No.],DealsMaster[Destination]),"")</f>
        <v>Lusaka</v>
      </c>
      <c r="J15" s="73" t="str">
        <f>IFERROR(_xlfn.XLOOKUP($O$5,DealsMaster[Deal No.],DealsMaster[Product]),"")</f>
        <v>PMS</v>
      </c>
      <c r="K15" s="7">
        <v>46002</v>
      </c>
      <c r="L15" s="7">
        <v>46007</v>
      </c>
      <c r="M15" s="56">
        <f t="shared" si="1"/>
        <v>5</v>
      </c>
      <c r="N15" s="57">
        <f t="shared" si="2"/>
        <v>2</v>
      </c>
      <c r="O15" s="58" t="str">
        <f t="shared" si="3"/>
        <v>DEMURRAGE</v>
      </c>
      <c r="P15" s="59">
        <f t="shared" si="4"/>
        <v>750</v>
      </c>
    </row>
    <row r="16" spans="1:16" ht="21.95" customHeight="1" x14ac:dyDescent="0.25">
      <c r="A16" s="54">
        <f t="shared" si="0"/>
        <v>184119</v>
      </c>
      <c r="B16" s="55" t="str">
        <f>IFERROR(_xlfn.XLOOKUP($O$5,DealsMaster[Deal No.],DealsMaster[Consignee]),"")</f>
        <v>Rubis Energy Zambia</v>
      </c>
      <c r="C16" s="7"/>
      <c r="D16" s="72" t="str">
        <f>IFERROR(_xlfn.XLOOKUP($O$5,DealsMaster[Deal No.],DealsMaster[Loading Port]),"")</f>
        <v>Beira</v>
      </c>
      <c r="E16" s="8" t="s">
        <v>45</v>
      </c>
      <c r="F16" s="8" t="s">
        <v>46</v>
      </c>
      <c r="G16" s="9" t="s">
        <v>16</v>
      </c>
      <c r="H16" s="9" t="s">
        <v>47</v>
      </c>
      <c r="I16" s="73" t="str">
        <f>IFERROR(_xlfn.XLOOKUP($O$5,DealsMaster[Deal No.],DealsMaster[Destination]),"")</f>
        <v>Lusaka</v>
      </c>
      <c r="J16" s="73" t="str">
        <f>IFERROR(_xlfn.XLOOKUP($O$5,DealsMaster[Deal No.],DealsMaster[Product]),"")</f>
        <v>PMS</v>
      </c>
      <c r="K16" s="7">
        <v>46010</v>
      </c>
      <c r="L16" s="7">
        <v>46011</v>
      </c>
      <c r="M16" s="56">
        <f t="shared" si="1"/>
        <v>1</v>
      </c>
      <c r="N16" s="57">
        <f t="shared" si="2"/>
        <v>2</v>
      </c>
      <c r="O16" s="58" t="str">
        <f t="shared" si="3"/>
        <v>OK</v>
      </c>
      <c r="P16" s="59">
        <f t="shared" si="4"/>
        <v>0</v>
      </c>
    </row>
    <row r="17" spans="1:16" ht="21.95" customHeight="1" x14ac:dyDescent="0.25">
      <c r="A17" s="54">
        <f t="shared" si="0"/>
        <v>184119</v>
      </c>
      <c r="B17" s="55" t="str">
        <f>IFERROR(_xlfn.XLOOKUP($O$5,DealsMaster[Deal No.],DealsMaster[Consignee]),"")</f>
        <v>Rubis Energy Zambia</v>
      </c>
      <c r="C17" s="7"/>
      <c r="D17" s="72" t="str">
        <f>IFERROR(_xlfn.XLOOKUP($O$5,DealsMaster[Deal No.],DealsMaster[Loading Port]),"")</f>
        <v>Beira</v>
      </c>
      <c r="E17" s="8" t="s">
        <v>45</v>
      </c>
      <c r="F17" s="8" t="s">
        <v>46</v>
      </c>
      <c r="G17" s="9" t="s">
        <v>16</v>
      </c>
      <c r="H17" s="9" t="s">
        <v>47</v>
      </c>
      <c r="I17" s="73" t="str">
        <f>IFERROR(_xlfn.XLOOKUP($O$5,DealsMaster[Deal No.],DealsMaster[Destination]),"")</f>
        <v>Lusaka</v>
      </c>
      <c r="J17" s="73" t="str">
        <f>IFERROR(_xlfn.XLOOKUP($O$5,DealsMaster[Deal No.],DealsMaster[Product]),"")</f>
        <v>PMS</v>
      </c>
      <c r="K17" s="7">
        <v>46008</v>
      </c>
      <c r="L17" s="7">
        <v>46009</v>
      </c>
      <c r="M17" s="56">
        <f t="shared" si="1"/>
        <v>1</v>
      </c>
      <c r="N17" s="57">
        <f t="shared" si="2"/>
        <v>2</v>
      </c>
      <c r="O17" s="58" t="str">
        <f t="shared" si="3"/>
        <v>OK</v>
      </c>
      <c r="P17" s="59">
        <f t="shared" si="4"/>
        <v>0</v>
      </c>
    </row>
    <row r="18" spans="1:16" ht="21.95" customHeight="1" x14ac:dyDescent="0.25">
      <c r="A18" s="54">
        <f t="shared" si="0"/>
        <v>184119</v>
      </c>
      <c r="B18" s="55" t="str">
        <f>IFERROR(_xlfn.XLOOKUP($O$5,DealsMaster[Deal No.],DealsMaster[Consignee]),"")</f>
        <v>Rubis Energy Zambia</v>
      </c>
      <c r="C18" s="7"/>
      <c r="D18" s="72" t="str">
        <f>IFERROR(_xlfn.XLOOKUP($O$5,DealsMaster[Deal No.],DealsMaster[Loading Port]),"")</f>
        <v>Beira</v>
      </c>
      <c r="E18" s="8" t="s">
        <v>45</v>
      </c>
      <c r="F18" s="8" t="s">
        <v>46</v>
      </c>
      <c r="G18" s="9" t="s">
        <v>16</v>
      </c>
      <c r="H18" s="9" t="s">
        <v>47</v>
      </c>
      <c r="I18" s="73" t="str">
        <f>IFERROR(_xlfn.XLOOKUP($O$5,DealsMaster[Deal No.],DealsMaster[Destination]),"")</f>
        <v>Lusaka</v>
      </c>
      <c r="J18" s="73" t="str">
        <f>IFERROR(_xlfn.XLOOKUP($O$5,DealsMaster[Deal No.],DealsMaster[Product]),"")</f>
        <v>PMS</v>
      </c>
      <c r="K18" s="7">
        <v>46002</v>
      </c>
      <c r="L18" s="7">
        <v>46007</v>
      </c>
      <c r="M18" s="56">
        <f t="shared" si="1"/>
        <v>5</v>
      </c>
      <c r="N18" s="57">
        <f t="shared" si="2"/>
        <v>2</v>
      </c>
      <c r="O18" s="58" t="str">
        <f t="shared" si="3"/>
        <v>DEMURRAGE</v>
      </c>
      <c r="P18" s="59">
        <f t="shared" si="4"/>
        <v>750</v>
      </c>
    </row>
    <row r="19" spans="1:16" ht="21.95" customHeight="1" x14ac:dyDescent="0.25">
      <c r="A19" s="54">
        <f t="shared" si="0"/>
        <v>184119</v>
      </c>
      <c r="B19" s="55" t="str">
        <f>IFERROR(_xlfn.XLOOKUP($O$5,DealsMaster[Deal No.],DealsMaster[Consignee]),"")</f>
        <v>Rubis Energy Zambia</v>
      </c>
      <c r="C19" s="7"/>
      <c r="D19" s="72" t="str">
        <f>IFERROR(_xlfn.XLOOKUP($O$5,DealsMaster[Deal No.],DealsMaster[Loading Port]),"")</f>
        <v>Beira</v>
      </c>
      <c r="E19" s="8" t="s">
        <v>45</v>
      </c>
      <c r="F19" s="8" t="s">
        <v>46</v>
      </c>
      <c r="G19" s="9" t="s">
        <v>16</v>
      </c>
      <c r="H19" s="9" t="s">
        <v>47</v>
      </c>
      <c r="I19" s="73" t="str">
        <f>IFERROR(_xlfn.XLOOKUP($O$5,DealsMaster[Deal No.],DealsMaster[Destination]),"")</f>
        <v>Lusaka</v>
      </c>
      <c r="J19" s="73" t="str">
        <f>IFERROR(_xlfn.XLOOKUP($O$5,DealsMaster[Deal No.],DealsMaster[Product]),"")</f>
        <v>PMS</v>
      </c>
      <c r="K19" s="7">
        <v>46003</v>
      </c>
      <c r="L19" s="7">
        <v>46004</v>
      </c>
      <c r="M19" s="56">
        <f t="shared" si="1"/>
        <v>1</v>
      </c>
      <c r="N19" s="57">
        <f t="shared" si="2"/>
        <v>2</v>
      </c>
      <c r="O19" s="58" t="str">
        <f t="shared" si="3"/>
        <v>OK</v>
      </c>
      <c r="P19" s="59">
        <f t="shared" si="4"/>
        <v>0</v>
      </c>
    </row>
    <row r="20" spans="1:16" ht="21.95" customHeight="1" x14ac:dyDescent="0.25">
      <c r="A20" s="54">
        <f t="shared" si="0"/>
        <v>184119</v>
      </c>
      <c r="B20" s="55" t="str">
        <f>IFERROR(_xlfn.XLOOKUP($O$5,DealsMaster[Deal No.],DealsMaster[Consignee]),"")</f>
        <v>Rubis Energy Zambia</v>
      </c>
      <c r="C20" s="7"/>
      <c r="D20" s="72" t="str">
        <f>IFERROR(_xlfn.XLOOKUP($O$5,DealsMaster[Deal No.],DealsMaster[Loading Port]),"")</f>
        <v>Beira</v>
      </c>
      <c r="E20" s="8" t="s">
        <v>45</v>
      </c>
      <c r="F20" s="8" t="s">
        <v>46</v>
      </c>
      <c r="G20" s="9" t="s">
        <v>16</v>
      </c>
      <c r="H20" s="9" t="s">
        <v>47</v>
      </c>
      <c r="I20" s="73" t="str">
        <f>IFERROR(_xlfn.XLOOKUP($O$5,DealsMaster[Deal No.],DealsMaster[Destination]),"")</f>
        <v>Lusaka</v>
      </c>
      <c r="J20" s="73" t="str">
        <f>IFERROR(_xlfn.XLOOKUP($O$5,DealsMaster[Deal No.],DealsMaster[Product]),"")</f>
        <v>PMS</v>
      </c>
      <c r="K20" s="7">
        <v>46002</v>
      </c>
      <c r="L20" s="7">
        <v>46007</v>
      </c>
      <c r="M20" s="56">
        <f t="shared" si="1"/>
        <v>5</v>
      </c>
      <c r="N20" s="57">
        <f t="shared" si="2"/>
        <v>2</v>
      </c>
      <c r="O20" s="58" t="str">
        <f t="shared" si="3"/>
        <v>DEMURRAGE</v>
      </c>
      <c r="P20" s="59">
        <f t="shared" si="4"/>
        <v>750</v>
      </c>
    </row>
    <row r="21" spans="1:16" ht="21.95" customHeight="1" x14ac:dyDescent="0.25">
      <c r="A21" s="54">
        <f t="shared" si="0"/>
        <v>184119</v>
      </c>
      <c r="B21" s="55" t="str">
        <f>IFERROR(_xlfn.XLOOKUP($O$5,DealsMaster[Deal No.],DealsMaster[Consignee]),"")</f>
        <v>Rubis Energy Zambia</v>
      </c>
      <c r="C21" s="7"/>
      <c r="D21" s="72" t="str">
        <f>IFERROR(_xlfn.XLOOKUP($O$5,DealsMaster[Deal No.],DealsMaster[Loading Port]),"")</f>
        <v>Beira</v>
      </c>
      <c r="E21" s="8" t="s">
        <v>45</v>
      </c>
      <c r="F21" s="8" t="s">
        <v>46</v>
      </c>
      <c r="G21" s="9" t="s">
        <v>16</v>
      </c>
      <c r="H21" s="9" t="s">
        <v>47</v>
      </c>
      <c r="I21" s="73" t="str">
        <f>IFERROR(_xlfn.XLOOKUP($O$5,DealsMaster[Deal No.],DealsMaster[Destination]),"")</f>
        <v>Lusaka</v>
      </c>
      <c r="J21" s="73" t="str">
        <f>IFERROR(_xlfn.XLOOKUP($O$5,DealsMaster[Deal No.],DealsMaster[Product]),"")</f>
        <v>PMS</v>
      </c>
      <c r="K21" s="7">
        <v>46002</v>
      </c>
      <c r="L21" s="7">
        <v>46007</v>
      </c>
      <c r="M21" s="56">
        <f t="shared" si="1"/>
        <v>5</v>
      </c>
      <c r="N21" s="57">
        <f t="shared" si="2"/>
        <v>2</v>
      </c>
      <c r="O21" s="58" t="str">
        <f t="shared" si="3"/>
        <v>DEMURRAGE</v>
      </c>
      <c r="P21" s="59">
        <f t="shared" si="4"/>
        <v>750</v>
      </c>
    </row>
    <row r="22" spans="1:16" ht="21.95" customHeight="1" x14ac:dyDescent="0.25">
      <c r="A22" s="54">
        <f t="shared" si="0"/>
        <v>184119</v>
      </c>
      <c r="B22" s="55" t="str">
        <f>IFERROR(_xlfn.XLOOKUP($O$5,DealsMaster[Deal No.],DealsMaster[Consignee]),"")</f>
        <v>Rubis Energy Zambia</v>
      </c>
      <c r="C22" s="7"/>
      <c r="D22" s="72" t="str">
        <f>IFERROR(_xlfn.XLOOKUP($O$5,DealsMaster[Deal No.],DealsMaster[Loading Port]),"")</f>
        <v>Beira</v>
      </c>
      <c r="E22" s="8" t="s">
        <v>45</v>
      </c>
      <c r="F22" s="8" t="s">
        <v>46</v>
      </c>
      <c r="G22" s="9" t="s">
        <v>16</v>
      </c>
      <c r="H22" s="9" t="s">
        <v>47</v>
      </c>
      <c r="I22" s="73" t="str">
        <f>IFERROR(_xlfn.XLOOKUP($O$5,DealsMaster[Deal No.],DealsMaster[Destination]),"")</f>
        <v>Lusaka</v>
      </c>
      <c r="J22" s="73" t="str">
        <f>IFERROR(_xlfn.XLOOKUP($O$5,DealsMaster[Deal No.],DealsMaster[Product]),"")</f>
        <v>PMS</v>
      </c>
      <c r="K22" s="7">
        <v>46003</v>
      </c>
      <c r="L22" s="7">
        <v>46004</v>
      </c>
      <c r="M22" s="56">
        <f t="shared" si="1"/>
        <v>1</v>
      </c>
      <c r="N22" s="57">
        <f t="shared" si="2"/>
        <v>2</v>
      </c>
      <c r="O22" s="58" t="str">
        <f t="shared" si="3"/>
        <v>OK</v>
      </c>
      <c r="P22" s="59">
        <f t="shared" si="4"/>
        <v>0</v>
      </c>
    </row>
    <row r="23" spans="1:16" ht="21.95" customHeight="1" x14ac:dyDescent="0.25">
      <c r="A23" s="54">
        <f t="shared" si="0"/>
        <v>184119</v>
      </c>
      <c r="B23" s="55" t="str">
        <f>IFERROR(_xlfn.XLOOKUP($O$5,DealsMaster[Deal No.],DealsMaster[Consignee]),"")</f>
        <v>Rubis Energy Zambia</v>
      </c>
      <c r="C23" s="7"/>
      <c r="D23" s="72" t="str">
        <f>IFERROR(_xlfn.XLOOKUP($O$5,DealsMaster[Deal No.],DealsMaster[Loading Port]),"")</f>
        <v>Beira</v>
      </c>
      <c r="E23" s="8" t="s">
        <v>45</v>
      </c>
      <c r="F23" s="8" t="s">
        <v>46</v>
      </c>
      <c r="G23" s="9" t="s">
        <v>16</v>
      </c>
      <c r="H23" s="9" t="s">
        <v>47</v>
      </c>
      <c r="I23" s="73" t="str">
        <f>IFERROR(_xlfn.XLOOKUP($O$5,DealsMaster[Deal No.],DealsMaster[Destination]),"")</f>
        <v>Lusaka</v>
      </c>
      <c r="J23" s="73" t="str">
        <f>IFERROR(_xlfn.XLOOKUP($O$5,DealsMaster[Deal No.],DealsMaster[Product]),"")</f>
        <v>PMS</v>
      </c>
      <c r="K23" s="7">
        <v>46002</v>
      </c>
      <c r="L23" s="7">
        <v>46007</v>
      </c>
      <c r="M23" s="56">
        <f t="shared" si="1"/>
        <v>5</v>
      </c>
      <c r="N23" s="57">
        <f t="shared" si="2"/>
        <v>2</v>
      </c>
      <c r="O23" s="58" t="str">
        <f t="shared" si="3"/>
        <v>DEMURRAGE</v>
      </c>
      <c r="P23" s="59">
        <f t="shared" si="4"/>
        <v>750</v>
      </c>
    </row>
    <row r="24" spans="1:16" ht="21.95" customHeight="1" x14ac:dyDescent="0.25">
      <c r="A24" s="54">
        <f t="shared" si="0"/>
        <v>184119</v>
      </c>
      <c r="B24" s="55" t="str">
        <f>IFERROR(_xlfn.XLOOKUP($O$5,DealsMaster[Deal No.],DealsMaster[Consignee]),"")</f>
        <v>Rubis Energy Zambia</v>
      </c>
      <c r="C24" s="7"/>
      <c r="D24" s="72" t="str">
        <f>IFERROR(_xlfn.XLOOKUP($O$5,DealsMaster[Deal No.],DealsMaster[Loading Port]),"")</f>
        <v>Beira</v>
      </c>
      <c r="E24" s="8" t="s">
        <v>45</v>
      </c>
      <c r="F24" s="8" t="s">
        <v>46</v>
      </c>
      <c r="G24" s="9" t="s">
        <v>16</v>
      </c>
      <c r="H24" s="9" t="s">
        <v>47</v>
      </c>
      <c r="I24" s="73" t="str">
        <f>IFERROR(_xlfn.XLOOKUP($O$5,DealsMaster[Deal No.],DealsMaster[Destination]),"")</f>
        <v>Lusaka</v>
      </c>
      <c r="J24" s="73" t="str">
        <f>IFERROR(_xlfn.XLOOKUP($O$5,DealsMaster[Deal No.],DealsMaster[Product]),"")</f>
        <v>PMS</v>
      </c>
      <c r="K24" s="7">
        <v>46003</v>
      </c>
      <c r="L24" s="7">
        <v>46004</v>
      </c>
      <c r="M24" s="56">
        <f t="shared" si="1"/>
        <v>1</v>
      </c>
      <c r="N24" s="57">
        <f t="shared" si="2"/>
        <v>2</v>
      </c>
      <c r="O24" s="58" t="str">
        <f t="shared" si="3"/>
        <v>OK</v>
      </c>
      <c r="P24" s="59">
        <f t="shared" si="4"/>
        <v>0</v>
      </c>
    </row>
    <row r="25" spans="1:16" ht="21.95" customHeight="1" x14ac:dyDescent="0.25">
      <c r="A25" s="54">
        <f t="shared" si="0"/>
        <v>184119</v>
      </c>
      <c r="B25" s="55" t="str">
        <f>IFERROR(_xlfn.XLOOKUP($O$5,DealsMaster[Deal No.],DealsMaster[Consignee]),"")</f>
        <v>Rubis Energy Zambia</v>
      </c>
      <c r="C25" s="7"/>
      <c r="D25" s="72" t="str">
        <f>IFERROR(_xlfn.XLOOKUP($O$5,DealsMaster[Deal No.],DealsMaster[Loading Port]),"")</f>
        <v>Beira</v>
      </c>
      <c r="E25" s="8" t="s">
        <v>45</v>
      </c>
      <c r="F25" s="8" t="s">
        <v>46</v>
      </c>
      <c r="G25" s="9" t="s">
        <v>16</v>
      </c>
      <c r="H25" s="9" t="s">
        <v>47</v>
      </c>
      <c r="I25" s="73" t="str">
        <f>IFERROR(_xlfn.XLOOKUP($O$5,DealsMaster[Deal No.],DealsMaster[Destination]),"")</f>
        <v>Lusaka</v>
      </c>
      <c r="J25" s="73" t="str">
        <f>IFERROR(_xlfn.XLOOKUP($O$5,DealsMaster[Deal No.],DealsMaster[Product]),"")</f>
        <v>PMS</v>
      </c>
      <c r="K25" s="7">
        <v>46006</v>
      </c>
      <c r="L25" s="7">
        <v>46009</v>
      </c>
      <c r="M25" s="56">
        <f t="shared" si="1"/>
        <v>3</v>
      </c>
      <c r="N25" s="57">
        <f t="shared" si="2"/>
        <v>2</v>
      </c>
      <c r="O25" s="58" t="str">
        <f t="shared" si="3"/>
        <v>DEMURRAGE</v>
      </c>
      <c r="P25" s="59">
        <f t="shared" si="4"/>
        <v>250</v>
      </c>
    </row>
    <row r="26" spans="1:16" ht="21.95" customHeight="1" x14ac:dyDescent="0.25">
      <c r="A26" s="54">
        <f t="shared" si="0"/>
        <v>184119</v>
      </c>
      <c r="B26" s="55" t="str">
        <f>IFERROR(_xlfn.XLOOKUP($O$5,DealsMaster[Deal No.],DealsMaster[Consignee]),"")</f>
        <v>Rubis Energy Zambia</v>
      </c>
      <c r="C26" s="7"/>
      <c r="D26" s="72" t="str">
        <f>IFERROR(_xlfn.XLOOKUP($O$5,DealsMaster[Deal No.],DealsMaster[Loading Port]),"")</f>
        <v>Beira</v>
      </c>
      <c r="E26" s="8" t="s">
        <v>45</v>
      </c>
      <c r="F26" s="8" t="s">
        <v>46</v>
      </c>
      <c r="G26" s="9" t="s">
        <v>16</v>
      </c>
      <c r="H26" s="9" t="s">
        <v>47</v>
      </c>
      <c r="I26" s="73" t="str">
        <f>IFERROR(_xlfn.XLOOKUP($O$5,DealsMaster[Deal No.],DealsMaster[Destination]),"")</f>
        <v>Lusaka</v>
      </c>
      <c r="J26" s="73" t="str">
        <f>IFERROR(_xlfn.XLOOKUP($O$5,DealsMaster[Deal No.],DealsMaster[Product]),"")</f>
        <v>PMS</v>
      </c>
      <c r="K26" s="7">
        <v>46003</v>
      </c>
      <c r="L26" s="7">
        <v>46006</v>
      </c>
      <c r="M26" s="56">
        <f t="shared" si="1"/>
        <v>3</v>
      </c>
      <c r="N26" s="57">
        <f t="shared" si="2"/>
        <v>2</v>
      </c>
      <c r="O26" s="58" t="str">
        <f t="shared" si="3"/>
        <v>DEMURRAGE</v>
      </c>
      <c r="P26" s="59">
        <f t="shared" si="4"/>
        <v>250</v>
      </c>
    </row>
    <row r="27" spans="1:16" ht="21.95" customHeight="1" x14ac:dyDescent="0.25">
      <c r="A27" s="54">
        <f t="shared" si="0"/>
        <v>184119</v>
      </c>
      <c r="B27" s="55" t="str">
        <f>IFERROR(_xlfn.XLOOKUP($O$5,DealsMaster[Deal No.],DealsMaster[Consignee]),"")</f>
        <v>Rubis Energy Zambia</v>
      </c>
      <c r="C27" s="7"/>
      <c r="D27" s="72" t="str">
        <f>IFERROR(_xlfn.XLOOKUP($O$5,DealsMaster[Deal No.],DealsMaster[Loading Port]),"")</f>
        <v>Beira</v>
      </c>
      <c r="E27" s="8" t="s">
        <v>45</v>
      </c>
      <c r="F27" s="8" t="s">
        <v>46</v>
      </c>
      <c r="G27" s="9" t="s">
        <v>16</v>
      </c>
      <c r="H27" s="9" t="s">
        <v>47</v>
      </c>
      <c r="I27" s="73" t="str">
        <f>IFERROR(_xlfn.XLOOKUP($O$5,DealsMaster[Deal No.],DealsMaster[Destination]),"")</f>
        <v>Lusaka</v>
      </c>
      <c r="J27" s="73" t="str">
        <f>IFERROR(_xlfn.XLOOKUP($O$5,DealsMaster[Deal No.],DealsMaster[Product]),"")</f>
        <v>PMS</v>
      </c>
      <c r="K27" s="7">
        <v>46003</v>
      </c>
      <c r="L27" s="7">
        <v>46006</v>
      </c>
      <c r="M27" s="56">
        <f t="shared" si="1"/>
        <v>3</v>
      </c>
      <c r="N27" s="57">
        <f t="shared" si="2"/>
        <v>2</v>
      </c>
      <c r="O27" s="58" t="str">
        <f t="shared" si="3"/>
        <v>DEMURRAGE</v>
      </c>
      <c r="P27" s="59">
        <f t="shared" si="4"/>
        <v>250</v>
      </c>
    </row>
    <row r="28" spans="1:16" ht="21.95" customHeight="1" x14ac:dyDescent="0.25">
      <c r="A28" s="54">
        <f t="shared" si="0"/>
        <v>184119</v>
      </c>
      <c r="B28" s="55" t="str">
        <f>IFERROR(_xlfn.XLOOKUP($O$5,DealsMaster[Deal No.],DealsMaster[Consignee]),"")</f>
        <v>Rubis Energy Zambia</v>
      </c>
      <c r="C28" s="7"/>
      <c r="D28" s="72" t="str">
        <f>IFERROR(_xlfn.XLOOKUP($O$5,DealsMaster[Deal No.],DealsMaster[Loading Port]),"")</f>
        <v>Beira</v>
      </c>
      <c r="E28" s="8" t="s">
        <v>45</v>
      </c>
      <c r="F28" s="8" t="s">
        <v>46</v>
      </c>
      <c r="G28" s="9" t="s">
        <v>16</v>
      </c>
      <c r="H28" s="9" t="s">
        <v>47</v>
      </c>
      <c r="I28" s="73" t="str">
        <f>IFERROR(_xlfn.XLOOKUP($O$5,DealsMaster[Deal No.],DealsMaster[Destination]),"")</f>
        <v>Lusaka</v>
      </c>
      <c r="J28" s="73" t="str">
        <f>IFERROR(_xlfn.XLOOKUP($O$5,DealsMaster[Deal No.],DealsMaster[Product]),"")</f>
        <v>PMS</v>
      </c>
      <c r="K28" s="7">
        <v>46003</v>
      </c>
      <c r="L28" s="7">
        <v>46004</v>
      </c>
      <c r="M28" s="56">
        <f t="shared" si="1"/>
        <v>1</v>
      </c>
      <c r="N28" s="57">
        <f t="shared" si="2"/>
        <v>2</v>
      </c>
      <c r="O28" s="58" t="str">
        <f t="shared" si="3"/>
        <v>OK</v>
      </c>
      <c r="P28" s="59">
        <f t="shared" si="4"/>
        <v>0</v>
      </c>
    </row>
    <row r="29" spans="1:16" ht="21.95" customHeight="1" x14ac:dyDescent="0.25">
      <c r="A29" s="54">
        <f t="shared" si="0"/>
        <v>184119</v>
      </c>
      <c r="B29" s="55" t="str">
        <f>IFERROR(_xlfn.XLOOKUP($O$5,DealsMaster[Deal No.],DealsMaster[Consignee]),"")</f>
        <v>Rubis Energy Zambia</v>
      </c>
      <c r="C29" s="7"/>
      <c r="D29" s="72" t="str">
        <f>IFERROR(_xlfn.XLOOKUP($O$5,DealsMaster[Deal No.],DealsMaster[Loading Port]),"")</f>
        <v>Beira</v>
      </c>
      <c r="E29" s="8" t="s">
        <v>45</v>
      </c>
      <c r="F29" s="8" t="s">
        <v>46</v>
      </c>
      <c r="G29" s="9" t="s">
        <v>16</v>
      </c>
      <c r="H29" s="9" t="s">
        <v>47</v>
      </c>
      <c r="I29" s="73" t="str">
        <f>IFERROR(_xlfn.XLOOKUP($O$5,DealsMaster[Deal No.],DealsMaster[Destination]),"")</f>
        <v>Lusaka</v>
      </c>
      <c r="J29" s="73" t="str">
        <f>IFERROR(_xlfn.XLOOKUP($O$5,DealsMaster[Deal No.],DealsMaster[Product]),"")</f>
        <v>PMS</v>
      </c>
      <c r="K29" s="7">
        <v>46000</v>
      </c>
      <c r="L29" s="7">
        <v>46004</v>
      </c>
      <c r="M29" s="56">
        <f t="shared" si="1"/>
        <v>4</v>
      </c>
      <c r="N29" s="57">
        <f t="shared" si="2"/>
        <v>2</v>
      </c>
      <c r="O29" s="58" t="str">
        <f t="shared" si="3"/>
        <v>DEMURRAGE</v>
      </c>
      <c r="P29" s="59">
        <f t="shared" si="4"/>
        <v>500</v>
      </c>
    </row>
    <row r="30" spans="1:16" ht="21.95" customHeight="1" x14ac:dyDescent="0.25">
      <c r="A30" s="54">
        <f t="shared" si="0"/>
        <v>184119</v>
      </c>
      <c r="B30" s="55" t="str">
        <f>IFERROR(_xlfn.XLOOKUP($O$5,DealsMaster[Deal No.],DealsMaster[Consignee]),"")</f>
        <v>Rubis Energy Zambia</v>
      </c>
      <c r="C30" s="7"/>
      <c r="D30" s="72" t="str">
        <f>IFERROR(_xlfn.XLOOKUP($O$5,DealsMaster[Deal No.],DealsMaster[Loading Port]),"")</f>
        <v>Beira</v>
      </c>
      <c r="E30" s="8" t="s">
        <v>45</v>
      </c>
      <c r="F30" s="8" t="s">
        <v>46</v>
      </c>
      <c r="G30" s="9" t="s">
        <v>16</v>
      </c>
      <c r="H30" s="9" t="s">
        <v>47</v>
      </c>
      <c r="I30" s="73" t="str">
        <f>IFERROR(_xlfn.XLOOKUP($O$5,DealsMaster[Deal No.],DealsMaster[Destination]),"")</f>
        <v>Lusaka</v>
      </c>
      <c r="J30" s="73" t="str">
        <f>IFERROR(_xlfn.XLOOKUP($O$5,DealsMaster[Deal No.],DealsMaster[Product]),"")</f>
        <v>PMS</v>
      </c>
      <c r="K30" s="7">
        <v>46003</v>
      </c>
      <c r="L30" s="7">
        <v>46006</v>
      </c>
      <c r="M30" s="56">
        <f t="shared" si="1"/>
        <v>3</v>
      </c>
      <c r="N30" s="57">
        <f t="shared" si="2"/>
        <v>2</v>
      </c>
      <c r="O30" s="58" t="str">
        <f t="shared" si="3"/>
        <v>DEMURRAGE</v>
      </c>
      <c r="P30" s="59">
        <f t="shared" si="4"/>
        <v>250</v>
      </c>
    </row>
    <row r="31" spans="1:16" ht="21.95" customHeight="1" x14ac:dyDescent="0.25">
      <c r="A31" s="54">
        <f t="shared" si="0"/>
        <v>184119</v>
      </c>
      <c r="B31" s="55" t="str">
        <f>IFERROR(_xlfn.XLOOKUP($O$5,DealsMaster[Deal No.],DealsMaster[Consignee]),"")</f>
        <v>Rubis Energy Zambia</v>
      </c>
      <c r="C31" s="7"/>
      <c r="D31" s="72" t="str">
        <f>IFERROR(_xlfn.XLOOKUP($O$5,DealsMaster[Deal No.],DealsMaster[Loading Port]),"")</f>
        <v>Beira</v>
      </c>
      <c r="E31" s="8" t="s">
        <v>45</v>
      </c>
      <c r="F31" s="8" t="s">
        <v>46</v>
      </c>
      <c r="G31" s="9" t="s">
        <v>16</v>
      </c>
      <c r="H31" s="9" t="s">
        <v>47</v>
      </c>
      <c r="I31" s="73" t="str">
        <f>IFERROR(_xlfn.XLOOKUP($O$5,DealsMaster[Deal No.],DealsMaster[Destination]),"")</f>
        <v>Lusaka</v>
      </c>
      <c r="J31" s="73" t="str">
        <f>IFERROR(_xlfn.XLOOKUP($O$5,DealsMaster[Deal No.],DealsMaster[Product]),"")</f>
        <v>PMS</v>
      </c>
      <c r="K31" s="7">
        <v>46003</v>
      </c>
      <c r="L31" s="7">
        <v>46006</v>
      </c>
      <c r="M31" s="56">
        <f t="shared" ref="M31:M32" si="5">IF(OR(K31="",L31=""),"",L31-K31)</f>
        <v>3</v>
      </c>
      <c r="N31" s="57">
        <f t="shared" si="2"/>
        <v>2</v>
      </c>
      <c r="O31" s="58" t="str">
        <f t="shared" ref="O31:O32" si="6">IF(AND(C31&lt;&gt;"",K31&lt;&gt;"",K31&lt;C31),"⚠ Arrival &lt; Loaded",IF(AND(K31&lt;&gt;"",L31&lt;&gt;"",L31&lt;K31),"⚠ Offloaded &lt; Arrival",IF(M31="","",IF(M31&gt;N31,"DEMURRAGE","OK"))))</f>
        <v>DEMURRAGE</v>
      </c>
      <c r="P31" s="59">
        <f t="shared" si="4"/>
        <v>250</v>
      </c>
    </row>
    <row r="32" spans="1:16" ht="21.95" customHeight="1" x14ac:dyDescent="0.25">
      <c r="A32" s="54">
        <f t="shared" si="0"/>
        <v>184119</v>
      </c>
      <c r="B32" s="55" t="str">
        <f>IFERROR(_xlfn.XLOOKUP($O$5,DealsMaster[Deal No.],DealsMaster[Consignee]),"")</f>
        <v>Rubis Energy Zambia</v>
      </c>
      <c r="C32" s="7"/>
      <c r="D32" s="72" t="str">
        <f>IFERROR(_xlfn.XLOOKUP($O$5,DealsMaster[Deal No.],DealsMaster[Loading Port]),"")</f>
        <v>Beira</v>
      </c>
      <c r="E32" s="8" t="s">
        <v>45</v>
      </c>
      <c r="F32" s="8" t="s">
        <v>46</v>
      </c>
      <c r="G32" s="9" t="s">
        <v>16</v>
      </c>
      <c r="H32" s="9" t="s">
        <v>47</v>
      </c>
      <c r="I32" s="73" t="str">
        <f>IFERROR(_xlfn.XLOOKUP($O$5,DealsMaster[Deal No.],DealsMaster[Destination]),"")</f>
        <v>Lusaka</v>
      </c>
      <c r="J32" s="73" t="str">
        <f>IFERROR(_xlfn.XLOOKUP($O$5,DealsMaster[Deal No.],DealsMaster[Product]),"")</f>
        <v>PMS</v>
      </c>
      <c r="K32" s="7">
        <v>46001</v>
      </c>
      <c r="L32" s="7">
        <v>46003</v>
      </c>
      <c r="M32" s="56">
        <f t="shared" si="5"/>
        <v>2</v>
      </c>
      <c r="N32" s="57">
        <f t="shared" si="2"/>
        <v>2</v>
      </c>
      <c r="O32" s="58" t="str">
        <f t="shared" si="6"/>
        <v>OK</v>
      </c>
      <c r="P32" s="59">
        <f t="shared" ref="P32" si="7">IF(M32="","",MAX(0,M32-N32)*$O$7)</f>
        <v>0</v>
      </c>
    </row>
    <row r="33" spans="1:16" ht="15.75" thickBot="1" x14ac:dyDescent="0.3">
      <c r="A33" s="68" t="s">
        <v>14</v>
      </c>
      <c r="B33" s="62"/>
      <c r="C33" s="62"/>
      <c r="D33" s="62"/>
      <c r="E33" s="62"/>
      <c r="F33" s="62"/>
      <c r="G33" s="61"/>
      <c r="H33" s="61"/>
      <c r="I33" s="61"/>
      <c r="J33" s="61"/>
      <c r="K33" s="62"/>
      <c r="L33" s="62"/>
      <c r="M33" s="62"/>
      <c r="N33" s="62"/>
      <c r="O33" s="62"/>
      <c r="P33" s="69">
        <f>SUBTOTAL(109,P10:P32)</f>
        <v>6750</v>
      </c>
    </row>
    <row r="34" spans="1:16" x14ac:dyDescent="0.25">
      <c r="N34" s="1"/>
      <c r="P34" s="1"/>
    </row>
    <row r="35" spans="1:16" x14ac:dyDescent="0.25">
      <c r="N35" s="1"/>
      <c r="P35" s="1"/>
    </row>
    <row r="36" spans="1:16" x14ac:dyDescent="0.25">
      <c r="N36" s="1"/>
      <c r="P36" s="1"/>
    </row>
    <row r="37" spans="1:16" x14ac:dyDescent="0.25">
      <c r="N37" s="1"/>
      <c r="P37" s="1"/>
    </row>
    <row r="38" spans="1:16" x14ac:dyDescent="0.25">
      <c r="N38" s="1"/>
      <c r="P38" s="1"/>
    </row>
    <row r="39" spans="1:16" x14ac:dyDescent="0.25">
      <c r="N39" s="1"/>
    </row>
    <row r="40" spans="1:16" x14ac:dyDescent="0.25">
      <c r="N40" s="1"/>
    </row>
    <row r="41" spans="1:16" x14ac:dyDescent="0.25">
      <c r="N41" s="1"/>
    </row>
    <row r="42" spans="1:16" x14ac:dyDescent="0.25">
      <c r="N42" s="1"/>
    </row>
    <row r="43" spans="1:16" x14ac:dyDescent="0.25">
      <c r="N43" s="1"/>
    </row>
    <row r="44" spans="1:16" x14ac:dyDescent="0.25">
      <c r="N44" s="1"/>
    </row>
    <row r="45" spans="1:16" x14ac:dyDescent="0.25">
      <c r="N45" s="1"/>
    </row>
    <row r="46" spans="1:16" x14ac:dyDescent="0.25">
      <c r="N46" s="1"/>
    </row>
    <row r="47" spans="1:16" x14ac:dyDescent="0.25">
      <c r="N47" s="1"/>
    </row>
    <row r="48" spans="1:16" x14ac:dyDescent="0.25">
      <c r="N48" s="1"/>
    </row>
    <row r="49" spans="14:14" x14ac:dyDescent="0.25">
      <c r="N49" s="1"/>
    </row>
    <row r="50" spans="14:14" x14ac:dyDescent="0.25">
      <c r="N50" s="1"/>
    </row>
    <row r="51" spans="14:14" x14ac:dyDescent="0.25">
      <c r="N51" s="1"/>
    </row>
    <row r="52" spans="14:14" x14ac:dyDescent="0.25">
      <c r="N52" s="1"/>
    </row>
    <row r="53" spans="14:14" x14ac:dyDescent="0.25">
      <c r="N53" s="1"/>
    </row>
    <row r="54" spans="14:14" x14ac:dyDescent="0.25">
      <c r="N54" s="1"/>
    </row>
    <row r="55" spans="14:14" x14ac:dyDescent="0.25">
      <c r="N55" s="1"/>
    </row>
    <row r="56" spans="14:14" x14ac:dyDescent="0.25">
      <c r="N56" s="1"/>
    </row>
  </sheetData>
  <sheetProtection formatCells="0" formatColumns="0" formatRows="0" sort="0" autoFilter="0"/>
  <mergeCells count="9">
    <mergeCell ref="C5:E7"/>
    <mergeCell ref="F5:H7"/>
    <mergeCell ref="A1:B1"/>
    <mergeCell ref="C1:P1"/>
    <mergeCell ref="A2:P2"/>
    <mergeCell ref="C3:O3"/>
    <mergeCell ref="C4:E4"/>
    <mergeCell ref="F4:H4"/>
    <mergeCell ref="N4:O4"/>
  </mergeCells>
  <dataValidations count="6">
    <dataValidation type="list" allowBlank="1" showInputMessage="1" showErrorMessage="1" errorTitle="Invalid entry" error="Please pick a value from the list." sqref="D10:D32" xr:uid="{7F0F6E3B-CD6B-48FA-91FE-E6AB3213FD3E}">
      <formula1>"Dar Es Salaam,Beira"</formula1>
    </dataValidation>
    <dataValidation type="list" allowBlank="1" showInputMessage="1" showErrorMessage="1" errorTitle="Invalid entry" error="Please pick a value from the list." sqref="I10:I32" xr:uid="{5357F6EC-5730-4E5F-BF94-E863B073FA40}">
      <formula1>"Lusaka,Lubumbashi,Chipata"</formula1>
    </dataValidation>
    <dataValidation type="list" allowBlank="1" showInputMessage="1" showErrorMessage="1" errorTitle="Invalid entry" error="Please pick a value from the list." sqref="J10:J32" xr:uid="{7D0C7CAC-D724-409F-A0E5-E271B5311FE3}">
      <formula1>"PMS,AGO"</formula1>
    </dataValidation>
    <dataValidation type="date" allowBlank="1" showInputMessage="1" showErrorMessage="1" errorTitle="Invalid date" error="Please enter a valid date (e.g. 15-Jan-2025). Text entries are not allowed." promptTitle="Date Loaded" prompt="Enter a date between 2020 and 2030." sqref="C10:C32" xr:uid="{B3128032-B22C-4519-8555-E3BDC6FDAB9E}">
      <formula1>43831</formula1>
      <formula2>47848</formula2>
    </dataValidation>
    <dataValidation type="date" allowBlank="1" showInputMessage="1" showErrorMessage="1" errorTitle="Invalid date" error="Please enter a valid date (e.g. 15-Jan-2025). Text entries are not allowed." promptTitle="Arrival Date" prompt="Enter a date between 2020 and 2030." sqref="K10:K32" xr:uid="{28E41401-4F1A-48EC-B0CB-18F25188C4BF}">
      <formula1>43831</formula1>
      <formula2>47848</formula2>
    </dataValidation>
    <dataValidation type="date" allowBlank="1" showInputMessage="1" showErrorMessage="1" errorTitle="Invalid date" error="Please enter a valid date (e.g. 15-Jan-2025). Text entries are not allowed." promptTitle="Offloaded Date" prompt="Enter a date between 2020 and 2030." sqref="L10:L32" xr:uid="{E2F9E92E-61EF-4609-8374-B1816B1F6584}">
      <formula1>43831</formula1>
      <formula2>47848</formula2>
    </dataValidation>
  </dataValidations>
  <printOptions horizontalCentered="1"/>
  <pageMargins left="0.25" right="0.25" top="0.25" bottom="0.25" header="0.1111111111111111" footer="0.1111111111111111"/>
  <pageSetup scale="38" orientation="landscape" r:id="rId1"/>
  <ignoredErrors>
    <ignoredError sqref="I12:I32 D18:D32 J10:J32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9F957-1227-4937-8563-CF8641A9BC2A}">
  <sheetPr>
    <tabColor rgb="FFF2B233"/>
  </sheetPr>
  <dimension ref="A1:P55"/>
  <sheetViews>
    <sheetView showGridLines="0" zoomScaleNormal="100" workbookViewId="0">
      <pane ySplit="9" topLeftCell="A10" activePane="bottomLeft" state="frozen"/>
      <selection activeCell="M1" sqref="M1"/>
      <selection pane="bottomLeft" activeCell="D17" sqref="D17"/>
    </sheetView>
  </sheetViews>
  <sheetFormatPr defaultRowHeight="15" x14ac:dyDescent="0.25"/>
  <cols>
    <col min="1" max="1" width="21" customWidth="1"/>
    <col min="2" max="2" width="31.42578125" customWidth="1"/>
    <col min="3" max="3" width="19" customWidth="1"/>
    <col min="4" max="4" width="24.7109375" customWidth="1"/>
    <col min="5" max="5" width="18.140625" customWidth="1"/>
    <col min="6" max="6" width="19" customWidth="1"/>
    <col min="7" max="8" width="26.7109375" customWidth="1"/>
    <col min="9" max="9" width="21.85546875" customWidth="1"/>
    <col min="10" max="10" width="15.28515625" customWidth="1"/>
    <col min="11" max="12" width="21.85546875" customWidth="1"/>
    <col min="13" max="13" width="17.140625" customWidth="1"/>
    <col min="14" max="14" width="18.140625" customWidth="1"/>
    <col min="15" max="15" width="21.85546875" customWidth="1"/>
    <col min="16" max="16" width="27.5703125" customWidth="1"/>
  </cols>
  <sheetData>
    <row r="1" spans="1:16" ht="60" customHeight="1" x14ac:dyDescent="0.25">
      <c r="A1" s="88"/>
      <c r="B1" s="89"/>
      <c r="C1" s="90" t="str">
        <f>IF(O5=0,"DEMURRAGE CALCULATION  —  [ENTER DEAL NO. ABOVE]","DEMURRAGE CALCULATION  —  "&amp;TEXT(O5,"0")&amp;" - "&amp;UPPER(IFERROR(_xlfn.XLOOKUP(O5,DealsMaster[Deal No.],DealsMaster[Consignee]),""))&amp;" - "&amp;UPPER(IFERROR(_xlfn.XLOOKUP(O5,DealsMaster[Deal No.],DealsMaster[Route]),"")))</f>
        <v>DEMURRAGE CALCULATION  —  184752 - RUBIS ENERGY ZAMBIA - BEIRA → LUSAKA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</row>
    <row r="2" spans="1:16" ht="6" customHeight="1" x14ac:dyDescent="0.25">
      <c r="A2" s="91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</row>
    <row r="3" spans="1:16" ht="20.100000000000001" customHeight="1" x14ac:dyDescent="0.25">
      <c r="C3" s="92" t="s">
        <v>27</v>
      </c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</row>
    <row r="4" spans="1:16" ht="20.100000000000001" customHeight="1" x14ac:dyDescent="0.25">
      <c r="C4" s="93" t="s">
        <v>28</v>
      </c>
      <c r="D4" s="94"/>
      <c r="E4" s="94"/>
      <c r="F4" s="95" t="s">
        <v>29</v>
      </c>
      <c r="G4" s="94"/>
      <c r="H4" s="94"/>
      <c r="I4" s="49"/>
      <c r="J4" s="49"/>
      <c r="K4" s="49"/>
      <c r="L4" s="49"/>
      <c r="M4" s="49"/>
      <c r="N4" s="93" t="s">
        <v>30</v>
      </c>
      <c r="O4" s="94"/>
    </row>
    <row r="5" spans="1:16" ht="18" customHeight="1" x14ac:dyDescent="0.25">
      <c r="C5" s="78">
        <f>SUM('184752 - RUBIS - BEIRA-LSK'!$P$10:$P$31)</f>
        <v>5500</v>
      </c>
      <c r="D5" s="79"/>
      <c r="E5" s="79"/>
      <c r="F5" s="83" t="str">
        <f>COUNTIF('184752 - RUBIS - BEIRA-LSK'!$O$10:$O$31,"DEMURRAGE")&amp;" / "&amp;COUNTA('184752 - RUBIS - BEIRA-LSK'!$A$10:$A$31)</f>
        <v>10 / 22</v>
      </c>
      <c r="G5" s="84"/>
      <c r="H5" s="84"/>
      <c r="I5" s="49"/>
      <c r="J5" s="49"/>
      <c r="K5" s="49"/>
      <c r="L5" s="49"/>
      <c r="M5" s="49"/>
      <c r="N5" s="5" t="s">
        <v>21</v>
      </c>
      <c r="O5" s="67">
        <v>184752</v>
      </c>
    </row>
    <row r="6" spans="1:16" ht="18" customHeight="1" x14ac:dyDescent="0.25">
      <c r="C6" s="80"/>
      <c r="D6" s="79"/>
      <c r="E6" s="79"/>
      <c r="F6" s="85"/>
      <c r="G6" s="84"/>
      <c r="H6" s="84"/>
      <c r="I6" s="49"/>
      <c r="J6" s="49"/>
      <c r="K6" s="49"/>
      <c r="L6" s="49"/>
      <c r="M6" s="49"/>
      <c r="N6" s="5" t="s">
        <v>31</v>
      </c>
      <c r="O6" s="37">
        <f>IFERROR(_xlfn.XLOOKUP($O$5,DealsMaster[Deal No.],DealsMaster[Laytime Allowance (days)]),0)</f>
        <v>2</v>
      </c>
    </row>
    <row r="7" spans="1:16" ht="18" customHeight="1" x14ac:dyDescent="0.25">
      <c r="C7" s="81"/>
      <c r="D7" s="82"/>
      <c r="E7" s="82"/>
      <c r="F7" s="86"/>
      <c r="G7" s="87"/>
      <c r="H7" s="87"/>
      <c r="I7" s="49"/>
      <c r="J7" s="49"/>
      <c r="K7" s="49"/>
      <c r="L7" s="49"/>
      <c r="M7" s="49"/>
      <c r="N7" s="6" t="s">
        <v>32</v>
      </c>
      <c r="O7" s="41">
        <f>IFERROR(_xlfn.XLOOKUP($O$5,DealsMaster[Deal No.],DealsMaster[Demurrage Rate (USD/day)]),0)</f>
        <v>250</v>
      </c>
    </row>
    <row r="8" spans="1:16" ht="15.75" thickBot="1" x14ac:dyDescent="0.3">
      <c r="A8" s="48" t="s">
        <v>53</v>
      </c>
      <c r="B8" s="12" t="s">
        <v>54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6" ht="44.1" customHeight="1" x14ac:dyDescent="0.25">
      <c r="A9" s="50" t="s">
        <v>0</v>
      </c>
      <c r="B9" s="51" t="s">
        <v>1</v>
      </c>
      <c r="C9" s="51" t="s">
        <v>2</v>
      </c>
      <c r="D9" s="51" t="s">
        <v>19</v>
      </c>
      <c r="E9" s="51" t="s">
        <v>3</v>
      </c>
      <c r="F9" s="51" t="s">
        <v>4</v>
      </c>
      <c r="G9" s="51" t="s">
        <v>5</v>
      </c>
      <c r="H9" s="51" t="s">
        <v>6</v>
      </c>
      <c r="I9" s="51" t="s">
        <v>7</v>
      </c>
      <c r="J9" s="51" t="s">
        <v>8</v>
      </c>
      <c r="K9" s="51" t="s">
        <v>9</v>
      </c>
      <c r="L9" s="51" t="s">
        <v>10</v>
      </c>
      <c r="M9" s="51" t="s">
        <v>11</v>
      </c>
      <c r="N9" s="52" t="s">
        <v>25</v>
      </c>
      <c r="O9" s="52" t="s">
        <v>26</v>
      </c>
      <c r="P9" s="53" t="s">
        <v>13</v>
      </c>
    </row>
    <row r="10" spans="1:16" ht="21.95" customHeight="1" x14ac:dyDescent="0.25">
      <c r="A10" s="54">
        <f>$O$5</f>
        <v>184752</v>
      </c>
      <c r="B10" s="55" t="str">
        <f>IFERROR(_xlfn.XLOOKUP($O$5,DealsMaster[Deal No.],DealsMaster[Consignee]),"")</f>
        <v>Rubis Energy Zambia</v>
      </c>
      <c r="C10" s="64">
        <v>46006</v>
      </c>
      <c r="D10" s="70" t="str">
        <f>IFERROR(_xlfn.XLOOKUP($O$5,DealsMaster[Deal No.],DealsMaster[Loading Port]),"")</f>
        <v>Beira</v>
      </c>
      <c r="E10" s="65" t="s">
        <v>315</v>
      </c>
      <c r="F10" s="65" t="s">
        <v>316</v>
      </c>
      <c r="G10" s="66" t="s">
        <v>55</v>
      </c>
      <c r="H10" s="66" t="s">
        <v>323</v>
      </c>
      <c r="I10" s="71" t="str">
        <f>IFERROR(_xlfn.XLOOKUP($O$5,DealsMaster[Deal No.],DealsMaster[Destination]),"")</f>
        <v>Lusaka</v>
      </c>
      <c r="J10" s="71" t="str">
        <f>IFERROR(_xlfn.XLOOKUP($O$5,DealsMaster[Deal No.],DealsMaster[Product]),"")</f>
        <v>PMS</v>
      </c>
      <c r="K10" s="64">
        <v>46011</v>
      </c>
      <c r="L10" s="64">
        <v>46015</v>
      </c>
      <c r="M10" s="56">
        <f>IF(OR(K10="",L10=""),"",L10-K10)</f>
        <v>4</v>
      </c>
      <c r="N10" s="57">
        <f>$O$6</f>
        <v>2</v>
      </c>
      <c r="O10" s="58" t="str">
        <f>IF(AND(C10&lt;&gt;"",K10&lt;&gt;"",K10&lt;C10),"⚠ Arrival &lt; Loaded",IF(AND(K10&lt;&gt;"",L10&lt;&gt;"",L10&lt;K10),"⚠ Offloaded &lt; Arrival",IF(M10="","",IF(M10&gt;N10,"DEMURRAGE","OK"))))</f>
        <v>DEMURRAGE</v>
      </c>
      <c r="P10" s="59">
        <f>IF(M10="","",MAX(0,M10-N10)*$O$7)</f>
        <v>500</v>
      </c>
    </row>
    <row r="11" spans="1:16" ht="21.95" customHeight="1" x14ac:dyDescent="0.25">
      <c r="A11" s="54">
        <f t="shared" ref="A11:A31" si="0">$O$5</f>
        <v>184752</v>
      </c>
      <c r="B11" s="55" t="str">
        <f>IFERROR(_xlfn.XLOOKUP($O$5,DealsMaster[Deal No.],DealsMaster[Consignee]),"")</f>
        <v>Rubis Energy Zambia</v>
      </c>
      <c r="C11" s="64">
        <v>46006</v>
      </c>
      <c r="D11" s="70" t="str">
        <f>IFERROR(_xlfn.XLOOKUP($O$5,DealsMaster[Deal No.],DealsMaster[Loading Port]),"")</f>
        <v>Beira</v>
      </c>
      <c r="E11" s="65" t="s">
        <v>73</v>
      </c>
      <c r="F11" s="65" t="s">
        <v>74</v>
      </c>
      <c r="G11" s="66" t="s">
        <v>55</v>
      </c>
      <c r="H11" s="66" t="s">
        <v>80</v>
      </c>
      <c r="I11" s="71" t="str">
        <f>IFERROR(_xlfn.XLOOKUP($O$5,DealsMaster[Deal No.],DealsMaster[Destination]),"")</f>
        <v>Lusaka</v>
      </c>
      <c r="J11" s="71" t="str">
        <f>IFERROR(_xlfn.XLOOKUP($O$5,DealsMaster[Deal No.],DealsMaster[Product]),"")</f>
        <v>PMS</v>
      </c>
      <c r="K11" s="64">
        <v>46011</v>
      </c>
      <c r="L11" s="64">
        <v>46015</v>
      </c>
      <c r="M11" s="56">
        <f t="shared" ref="M11:M31" si="1">IF(OR(K11="",L11=""),"",L11-K11)</f>
        <v>4</v>
      </c>
      <c r="N11" s="57">
        <f t="shared" ref="N11:N31" si="2">$O$6</f>
        <v>2</v>
      </c>
      <c r="O11" s="58" t="str">
        <f t="shared" ref="O11:O31" si="3">IF(AND(C11&lt;&gt;"",K11&lt;&gt;"",K11&lt;C11),"⚠ Arrival &lt; Loaded",IF(AND(K11&lt;&gt;"",L11&lt;&gt;"",L11&lt;K11),"⚠ Offloaded &lt; Arrival",IF(M11="","",IF(M11&gt;N11,"DEMURRAGE","OK"))))</f>
        <v>DEMURRAGE</v>
      </c>
      <c r="P11" s="59">
        <f t="shared" ref="P11:P31" si="4">IF(M11="","",MAX(0,M11-N11)*$O$7)</f>
        <v>500</v>
      </c>
    </row>
    <row r="12" spans="1:16" ht="21.95" customHeight="1" x14ac:dyDescent="0.25">
      <c r="A12" s="54">
        <f t="shared" si="0"/>
        <v>184752</v>
      </c>
      <c r="B12" s="55" t="str">
        <f>IFERROR(_xlfn.XLOOKUP($O$5,DealsMaster[Deal No.],DealsMaster[Consignee]),"")</f>
        <v>Rubis Energy Zambia</v>
      </c>
      <c r="C12" s="64">
        <v>46006</v>
      </c>
      <c r="D12" s="70" t="str">
        <f>IFERROR(_xlfn.XLOOKUP($O$5,DealsMaster[Deal No.],DealsMaster[Loading Port]),"")</f>
        <v>Beira</v>
      </c>
      <c r="E12" s="65" t="s">
        <v>75</v>
      </c>
      <c r="F12" s="65" t="s">
        <v>76</v>
      </c>
      <c r="G12" s="66" t="s">
        <v>55</v>
      </c>
      <c r="H12" s="66" t="s">
        <v>81</v>
      </c>
      <c r="I12" s="71" t="str">
        <f>IFERROR(_xlfn.XLOOKUP($O$5,DealsMaster[Deal No.],DealsMaster[Destination]),"")</f>
        <v>Lusaka</v>
      </c>
      <c r="J12" s="71" t="str">
        <f>IFERROR(_xlfn.XLOOKUP($O$5,DealsMaster[Deal No.],DealsMaster[Product]),"")</f>
        <v>PMS</v>
      </c>
      <c r="K12" s="64">
        <v>46011</v>
      </c>
      <c r="L12" s="64">
        <v>46015</v>
      </c>
      <c r="M12" s="56">
        <f t="shared" si="1"/>
        <v>4</v>
      </c>
      <c r="N12" s="57">
        <f t="shared" si="2"/>
        <v>2</v>
      </c>
      <c r="O12" s="58" t="str">
        <f t="shared" si="3"/>
        <v>DEMURRAGE</v>
      </c>
      <c r="P12" s="59">
        <f t="shared" si="4"/>
        <v>500</v>
      </c>
    </row>
    <row r="13" spans="1:16" ht="21.95" customHeight="1" x14ac:dyDescent="0.25">
      <c r="A13" s="54">
        <f t="shared" si="0"/>
        <v>184752</v>
      </c>
      <c r="B13" s="55" t="str">
        <f>IFERROR(_xlfn.XLOOKUP($O$5,DealsMaster[Deal No.],DealsMaster[Consignee]),"")</f>
        <v>Rubis Energy Zambia</v>
      </c>
      <c r="C13" s="64">
        <v>46006</v>
      </c>
      <c r="D13" s="70" t="str">
        <f>IFERROR(_xlfn.XLOOKUP($O$5,DealsMaster[Deal No.],DealsMaster[Loading Port]),"")</f>
        <v>Beira</v>
      </c>
      <c r="E13" s="65" t="s">
        <v>69</v>
      </c>
      <c r="F13" s="65" t="s">
        <v>70</v>
      </c>
      <c r="G13" s="66" t="s">
        <v>55</v>
      </c>
      <c r="H13" s="66" t="s">
        <v>78</v>
      </c>
      <c r="I13" s="71" t="str">
        <f>IFERROR(_xlfn.XLOOKUP($O$5,DealsMaster[Deal No.],DealsMaster[Destination]),"")</f>
        <v>Lusaka</v>
      </c>
      <c r="J13" s="71" t="str">
        <f>IFERROR(_xlfn.XLOOKUP($O$5,DealsMaster[Deal No.],DealsMaster[Product]),"")</f>
        <v>PMS</v>
      </c>
      <c r="K13" s="64">
        <v>46011</v>
      </c>
      <c r="L13" s="64">
        <v>46015</v>
      </c>
      <c r="M13" s="56">
        <f t="shared" si="1"/>
        <v>4</v>
      </c>
      <c r="N13" s="57">
        <f t="shared" si="2"/>
        <v>2</v>
      </c>
      <c r="O13" s="58" t="str">
        <f t="shared" si="3"/>
        <v>DEMURRAGE</v>
      </c>
      <c r="P13" s="59">
        <f t="shared" si="4"/>
        <v>500</v>
      </c>
    </row>
    <row r="14" spans="1:16" ht="21.95" customHeight="1" x14ac:dyDescent="0.25">
      <c r="A14" s="54">
        <f t="shared" si="0"/>
        <v>184752</v>
      </c>
      <c r="B14" s="55" t="str">
        <f>IFERROR(_xlfn.XLOOKUP($O$5,DealsMaster[Deal No.],DealsMaster[Consignee]),"")</f>
        <v>Rubis Energy Zambia</v>
      </c>
      <c r="C14" s="64">
        <v>46006</v>
      </c>
      <c r="D14" s="70" t="str">
        <f>IFERROR(_xlfn.XLOOKUP($O$5,DealsMaster[Deal No.],DealsMaster[Loading Port]),"")</f>
        <v>Beira</v>
      </c>
      <c r="E14" s="65" t="s">
        <v>71</v>
      </c>
      <c r="F14" s="65" t="s">
        <v>72</v>
      </c>
      <c r="G14" s="66" t="s">
        <v>55</v>
      </c>
      <c r="H14" s="66" t="s">
        <v>79</v>
      </c>
      <c r="I14" s="71" t="str">
        <f>IFERROR(_xlfn.XLOOKUP($O$5,DealsMaster[Deal No.],DealsMaster[Destination]),"")</f>
        <v>Lusaka</v>
      </c>
      <c r="J14" s="71" t="str">
        <f>IFERROR(_xlfn.XLOOKUP($O$5,DealsMaster[Deal No.],DealsMaster[Product]),"")</f>
        <v>PMS</v>
      </c>
      <c r="K14" s="64">
        <v>46011</v>
      </c>
      <c r="L14" s="64">
        <v>46015</v>
      </c>
      <c r="M14" s="56">
        <f t="shared" si="1"/>
        <v>4</v>
      </c>
      <c r="N14" s="57">
        <f t="shared" si="2"/>
        <v>2</v>
      </c>
      <c r="O14" s="58" t="str">
        <f t="shared" si="3"/>
        <v>DEMURRAGE</v>
      </c>
      <c r="P14" s="59">
        <f t="shared" si="4"/>
        <v>500</v>
      </c>
    </row>
    <row r="15" spans="1:16" ht="21.95" customHeight="1" x14ac:dyDescent="0.25">
      <c r="A15" s="54">
        <f t="shared" si="0"/>
        <v>184752</v>
      </c>
      <c r="B15" s="55" t="str">
        <f>IFERROR(_xlfn.XLOOKUP($O$5,DealsMaster[Deal No.],DealsMaster[Consignee]),"")</f>
        <v>Rubis Energy Zambia</v>
      </c>
      <c r="C15" s="64">
        <v>46006</v>
      </c>
      <c r="D15" s="70" t="str">
        <f>IFERROR(_xlfn.XLOOKUP($O$5,DealsMaster[Deal No.],DealsMaster[Loading Port]),"")</f>
        <v>Beira</v>
      </c>
      <c r="E15" s="65" t="s">
        <v>317</v>
      </c>
      <c r="F15" s="65" t="s">
        <v>318</v>
      </c>
      <c r="G15" s="66" t="s">
        <v>55</v>
      </c>
      <c r="H15" s="66" t="s">
        <v>324</v>
      </c>
      <c r="I15" s="71" t="str">
        <f>IFERROR(_xlfn.XLOOKUP($O$5,DealsMaster[Deal No.],DealsMaster[Destination]),"")</f>
        <v>Lusaka</v>
      </c>
      <c r="J15" s="71" t="str">
        <f>IFERROR(_xlfn.XLOOKUP($O$5,DealsMaster[Deal No.],DealsMaster[Product]),"")</f>
        <v>PMS</v>
      </c>
      <c r="K15" s="64">
        <v>46011</v>
      </c>
      <c r="L15" s="64">
        <v>46015</v>
      </c>
      <c r="M15" s="56">
        <f t="shared" si="1"/>
        <v>4</v>
      </c>
      <c r="N15" s="57">
        <f t="shared" si="2"/>
        <v>2</v>
      </c>
      <c r="O15" s="58" t="str">
        <f t="shared" si="3"/>
        <v>DEMURRAGE</v>
      </c>
      <c r="P15" s="59">
        <f t="shared" si="4"/>
        <v>500</v>
      </c>
    </row>
    <row r="16" spans="1:16" ht="21.95" customHeight="1" x14ac:dyDescent="0.25">
      <c r="A16" s="54">
        <f t="shared" si="0"/>
        <v>184752</v>
      </c>
      <c r="B16" s="55" t="str">
        <f>IFERROR(_xlfn.XLOOKUP($O$5,DealsMaster[Deal No.],DealsMaster[Consignee]),"")</f>
        <v>Rubis Energy Zambia</v>
      </c>
      <c r="C16" s="64">
        <v>46021</v>
      </c>
      <c r="D16" s="70" t="str">
        <f>IFERROR(_xlfn.XLOOKUP($O$5,DealsMaster[Deal No.],DealsMaster[Loading Port]),"")</f>
        <v>Beira</v>
      </c>
      <c r="E16" s="65" t="s">
        <v>75</v>
      </c>
      <c r="F16" s="65" t="s">
        <v>76</v>
      </c>
      <c r="G16" s="66" t="s">
        <v>55</v>
      </c>
      <c r="H16" s="66" t="s">
        <v>81</v>
      </c>
      <c r="I16" s="71" t="str">
        <f>IFERROR(_xlfn.XLOOKUP($O$5,DealsMaster[Deal No.],DealsMaster[Destination]),"")</f>
        <v>Lusaka</v>
      </c>
      <c r="J16" s="71" t="str">
        <f>IFERROR(_xlfn.XLOOKUP($O$5,DealsMaster[Deal No.],DealsMaster[Product]),"")</f>
        <v>PMS</v>
      </c>
      <c r="K16" s="64">
        <v>46030</v>
      </c>
      <c r="L16" s="64">
        <v>46035</v>
      </c>
      <c r="M16" s="56">
        <f t="shared" si="1"/>
        <v>5</v>
      </c>
      <c r="N16" s="57">
        <f t="shared" si="2"/>
        <v>2</v>
      </c>
      <c r="O16" s="58" t="str">
        <f t="shared" si="3"/>
        <v>DEMURRAGE</v>
      </c>
      <c r="P16" s="59">
        <f t="shared" si="4"/>
        <v>750</v>
      </c>
    </row>
    <row r="17" spans="1:16" ht="21.95" customHeight="1" x14ac:dyDescent="0.25">
      <c r="A17" s="54">
        <f t="shared" si="0"/>
        <v>184752</v>
      </c>
      <c r="B17" s="55" t="str">
        <f>IFERROR(_xlfn.XLOOKUP($O$5,DealsMaster[Deal No.],DealsMaster[Consignee]),"")</f>
        <v>Rubis Energy Zambia</v>
      </c>
      <c r="C17" s="64">
        <v>46021</v>
      </c>
      <c r="D17" s="70" t="str">
        <f>IFERROR(_xlfn.XLOOKUP($O$5,DealsMaster[Deal No.],DealsMaster[Loading Port]),"")</f>
        <v>Beira</v>
      </c>
      <c r="E17" s="65" t="s">
        <v>317</v>
      </c>
      <c r="F17" s="65" t="s">
        <v>318</v>
      </c>
      <c r="G17" s="66" t="s">
        <v>55</v>
      </c>
      <c r="H17" s="66" t="s">
        <v>324</v>
      </c>
      <c r="I17" s="71" t="str">
        <f>IFERROR(_xlfn.XLOOKUP($O$5,DealsMaster[Deal No.],DealsMaster[Destination]),"")</f>
        <v>Lusaka</v>
      </c>
      <c r="J17" s="71" t="str">
        <f>IFERROR(_xlfn.XLOOKUP($O$5,DealsMaster[Deal No.],DealsMaster[Product]),"")</f>
        <v>PMS</v>
      </c>
      <c r="K17" s="64">
        <v>46030</v>
      </c>
      <c r="L17" s="64">
        <v>46034</v>
      </c>
      <c r="M17" s="56">
        <f t="shared" si="1"/>
        <v>4</v>
      </c>
      <c r="N17" s="57">
        <f t="shared" si="2"/>
        <v>2</v>
      </c>
      <c r="O17" s="58" t="str">
        <f t="shared" si="3"/>
        <v>DEMURRAGE</v>
      </c>
      <c r="P17" s="59">
        <f t="shared" si="4"/>
        <v>500</v>
      </c>
    </row>
    <row r="18" spans="1:16" ht="21.95" customHeight="1" x14ac:dyDescent="0.25">
      <c r="A18" s="54">
        <f t="shared" si="0"/>
        <v>184752</v>
      </c>
      <c r="B18" s="55" t="str">
        <f>IFERROR(_xlfn.XLOOKUP($O$5,DealsMaster[Deal No.],DealsMaster[Consignee]),"")</f>
        <v>Rubis Energy Zambia</v>
      </c>
      <c r="C18" s="64">
        <v>46021</v>
      </c>
      <c r="D18" s="70" t="str">
        <f>IFERROR(_xlfn.XLOOKUP($O$5,DealsMaster[Deal No.],DealsMaster[Loading Port]),"")</f>
        <v>Beira</v>
      </c>
      <c r="E18" s="65" t="s">
        <v>319</v>
      </c>
      <c r="F18" s="65" t="s">
        <v>320</v>
      </c>
      <c r="G18" s="66" t="s">
        <v>55</v>
      </c>
      <c r="H18" s="66" t="s">
        <v>325</v>
      </c>
      <c r="I18" s="71" t="str">
        <f>IFERROR(_xlfn.XLOOKUP($O$5,DealsMaster[Deal No.],DealsMaster[Destination]),"")</f>
        <v>Lusaka</v>
      </c>
      <c r="J18" s="71" t="str">
        <f>IFERROR(_xlfn.XLOOKUP($O$5,DealsMaster[Deal No.],DealsMaster[Product]),"")</f>
        <v>PMS</v>
      </c>
      <c r="K18" s="64">
        <v>46030</v>
      </c>
      <c r="L18" s="64">
        <v>46035</v>
      </c>
      <c r="M18" s="56">
        <f t="shared" si="1"/>
        <v>5</v>
      </c>
      <c r="N18" s="57">
        <f t="shared" si="2"/>
        <v>2</v>
      </c>
      <c r="O18" s="58" t="str">
        <f t="shared" si="3"/>
        <v>DEMURRAGE</v>
      </c>
      <c r="P18" s="59">
        <f t="shared" si="4"/>
        <v>750</v>
      </c>
    </row>
    <row r="19" spans="1:16" ht="21.95" customHeight="1" x14ac:dyDescent="0.25">
      <c r="A19" s="54">
        <f t="shared" si="0"/>
        <v>184752</v>
      </c>
      <c r="B19" s="55" t="str">
        <f>IFERROR(_xlfn.XLOOKUP($O$5,DealsMaster[Deal No.],DealsMaster[Consignee]),"")</f>
        <v>Rubis Energy Zambia</v>
      </c>
      <c r="C19" s="64">
        <v>46021</v>
      </c>
      <c r="D19" s="70" t="str">
        <f>IFERROR(_xlfn.XLOOKUP($O$5,DealsMaster[Deal No.],DealsMaster[Loading Port]),"")</f>
        <v>Beira</v>
      </c>
      <c r="E19" s="65" t="s">
        <v>321</v>
      </c>
      <c r="F19" s="65" t="s">
        <v>322</v>
      </c>
      <c r="G19" s="66" t="s">
        <v>55</v>
      </c>
      <c r="H19" s="66" t="s">
        <v>326</v>
      </c>
      <c r="I19" s="71" t="str">
        <f>IFERROR(_xlfn.XLOOKUP($O$5,DealsMaster[Deal No.],DealsMaster[Destination]),"")</f>
        <v>Lusaka</v>
      </c>
      <c r="J19" s="71" t="str">
        <f>IFERROR(_xlfn.XLOOKUP($O$5,DealsMaster[Deal No.],DealsMaster[Product]),"")</f>
        <v>PMS</v>
      </c>
      <c r="K19" s="64">
        <v>46030</v>
      </c>
      <c r="L19" s="64">
        <v>46034</v>
      </c>
      <c r="M19" s="56">
        <f t="shared" si="1"/>
        <v>4</v>
      </c>
      <c r="N19" s="57">
        <f t="shared" si="2"/>
        <v>2</v>
      </c>
      <c r="O19" s="58" t="str">
        <f t="shared" si="3"/>
        <v>DEMURRAGE</v>
      </c>
      <c r="P19" s="59">
        <f t="shared" si="4"/>
        <v>500</v>
      </c>
    </row>
    <row r="20" spans="1:16" ht="21.95" customHeight="1" x14ac:dyDescent="0.25">
      <c r="A20" s="54">
        <f t="shared" si="0"/>
        <v>184752</v>
      </c>
      <c r="B20" s="55" t="str">
        <f>IFERROR(_xlfn.XLOOKUP($O$5,DealsMaster[Deal No.],DealsMaster[Consignee]),"")</f>
        <v>Rubis Energy Zambia</v>
      </c>
      <c r="C20" s="64"/>
      <c r="D20" s="70" t="str">
        <f>IFERROR(_xlfn.XLOOKUP($O$5,DealsMaster[Deal No.],DealsMaster[Loading Port]),"")</f>
        <v>Beira</v>
      </c>
      <c r="E20" s="65"/>
      <c r="F20" s="65"/>
      <c r="G20" s="66"/>
      <c r="H20" s="66"/>
      <c r="I20" s="71" t="str">
        <f>IFERROR(_xlfn.XLOOKUP($O$5,DealsMaster[Deal No.],DealsMaster[Destination]),"")</f>
        <v>Lusaka</v>
      </c>
      <c r="J20" s="71" t="str">
        <f>IFERROR(_xlfn.XLOOKUP($O$5,DealsMaster[Deal No.],DealsMaster[Product]),"")</f>
        <v>PMS</v>
      </c>
      <c r="K20" s="64"/>
      <c r="L20" s="64"/>
      <c r="M20" s="56" t="str">
        <f t="shared" si="1"/>
        <v/>
      </c>
      <c r="N20" s="57">
        <f t="shared" si="2"/>
        <v>2</v>
      </c>
      <c r="O20" s="58" t="str">
        <f t="shared" si="3"/>
        <v/>
      </c>
      <c r="P20" s="59" t="str">
        <f t="shared" si="4"/>
        <v/>
      </c>
    </row>
    <row r="21" spans="1:16" ht="21.95" customHeight="1" x14ac:dyDescent="0.25">
      <c r="A21" s="54">
        <f t="shared" si="0"/>
        <v>184752</v>
      </c>
      <c r="B21" s="55" t="str">
        <f>IFERROR(_xlfn.XLOOKUP($O$5,DealsMaster[Deal No.],DealsMaster[Consignee]),"")</f>
        <v>Rubis Energy Zambia</v>
      </c>
      <c r="C21" s="64"/>
      <c r="D21" s="70" t="str">
        <f>IFERROR(_xlfn.XLOOKUP($O$5,DealsMaster[Deal No.],DealsMaster[Loading Port]),"")</f>
        <v>Beira</v>
      </c>
      <c r="E21" s="65"/>
      <c r="F21" s="65"/>
      <c r="G21" s="66"/>
      <c r="H21" s="66"/>
      <c r="I21" s="71" t="str">
        <f>IFERROR(_xlfn.XLOOKUP($O$5,DealsMaster[Deal No.],DealsMaster[Destination]),"")</f>
        <v>Lusaka</v>
      </c>
      <c r="J21" s="71" t="str">
        <f>IFERROR(_xlfn.XLOOKUP($O$5,DealsMaster[Deal No.],DealsMaster[Product]),"")</f>
        <v>PMS</v>
      </c>
      <c r="K21" s="64"/>
      <c r="L21" s="64"/>
      <c r="M21" s="56" t="str">
        <f t="shared" si="1"/>
        <v/>
      </c>
      <c r="N21" s="57">
        <f t="shared" si="2"/>
        <v>2</v>
      </c>
      <c r="O21" s="58" t="str">
        <f t="shared" si="3"/>
        <v/>
      </c>
      <c r="P21" s="59" t="str">
        <f t="shared" si="4"/>
        <v/>
      </c>
    </row>
    <row r="22" spans="1:16" ht="21.95" customHeight="1" x14ac:dyDescent="0.25">
      <c r="A22" s="54">
        <f t="shared" si="0"/>
        <v>184752</v>
      </c>
      <c r="B22" s="55" t="str">
        <f>IFERROR(_xlfn.XLOOKUP($O$5,DealsMaster[Deal No.],DealsMaster[Consignee]),"")</f>
        <v>Rubis Energy Zambia</v>
      </c>
      <c r="C22" s="64"/>
      <c r="D22" s="70" t="str">
        <f>IFERROR(_xlfn.XLOOKUP($O$5,DealsMaster[Deal No.],DealsMaster[Loading Port]),"")</f>
        <v>Beira</v>
      </c>
      <c r="E22" s="65"/>
      <c r="F22" s="65"/>
      <c r="G22" s="66"/>
      <c r="H22" s="66"/>
      <c r="I22" s="71" t="str">
        <f>IFERROR(_xlfn.XLOOKUP($O$5,DealsMaster[Deal No.],DealsMaster[Destination]),"")</f>
        <v>Lusaka</v>
      </c>
      <c r="J22" s="71" t="str">
        <f>IFERROR(_xlfn.XLOOKUP($O$5,DealsMaster[Deal No.],DealsMaster[Product]),"")</f>
        <v>PMS</v>
      </c>
      <c r="K22" s="64"/>
      <c r="L22" s="64"/>
      <c r="M22" s="56" t="str">
        <f t="shared" si="1"/>
        <v/>
      </c>
      <c r="N22" s="57">
        <f t="shared" si="2"/>
        <v>2</v>
      </c>
      <c r="O22" s="58" t="str">
        <f t="shared" si="3"/>
        <v/>
      </c>
      <c r="P22" s="59" t="str">
        <f t="shared" si="4"/>
        <v/>
      </c>
    </row>
    <row r="23" spans="1:16" ht="21.95" customHeight="1" x14ac:dyDescent="0.25">
      <c r="A23" s="54">
        <f t="shared" si="0"/>
        <v>184752</v>
      </c>
      <c r="B23" s="55" t="str">
        <f>IFERROR(_xlfn.XLOOKUP($O$5,DealsMaster[Deal No.],DealsMaster[Consignee]),"")</f>
        <v>Rubis Energy Zambia</v>
      </c>
      <c r="C23" s="64"/>
      <c r="D23" s="70" t="str">
        <f>IFERROR(_xlfn.XLOOKUP($O$5,DealsMaster[Deal No.],DealsMaster[Loading Port]),"")</f>
        <v>Beira</v>
      </c>
      <c r="E23" s="65"/>
      <c r="F23" s="65"/>
      <c r="G23" s="66"/>
      <c r="H23" s="66"/>
      <c r="I23" s="71" t="str">
        <f>IFERROR(_xlfn.XLOOKUP($O$5,DealsMaster[Deal No.],DealsMaster[Destination]),"")</f>
        <v>Lusaka</v>
      </c>
      <c r="J23" s="71" t="str">
        <f>IFERROR(_xlfn.XLOOKUP($O$5,DealsMaster[Deal No.],DealsMaster[Product]),"")</f>
        <v>PMS</v>
      </c>
      <c r="K23" s="64"/>
      <c r="L23" s="64"/>
      <c r="M23" s="56" t="str">
        <f t="shared" si="1"/>
        <v/>
      </c>
      <c r="N23" s="57">
        <f t="shared" si="2"/>
        <v>2</v>
      </c>
      <c r="O23" s="58" t="str">
        <f t="shared" si="3"/>
        <v/>
      </c>
      <c r="P23" s="59" t="str">
        <f t="shared" si="4"/>
        <v/>
      </c>
    </row>
    <row r="24" spans="1:16" ht="21.95" customHeight="1" x14ac:dyDescent="0.25">
      <c r="A24" s="54">
        <f t="shared" si="0"/>
        <v>184752</v>
      </c>
      <c r="B24" s="55" t="str">
        <f>IFERROR(_xlfn.XLOOKUP($O$5,DealsMaster[Deal No.],DealsMaster[Consignee]),"")</f>
        <v>Rubis Energy Zambia</v>
      </c>
      <c r="C24" s="64"/>
      <c r="D24" s="70" t="str">
        <f>IFERROR(_xlfn.XLOOKUP($O$5,DealsMaster[Deal No.],DealsMaster[Loading Port]),"")</f>
        <v>Beira</v>
      </c>
      <c r="E24" s="65"/>
      <c r="F24" s="65"/>
      <c r="G24" s="66"/>
      <c r="H24" s="66"/>
      <c r="I24" s="71" t="str">
        <f>IFERROR(_xlfn.XLOOKUP($O$5,DealsMaster[Deal No.],DealsMaster[Destination]),"")</f>
        <v>Lusaka</v>
      </c>
      <c r="J24" s="71" t="str">
        <f>IFERROR(_xlfn.XLOOKUP($O$5,DealsMaster[Deal No.],DealsMaster[Product]),"")</f>
        <v>PMS</v>
      </c>
      <c r="K24" s="64"/>
      <c r="L24" s="64"/>
      <c r="M24" s="56" t="str">
        <f t="shared" si="1"/>
        <v/>
      </c>
      <c r="N24" s="57">
        <f t="shared" si="2"/>
        <v>2</v>
      </c>
      <c r="O24" s="58" t="str">
        <f t="shared" si="3"/>
        <v/>
      </c>
      <c r="P24" s="59" t="str">
        <f t="shared" si="4"/>
        <v/>
      </c>
    </row>
    <row r="25" spans="1:16" ht="21.95" customHeight="1" x14ac:dyDescent="0.25">
      <c r="A25" s="54">
        <f t="shared" si="0"/>
        <v>184752</v>
      </c>
      <c r="B25" s="55" t="str">
        <f>IFERROR(_xlfn.XLOOKUP($O$5,DealsMaster[Deal No.],DealsMaster[Consignee]),"")</f>
        <v>Rubis Energy Zambia</v>
      </c>
      <c r="C25" s="64"/>
      <c r="D25" s="70" t="str">
        <f>IFERROR(_xlfn.XLOOKUP($O$5,DealsMaster[Deal No.],DealsMaster[Loading Port]),"")</f>
        <v>Beira</v>
      </c>
      <c r="E25" s="65"/>
      <c r="F25" s="65"/>
      <c r="G25" s="66"/>
      <c r="H25" s="66"/>
      <c r="I25" s="71" t="str">
        <f>IFERROR(_xlfn.XLOOKUP($O$5,DealsMaster[Deal No.],DealsMaster[Destination]),"")</f>
        <v>Lusaka</v>
      </c>
      <c r="J25" s="71" t="str">
        <f>IFERROR(_xlfn.XLOOKUP($O$5,DealsMaster[Deal No.],DealsMaster[Product]),"")</f>
        <v>PMS</v>
      </c>
      <c r="K25" s="64"/>
      <c r="L25" s="64"/>
      <c r="M25" s="56" t="str">
        <f t="shared" si="1"/>
        <v/>
      </c>
      <c r="N25" s="57">
        <f t="shared" si="2"/>
        <v>2</v>
      </c>
      <c r="O25" s="58" t="str">
        <f t="shared" si="3"/>
        <v/>
      </c>
      <c r="P25" s="59" t="str">
        <f t="shared" si="4"/>
        <v/>
      </c>
    </row>
    <row r="26" spans="1:16" ht="21.95" customHeight="1" x14ac:dyDescent="0.25">
      <c r="A26" s="54">
        <f t="shared" si="0"/>
        <v>184752</v>
      </c>
      <c r="B26" s="55" t="str">
        <f>IFERROR(_xlfn.XLOOKUP($O$5,DealsMaster[Deal No.],DealsMaster[Consignee]),"")</f>
        <v>Rubis Energy Zambia</v>
      </c>
      <c r="C26" s="64"/>
      <c r="D26" s="70" t="str">
        <f>IFERROR(_xlfn.XLOOKUP($O$5,DealsMaster[Deal No.],DealsMaster[Loading Port]),"")</f>
        <v>Beira</v>
      </c>
      <c r="E26" s="65"/>
      <c r="F26" s="65"/>
      <c r="G26" s="66"/>
      <c r="H26" s="66"/>
      <c r="I26" s="71" t="str">
        <f>IFERROR(_xlfn.XLOOKUP($O$5,DealsMaster[Deal No.],DealsMaster[Destination]),"")</f>
        <v>Lusaka</v>
      </c>
      <c r="J26" s="71" t="str">
        <f>IFERROR(_xlfn.XLOOKUP($O$5,DealsMaster[Deal No.],DealsMaster[Product]),"")</f>
        <v>PMS</v>
      </c>
      <c r="K26" s="64"/>
      <c r="L26" s="64"/>
      <c r="M26" s="56" t="str">
        <f t="shared" si="1"/>
        <v/>
      </c>
      <c r="N26" s="57">
        <f t="shared" si="2"/>
        <v>2</v>
      </c>
      <c r="O26" s="58" t="str">
        <f t="shared" si="3"/>
        <v/>
      </c>
      <c r="P26" s="59" t="str">
        <f t="shared" si="4"/>
        <v/>
      </c>
    </row>
    <row r="27" spans="1:16" ht="21.95" customHeight="1" x14ac:dyDescent="0.25">
      <c r="A27" s="54">
        <f t="shared" si="0"/>
        <v>184752</v>
      </c>
      <c r="B27" s="55" t="str">
        <f>IFERROR(_xlfn.XLOOKUP($O$5,DealsMaster[Deal No.],DealsMaster[Consignee]),"")</f>
        <v>Rubis Energy Zambia</v>
      </c>
      <c r="C27" s="64"/>
      <c r="D27" s="70" t="str">
        <f>IFERROR(_xlfn.XLOOKUP($O$5,DealsMaster[Deal No.],DealsMaster[Loading Port]),"")</f>
        <v>Beira</v>
      </c>
      <c r="E27" s="65"/>
      <c r="F27" s="65"/>
      <c r="G27" s="66"/>
      <c r="H27" s="66"/>
      <c r="I27" s="71" t="str">
        <f>IFERROR(_xlfn.XLOOKUP($O$5,DealsMaster[Deal No.],DealsMaster[Destination]),"")</f>
        <v>Lusaka</v>
      </c>
      <c r="J27" s="71" t="str">
        <f>IFERROR(_xlfn.XLOOKUP($O$5,DealsMaster[Deal No.],DealsMaster[Product]),"")</f>
        <v>PMS</v>
      </c>
      <c r="K27" s="64"/>
      <c r="L27" s="64"/>
      <c r="M27" s="56" t="str">
        <f t="shared" si="1"/>
        <v/>
      </c>
      <c r="N27" s="57">
        <f t="shared" si="2"/>
        <v>2</v>
      </c>
      <c r="O27" s="58" t="str">
        <f t="shared" si="3"/>
        <v/>
      </c>
      <c r="P27" s="59" t="str">
        <f t="shared" si="4"/>
        <v/>
      </c>
    </row>
    <row r="28" spans="1:16" ht="21.95" customHeight="1" x14ac:dyDescent="0.25">
      <c r="A28" s="54">
        <f t="shared" si="0"/>
        <v>184752</v>
      </c>
      <c r="B28" s="55" t="str">
        <f>IFERROR(_xlfn.XLOOKUP($O$5,DealsMaster[Deal No.],DealsMaster[Consignee]),"")</f>
        <v>Rubis Energy Zambia</v>
      </c>
      <c r="C28" s="64"/>
      <c r="D28" s="70" t="str">
        <f>IFERROR(_xlfn.XLOOKUP($O$5,DealsMaster[Deal No.],DealsMaster[Loading Port]),"")</f>
        <v>Beira</v>
      </c>
      <c r="E28" s="65"/>
      <c r="F28" s="65"/>
      <c r="G28" s="66"/>
      <c r="H28" s="66"/>
      <c r="I28" s="71" t="str">
        <f>IFERROR(_xlfn.XLOOKUP($O$5,DealsMaster[Deal No.],DealsMaster[Destination]),"")</f>
        <v>Lusaka</v>
      </c>
      <c r="J28" s="71" t="str">
        <f>IFERROR(_xlfn.XLOOKUP($O$5,DealsMaster[Deal No.],DealsMaster[Product]),"")</f>
        <v>PMS</v>
      </c>
      <c r="K28" s="64"/>
      <c r="L28" s="64"/>
      <c r="M28" s="56" t="str">
        <f t="shared" si="1"/>
        <v/>
      </c>
      <c r="N28" s="57">
        <f t="shared" si="2"/>
        <v>2</v>
      </c>
      <c r="O28" s="58" t="str">
        <f t="shared" si="3"/>
        <v/>
      </c>
      <c r="P28" s="59" t="str">
        <f t="shared" si="4"/>
        <v/>
      </c>
    </row>
    <row r="29" spans="1:16" ht="21.95" customHeight="1" x14ac:dyDescent="0.25">
      <c r="A29" s="54">
        <f t="shared" si="0"/>
        <v>184752</v>
      </c>
      <c r="B29" s="55" t="str">
        <f>IFERROR(_xlfn.XLOOKUP($O$5,DealsMaster[Deal No.],DealsMaster[Consignee]),"")</f>
        <v>Rubis Energy Zambia</v>
      </c>
      <c r="C29" s="64"/>
      <c r="D29" s="70" t="str">
        <f>IFERROR(_xlfn.XLOOKUP($O$5,DealsMaster[Deal No.],DealsMaster[Loading Port]),"")</f>
        <v>Beira</v>
      </c>
      <c r="E29" s="65"/>
      <c r="F29" s="65"/>
      <c r="G29" s="66"/>
      <c r="H29" s="66"/>
      <c r="I29" s="71" t="str">
        <f>IFERROR(_xlfn.XLOOKUP($O$5,DealsMaster[Deal No.],DealsMaster[Destination]),"")</f>
        <v>Lusaka</v>
      </c>
      <c r="J29" s="71" t="str">
        <f>IFERROR(_xlfn.XLOOKUP($O$5,DealsMaster[Deal No.],DealsMaster[Product]),"")</f>
        <v>PMS</v>
      </c>
      <c r="K29" s="64"/>
      <c r="L29" s="64"/>
      <c r="M29" s="56" t="str">
        <f t="shared" si="1"/>
        <v/>
      </c>
      <c r="N29" s="57">
        <f t="shared" si="2"/>
        <v>2</v>
      </c>
      <c r="O29" s="58" t="str">
        <f t="shared" si="3"/>
        <v/>
      </c>
      <c r="P29" s="59" t="str">
        <f t="shared" si="4"/>
        <v/>
      </c>
    </row>
    <row r="30" spans="1:16" ht="21.95" customHeight="1" x14ac:dyDescent="0.25">
      <c r="A30" s="54">
        <f t="shared" si="0"/>
        <v>184752</v>
      </c>
      <c r="B30" s="55" t="str">
        <f>IFERROR(_xlfn.XLOOKUP($O$5,DealsMaster[Deal No.],DealsMaster[Consignee]),"")</f>
        <v>Rubis Energy Zambia</v>
      </c>
      <c r="C30" s="64"/>
      <c r="D30" s="70" t="str">
        <f>IFERROR(_xlfn.XLOOKUP($O$5,DealsMaster[Deal No.],DealsMaster[Loading Port]),"")</f>
        <v>Beira</v>
      </c>
      <c r="E30" s="65"/>
      <c r="F30" s="65"/>
      <c r="G30" s="66"/>
      <c r="H30" s="66"/>
      <c r="I30" s="71" t="str">
        <f>IFERROR(_xlfn.XLOOKUP($O$5,DealsMaster[Deal No.],DealsMaster[Destination]),"")</f>
        <v>Lusaka</v>
      </c>
      <c r="J30" s="71" t="str">
        <f>IFERROR(_xlfn.XLOOKUP($O$5,DealsMaster[Deal No.],DealsMaster[Product]),"")</f>
        <v>PMS</v>
      </c>
      <c r="K30" s="64"/>
      <c r="L30" s="64"/>
      <c r="M30" s="56" t="str">
        <f t="shared" si="1"/>
        <v/>
      </c>
      <c r="N30" s="57">
        <f t="shared" si="2"/>
        <v>2</v>
      </c>
      <c r="O30" s="58" t="str">
        <f t="shared" si="3"/>
        <v/>
      </c>
      <c r="P30" s="59" t="str">
        <f t="shared" si="4"/>
        <v/>
      </c>
    </row>
    <row r="31" spans="1:16" ht="21.95" customHeight="1" x14ac:dyDescent="0.25">
      <c r="A31" s="54">
        <f t="shared" si="0"/>
        <v>184752</v>
      </c>
      <c r="B31" s="55" t="str">
        <f>IFERROR(_xlfn.XLOOKUP($O$5,DealsMaster[Deal No.],DealsMaster[Consignee]),"")</f>
        <v>Rubis Energy Zambia</v>
      </c>
      <c r="C31" s="64"/>
      <c r="D31" s="70" t="str">
        <f>IFERROR(_xlfn.XLOOKUP($O$5,DealsMaster[Deal No.],DealsMaster[Loading Port]),"")</f>
        <v>Beira</v>
      </c>
      <c r="E31" s="65"/>
      <c r="F31" s="65"/>
      <c r="G31" s="66"/>
      <c r="H31" s="66"/>
      <c r="I31" s="71" t="str">
        <f>IFERROR(_xlfn.XLOOKUP($O$5,DealsMaster[Deal No.],DealsMaster[Destination]),"")</f>
        <v>Lusaka</v>
      </c>
      <c r="J31" s="71" t="str">
        <f>IFERROR(_xlfn.XLOOKUP($O$5,DealsMaster[Deal No.],DealsMaster[Product]),"")</f>
        <v>PMS</v>
      </c>
      <c r="K31" s="64"/>
      <c r="L31" s="64"/>
      <c r="M31" s="56" t="str">
        <f t="shared" si="1"/>
        <v/>
      </c>
      <c r="N31" s="57">
        <f t="shared" si="2"/>
        <v>2</v>
      </c>
      <c r="O31" s="58" t="str">
        <f t="shared" si="3"/>
        <v/>
      </c>
      <c r="P31" s="59" t="str">
        <f t="shared" si="4"/>
        <v/>
      </c>
    </row>
    <row r="32" spans="1:16" ht="15.75" thickBot="1" x14ac:dyDescent="0.3">
      <c r="A32" s="60" t="s">
        <v>14</v>
      </c>
      <c r="B32" s="61"/>
      <c r="C32" s="62"/>
      <c r="D32" s="62"/>
      <c r="E32" s="62"/>
      <c r="F32" s="62"/>
      <c r="G32" s="61"/>
      <c r="H32" s="61"/>
      <c r="I32" s="61"/>
      <c r="J32" s="61"/>
      <c r="K32" s="62"/>
      <c r="L32" s="62"/>
      <c r="M32" s="62"/>
      <c r="N32" s="62"/>
      <c r="O32" s="62"/>
      <c r="P32" s="63">
        <f>SUBTOTAL(109,P10:P31)</f>
        <v>5500</v>
      </c>
    </row>
    <row r="33" spans="14:14" x14ac:dyDescent="0.25">
      <c r="N33" s="1"/>
    </row>
    <row r="34" spans="14:14" x14ac:dyDescent="0.25">
      <c r="N34" s="1"/>
    </row>
    <row r="35" spans="14:14" x14ac:dyDescent="0.25">
      <c r="N35" s="1"/>
    </row>
    <row r="36" spans="14:14" x14ac:dyDescent="0.25">
      <c r="N36" s="1"/>
    </row>
    <row r="37" spans="14:14" x14ac:dyDescent="0.25">
      <c r="N37" s="1"/>
    </row>
    <row r="38" spans="14:14" x14ac:dyDescent="0.25">
      <c r="N38" s="1"/>
    </row>
    <row r="39" spans="14:14" x14ac:dyDescent="0.25">
      <c r="N39" s="1"/>
    </row>
    <row r="40" spans="14:14" x14ac:dyDescent="0.25">
      <c r="N40" s="1"/>
    </row>
    <row r="41" spans="14:14" x14ac:dyDescent="0.25">
      <c r="N41" s="1"/>
    </row>
    <row r="42" spans="14:14" x14ac:dyDescent="0.25">
      <c r="N42" s="1"/>
    </row>
    <row r="43" spans="14:14" x14ac:dyDescent="0.25">
      <c r="N43" s="1"/>
    </row>
    <row r="44" spans="14:14" x14ac:dyDescent="0.25">
      <c r="N44" s="1"/>
    </row>
    <row r="45" spans="14:14" x14ac:dyDescent="0.25">
      <c r="N45" s="1"/>
    </row>
    <row r="46" spans="14:14" x14ac:dyDescent="0.25">
      <c r="N46" s="1"/>
    </row>
    <row r="47" spans="14:14" x14ac:dyDescent="0.25">
      <c r="N47" s="1"/>
    </row>
    <row r="48" spans="14:14" x14ac:dyDescent="0.25">
      <c r="N48" s="1"/>
    </row>
    <row r="49" spans="14:14" x14ac:dyDescent="0.25">
      <c r="N49" s="1"/>
    </row>
    <row r="50" spans="14:14" x14ac:dyDescent="0.25">
      <c r="N50" s="1"/>
    </row>
    <row r="51" spans="14:14" x14ac:dyDescent="0.25">
      <c r="N51" s="1"/>
    </row>
    <row r="52" spans="14:14" x14ac:dyDescent="0.25">
      <c r="N52" s="1"/>
    </row>
    <row r="53" spans="14:14" x14ac:dyDescent="0.25">
      <c r="N53" s="1"/>
    </row>
    <row r="54" spans="14:14" x14ac:dyDescent="0.25">
      <c r="N54" s="1"/>
    </row>
    <row r="55" spans="14:14" x14ac:dyDescent="0.25">
      <c r="N55" s="1"/>
    </row>
  </sheetData>
  <sheetProtection autoFilter="0"/>
  <mergeCells count="9">
    <mergeCell ref="C5:E7"/>
    <mergeCell ref="F5:H7"/>
    <mergeCell ref="A1:B1"/>
    <mergeCell ref="C1:P1"/>
    <mergeCell ref="A2:P2"/>
    <mergeCell ref="C3:O3"/>
    <mergeCell ref="C4:E4"/>
    <mergeCell ref="F4:H4"/>
    <mergeCell ref="N4:O4"/>
  </mergeCells>
  <dataValidations count="6">
    <dataValidation type="date" allowBlank="1" showInputMessage="1" showErrorMessage="1" errorTitle="Invalid date" error="Please enter a valid date (e.g. 15-Jan-2025). Text entries are not allowed." promptTitle="Offloaded Date" prompt="Enter a date between 2020 and 2030." sqref="L10:L31" xr:uid="{0E5DAED4-B2E0-4C34-B424-6F8D13B5D4C9}">
      <formula1>43831</formula1>
      <formula2>47848</formula2>
    </dataValidation>
    <dataValidation type="date" allowBlank="1" showInputMessage="1" showErrorMessage="1" errorTitle="Invalid date" error="Please enter a valid date (e.g. 15-Jan-2025). Text entries are not allowed." promptTitle="Arrival Date" prompt="Enter a date between 2020 and 2030." sqref="K10:K31" xr:uid="{8108F692-6A0A-4019-B3F3-6E0E28785603}">
      <formula1>43831</formula1>
      <formula2>47848</formula2>
    </dataValidation>
    <dataValidation type="date" allowBlank="1" showInputMessage="1" showErrorMessage="1" errorTitle="Invalid date" error="Please enter a valid date (e.g. 15-Jan-2025). Text entries are not allowed." promptTitle="Date Loaded" prompt="Enter a date between 2020 and 2030." sqref="C10:C31" xr:uid="{7C97E015-F199-4E57-BC76-1A235346FC31}">
      <formula1>43831</formula1>
      <formula2>47848</formula2>
    </dataValidation>
    <dataValidation type="list" allowBlank="1" showInputMessage="1" showErrorMessage="1" errorTitle="Invalid entry" error="Please pick a value from the list." sqref="D10:D31" xr:uid="{CF936CBD-1333-468F-8EF9-14CE5DCEDA4D}">
      <formula1>"Dar Es Salaam,Beira"</formula1>
    </dataValidation>
    <dataValidation type="list" allowBlank="1" showInputMessage="1" showErrorMessage="1" errorTitle="Invalid entry" error="Please pick a value from the list." sqref="I10:I31" xr:uid="{A1351004-9F2A-4E89-A581-CB71C14D4C46}">
      <formula1>"Lusaka,Lubumbashi,Chipata"</formula1>
    </dataValidation>
    <dataValidation type="list" allowBlank="1" showInputMessage="1" showErrorMessage="1" errorTitle="Invalid entry" error="Please pick a value from the list." sqref="J10:J31" xr:uid="{695C8665-78ED-43BE-B73D-521E8661F966}">
      <formula1>"PMS,AGO"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456C5-337A-4EE5-AEEA-FA19C7EB6A77}">
  <sheetPr>
    <tabColor rgb="FFF2B233"/>
  </sheetPr>
  <dimension ref="A1:P55"/>
  <sheetViews>
    <sheetView showGridLines="0" topLeftCell="G1" zoomScaleNormal="100" workbookViewId="0">
      <pane ySplit="9" topLeftCell="A10" activePane="bottomLeft" state="frozen"/>
      <selection activeCell="M1" sqref="M1"/>
      <selection pane="bottomLeft" activeCell="N16" sqref="N16"/>
    </sheetView>
  </sheetViews>
  <sheetFormatPr defaultRowHeight="15" x14ac:dyDescent="0.25"/>
  <cols>
    <col min="1" max="1" width="21" customWidth="1"/>
    <col min="2" max="2" width="31.42578125" customWidth="1"/>
    <col min="3" max="3" width="19" customWidth="1"/>
    <col min="4" max="4" width="24.7109375" customWidth="1"/>
    <col min="5" max="5" width="18.140625" customWidth="1"/>
    <col min="6" max="6" width="19" customWidth="1"/>
    <col min="7" max="7" width="26.7109375" customWidth="1"/>
    <col min="8" max="8" width="36.5703125" bestFit="1" customWidth="1"/>
    <col min="9" max="9" width="21.85546875" customWidth="1"/>
    <col min="10" max="10" width="15.28515625" customWidth="1"/>
    <col min="11" max="12" width="21.85546875" customWidth="1"/>
    <col min="13" max="13" width="17.140625" customWidth="1"/>
    <col min="14" max="14" width="18.140625" customWidth="1"/>
    <col min="15" max="15" width="21.85546875" customWidth="1"/>
    <col min="16" max="16" width="27.5703125" customWidth="1"/>
  </cols>
  <sheetData>
    <row r="1" spans="1:16" ht="60" customHeight="1" x14ac:dyDescent="0.25">
      <c r="A1" s="88"/>
      <c r="B1" s="89"/>
      <c r="C1" s="90" t="str">
        <f>IF(O5=0,"DEMURRAGE CALCULATION  —  [ENTER DEAL NO. ABOVE]","DEMURRAGE CALCULATION  —  "&amp;TEXT(O5,"0")&amp;" - "&amp;UPPER(IFERROR(_xlfn.XLOOKUP(O5,DealsMaster[Deal No.],DealsMaster[Consignee]),""))&amp;" - "&amp;UPPER(IFERROR(_xlfn.XLOOKUP(O5,DealsMaster[Deal No.],DealsMaster[Route]),"")))</f>
        <v>DEMURRAGE CALCULATION  —  184834 - RELIANCE ENERGY ZAMBIA - BEIRA → LUSAKA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</row>
    <row r="2" spans="1:16" ht="6" customHeight="1" x14ac:dyDescent="0.25">
      <c r="A2" s="91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</row>
    <row r="3" spans="1:16" ht="20.100000000000001" customHeight="1" x14ac:dyDescent="0.25">
      <c r="C3" s="92" t="s">
        <v>27</v>
      </c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</row>
    <row r="4" spans="1:16" ht="20.100000000000001" customHeight="1" x14ac:dyDescent="0.25">
      <c r="C4" s="93" t="s">
        <v>28</v>
      </c>
      <c r="D4" s="94"/>
      <c r="E4" s="94"/>
      <c r="F4" s="95" t="s">
        <v>29</v>
      </c>
      <c r="G4" s="94"/>
      <c r="H4" s="94"/>
      <c r="I4" s="49"/>
      <c r="J4" s="49"/>
      <c r="K4" s="49"/>
      <c r="L4" s="49"/>
      <c r="M4" s="49"/>
      <c r="N4" s="93" t="s">
        <v>30</v>
      </c>
      <c r="O4" s="94"/>
    </row>
    <row r="5" spans="1:16" ht="18" customHeight="1" x14ac:dyDescent="0.25">
      <c r="C5" s="78">
        <f>SUM('184834 - RELIANCE - BEIRA-LSK'!$P$10:$P$31)</f>
        <v>0</v>
      </c>
      <c r="D5" s="79"/>
      <c r="E5" s="79"/>
      <c r="F5" s="83" t="str">
        <f>COUNTIF('184834 - RELIANCE - BEIRA-LSK'!$O$10:$O$31,"DEMURRAGE")&amp;" / "&amp;COUNTA('184834 - RELIANCE - BEIRA-LSK'!$A$10:$A$31)</f>
        <v>0 / 22</v>
      </c>
      <c r="G5" s="84"/>
      <c r="H5" s="84"/>
      <c r="I5" s="49"/>
      <c r="J5" s="49"/>
      <c r="K5" s="49"/>
      <c r="L5" s="49"/>
      <c r="M5" s="49"/>
      <c r="N5" s="5" t="s">
        <v>21</v>
      </c>
      <c r="O5" s="75">
        <v>184834</v>
      </c>
    </row>
    <row r="6" spans="1:16" ht="18" customHeight="1" x14ac:dyDescent="0.25">
      <c r="C6" s="80"/>
      <c r="D6" s="79"/>
      <c r="E6" s="79"/>
      <c r="F6" s="85"/>
      <c r="G6" s="84"/>
      <c r="H6" s="84"/>
      <c r="I6" s="49"/>
      <c r="J6" s="49"/>
      <c r="K6" s="49"/>
      <c r="L6" s="49"/>
      <c r="M6" s="49"/>
      <c r="N6" s="5" t="s">
        <v>31</v>
      </c>
      <c r="O6" s="36">
        <f>IFERROR(_xlfn.XLOOKUP($O$5,DealsMaster[Deal No.],DealsMaster[Laytime Allowance (days)]),0)</f>
        <v>2</v>
      </c>
    </row>
    <row r="7" spans="1:16" ht="18" customHeight="1" x14ac:dyDescent="0.25">
      <c r="C7" s="81"/>
      <c r="D7" s="82"/>
      <c r="E7" s="82"/>
      <c r="F7" s="86"/>
      <c r="G7" s="87"/>
      <c r="H7" s="87"/>
      <c r="I7" s="49"/>
      <c r="J7" s="49"/>
      <c r="K7" s="49"/>
      <c r="L7" s="49"/>
      <c r="M7" s="49"/>
      <c r="N7" s="6" t="s">
        <v>32</v>
      </c>
      <c r="O7" s="74">
        <f>IFERROR(_xlfn.XLOOKUP($O$5,DealsMaster[Deal No.],DealsMaster[Demurrage Rate (USD/day)]),0)</f>
        <v>250</v>
      </c>
    </row>
    <row r="8" spans="1:16" ht="15.75" thickBot="1" x14ac:dyDescent="0.3">
      <c r="A8" s="48" t="s">
        <v>53</v>
      </c>
      <c r="B8" s="12" t="s">
        <v>54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6" ht="44.1" customHeight="1" x14ac:dyDescent="0.25">
      <c r="A9" s="50" t="s">
        <v>0</v>
      </c>
      <c r="B9" s="51" t="s">
        <v>1</v>
      </c>
      <c r="C9" s="51" t="s">
        <v>2</v>
      </c>
      <c r="D9" s="51" t="s">
        <v>19</v>
      </c>
      <c r="E9" s="51" t="s">
        <v>3</v>
      </c>
      <c r="F9" s="51" t="s">
        <v>4</v>
      </c>
      <c r="G9" s="51" t="s">
        <v>5</v>
      </c>
      <c r="H9" s="51" t="s">
        <v>6</v>
      </c>
      <c r="I9" s="51" t="s">
        <v>7</v>
      </c>
      <c r="J9" s="51" t="s">
        <v>8</v>
      </c>
      <c r="K9" s="51" t="s">
        <v>9</v>
      </c>
      <c r="L9" s="51" t="s">
        <v>10</v>
      </c>
      <c r="M9" s="51" t="s">
        <v>11</v>
      </c>
      <c r="N9" s="52" t="s">
        <v>25</v>
      </c>
      <c r="O9" s="52" t="s">
        <v>26</v>
      </c>
      <c r="P9" s="53" t="s">
        <v>13</v>
      </c>
    </row>
    <row r="10" spans="1:16" ht="21.95" customHeight="1" x14ac:dyDescent="0.25">
      <c r="A10" s="54">
        <f>$O$5</f>
        <v>184834</v>
      </c>
      <c r="B10" s="55" t="str">
        <f>IFERROR(_xlfn.XLOOKUP($O$5,DealsMaster[Deal No.],DealsMaster[Consignee]),"")</f>
        <v>Reliance Energy Zambia</v>
      </c>
      <c r="C10" s="64">
        <v>46011</v>
      </c>
      <c r="D10" s="70" t="str">
        <f>IFERROR(_xlfn.XLOOKUP($O$5,DealsMaster[Deal No.],DealsMaster[Loading Port]),"")</f>
        <v>Beira</v>
      </c>
      <c r="E10" s="65" t="s">
        <v>56</v>
      </c>
      <c r="F10" s="65" t="s">
        <v>57</v>
      </c>
      <c r="G10" s="66" t="s">
        <v>64</v>
      </c>
      <c r="H10" s="66" t="s">
        <v>65</v>
      </c>
      <c r="I10" s="71" t="str">
        <f>IFERROR(_xlfn.XLOOKUP($O$5,DealsMaster[Deal No.],DealsMaster[Destination]),"")</f>
        <v>Lusaka</v>
      </c>
      <c r="J10" s="71" t="str">
        <f>IFERROR(_xlfn.XLOOKUP($O$5,DealsMaster[Deal No.],DealsMaster[Product]),"")</f>
        <v>PMS</v>
      </c>
      <c r="K10" s="64">
        <v>46016</v>
      </c>
      <c r="L10" s="64">
        <v>46017</v>
      </c>
      <c r="M10" s="56">
        <f>IF(OR(K10="",L10=""),"",L10-K10)</f>
        <v>1</v>
      </c>
      <c r="N10" s="57">
        <f>$O$6</f>
        <v>2</v>
      </c>
      <c r="O10" s="58" t="str">
        <f>IF(AND(C10&lt;&gt;"",K10&lt;&gt;"",K10&lt;C10),"⚠ Arrival &lt; Loaded",IF(AND(K10&lt;&gt;"",L10&lt;&gt;"",L10&lt;K10),"⚠ Offloaded &lt; Arrival",IF(M10="","",IF(M10&gt;N10,"DEMURRAGE","OK"))))</f>
        <v>OK</v>
      </c>
      <c r="P10" s="59">
        <f>IF(M10="","",MAX(0,M10-N10)*$O$7)</f>
        <v>0</v>
      </c>
    </row>
    <row r="11" spans="1:16" ht="21.95" customHeight="1" x14ac:dyDescent="0.25">
      <c r="A11" s="54">
        <f t="shared" ref="A11:A31" si="0">$O$5</f>
        <v>184834</v>
      </c>
      <c r="B11" s="55" t="str">
        <f>IFERROR(_xlfn.XLOOKUP($O$5,DealsMaster[Deal No.],DealsMaster[Consignee]),"")</f>
        <v>Reliance Energy Zambia</v>
      </c>
      <c r="C11" s="64">
        <v>46011</v>
      </c>
      <c r="D11" s="70" t="str">
        <f>IFERROR(_xlfn.XLOOKUP($O$5,DealsMaster[Deal No.],DealsMaster[Loading Port]),"")</f>
        <v>Beira</v>
      </c>
      <c r="E11" s="65" t="s">
        <v>58</v>
      </c>
      <c r="F11" s="65" t="s">
        <v>59</v>
      </c>
      <c r="G11" s="66" t="s">
        <v>64</v>
      </c>
      <c r="H11" s="66" t="s">
        <v>66</v>
      </c>
      <c r="I11" s="71" t="str">
        <f>IFERROR(_xlfn.XLOOKUP($O$5,DealsMaster[Deal No.],DealsMaster[Destination]),"")</f>
        <v>Lusaka</v>
      </c>
      <c r="J11" s="71" t="str">
        <f>IFERROR(_xlfn.XLOOKUP($O$5,DealsMaster[Deal No.],DealsMaster[Product]),"")</f>
        <v>PMS</v>
      </c>
      <c r="K11" s="64">
        <v>46016</v>
      </c>
      <c r="L11" s="64">
        <v>46017</v>
      </c>
      <c r="M11" s="56">
        <f t="shared" ref="M11:M31" si="1">IF(OR(K11="",L11=""),"",L11-K11)</f>
        <v>1</v>
      </c>
      <c r="N11" s="57">
        <f t="shared" ref="N11:N31" si="2">$O$6</f>
        <v>2</v>
      </c>
      <c r="O11" s="58" t="str">
        <f t="shared" ref="O11:O31" si="3">IF(AND(C11&lt;&gt;"",K11&lt;&gt;"",K11&lt;C11),"⚠ Arrival &lt; Loaded",IF(AND(K11&lt;&gt;"",L11&lt;&gt;"",L11&lt;K11),"⚠ Offloaded &lt; Arrival",IF(M11="","",IF(M11&gt;N11,"DEMURRAGE","OK"))))</f>
        <v>OK</v>
      </c>
      <c r="P11" s="59">
        <f t="shared" ref="P11:P31" si="4">IF(M11="","",MAX(0,M11-N11)*$O$7)</f>
        <v>0</v>
      </c>
    </row>
    <row r="12" spans="1:16" ht="21.95" customHeight="1" x14ac:dyDescent="0.25">
      <c r="A12" s="54">
        <f t="shared" si="0"/>
        <v>184834</v>
      </c>
      <c r="B12" s="55" t="str">
        <f>IFERROR(_xlfn.XLOOKUP($O$5,DealsMaster[Deal No.],DealsMaster[Consignee]),"")</f>
        <v>Reliance Energy Zambia</v>
      </c>
      <c r="C12" s="64">
        <v>46011</v>
      </c>
      <c r="D12" s="70" t="str">
        <f>IFERROR(_xlfn.XLOOKUP($O$5,DealsMaster[Deal No.],DealsMaster[Loading Port]),"")</f>
        <v>Beira</v>
      </c>
      <c r="E12" s="65" t="s">
        <v>60</v>
      </c>
      <c r="F12" s="65" t="s">
        <v>61</v>
      </c>
      <c r="G12" s="66" t="s">
        <v>64</v>
      </c>
      <c r="H12" s="66" t="s">
        <v>67</v>
      </c>
      <c r="I12" s="71" t="str">
        <f>IFERROR(_xlfn.XLOOKUP($O$5,DealsMaster[Deal No.],DealsMaster[Destination]),"")</f>
        <v>Lusaka</v>
      </c>
      <c r="J12" s="71" t="str">
        <f>IFERROR(_xlfn.XLOOKUP($O$5,DealsMaster[Deal No.],DealsMaster[Product]),"")</f>
        <v>PMS</v>
      </c>
      <c r="K12" s="64">
        <v>46015</v>
      </c>
      <c r="L12" s="64">
        <v>46015</v>
      </c>
      <c r="M12" s="56">
        <f t="shared" si="1"/>
        <v>0</v>
      </c>
      <c r="N12" s="57">
        <f t="shared" si="2"/>
        <v>2</v>
      </c>
      <c r="O12" s="58" t="str">
        <f t="shared" si="3"/>
        <v>OK</v>
      </c>
      <c r="P12" s="59">
        <f t="shared" si="4"/>
        <v>0</v>
      </c>
    </row>
    <row r="13" spans="1:16" ht="21.95" customHeight="1" x14ac:dyDescent="0.25">
      <c r="A13" s="54">
        <f t="shared" si="0"/>
        <v>184834</v>
      </c>
      <c r="B13" s="55" t="str">
        <f>IFERROR(_xlfn.XLOOKUP($O$5,DealsMaster[Deal No.],DealsMaster[Consignee]),"")</f>
        <v>Reliance Energy Zambia</v>
      </c>
      <c r="C13" s="64">
        <v>46011</v>
      </c>
      <c r="D13" s="70" t="str">
        <f>IFERROR(_xlfn.XLOOKUP($O$5,DealsMaster[Deal No.],DealsMaster[Loading Port]),"")</f>
        <v>Beira</v>
      </c>
      <c r="E13" s="65" t="s">
        <v>62</v>
      </c>
      <c r="F13" s="65" t="s">
        <v>63</v>
      </c>
      <c r="G13" s="66" t="s">
        <v>64</v>
      </c>
      <c r="H13" s="66" t="s">
        <v>68</v>
      </c>
      <c r="I13" s="71" t="str">
        <f>IFERROR(_xlfn.XLOOKUP($O$5,DealsMaster[Deal No.],DealsMaster[Destination]),"")</f>
        <v>Lusaka</v>
      </c>
      <c r="J13" s="71" t="str">
        <f>IFERROR(_xlfn.XLOOKUP($O$5,DealsMaster[Deal No.],DealsMaster[Product]),"")</f>
        <v>PMS</v>
      </c>
      <c r="K13" s="64">
        <v>46015</v>
      </c>
      <c r="L13" s="64">
        <v>46015</v>
      </c>
      <c r="M13" s="56">
        <f t="shared" si="1"/>
        <v>0</v>
      </c>
      <c r="N13" s="57">
        <f t="shared" si="2"/>
        <v>2</v>
      </c>
      <c r="O13" s="58" t="str">
        <f t="shared" si="3"/>
        <v>OK</v>
      </c>
      <c r="P13" s="59">
        <f t="shared" si="4"/>
        <v>0</v>
      </c>
    </row>
    <row r="14" spans="1:16" ht="21.95" customHeight="1" x14ac:dyDescent="0.25">
      <c r="A14" s="54">
        <f t="shared" si="0"/>
        <v>184834</v>
      </c>
      <c r="B14" s="55" t="str">
        <f>IFERROR(_xlfn.XLOOKUP($O$5,DealsMaster[Deal No.],DealsMaster[Consignee]),"")</f>
        <v>Reliance Energy Zambia</v>
      </c>
      <c r="C14" s="64"/>
      <c r="D14" s="70" t="str">
        <f>IFERROR(_xlfn.XLOOKUP($O$5,DealsMaster[Deal No.],DealsMaster[Loading Port]),"")</f>
        <v>Beira</v>
      </c>
      <c r="E14" s="65"/>
      <c r="F14" s="65"/>
      <c r="G14" s="66"/>
      <c r="H14" s="66"/>
      <c r="I14" s="71" t="str">
        <f>IFERROR(_xlfn.XLOOKUP($O$5,DealsMaster[Deal No.],DealsMaster[Destination]),"")</f>
        <v>Lusaka</v>
      </c>
      <c r="J14" s="71" t="str">
        <f>IFERROR(_xlfn.XLOOKUP($O$5,DealsMaster[Deal No.],DealsMaster[Product]),"")</f>
        <v>PMS</v>
      </c>
      <c r="K14" s="64"/>
      <c r="L14" s="64"/>
      <c r="M14" s="56" t="str">
        <f t="shared" si="1"/>
        <v/>
      </c>
      <c r="N14" s="57">
        <f t="shared" si="2"/>
        <v>2</v>
      </c>
      <c r="O14" s="58" t="str">
        <f t="shared" si="3"/>
        <v/>
      </c>
      <c r="P14" s="59" t="str">
        <f t="shared" si="4"/>
        <v/>
      </c>
    </row>
    <row r="15" spans="1:16" ht="21.95" customHeight="1" x14ac:dyDescent="0.25">
      <c r="A15" s="54">
        <f t="shared" si="0"/>
        <v>184834</v>
      </c>
      <c r="B15" s="55" t="str">
        <f>IFERROR(_xlfn.XLOOKUP($O$5,DealsMaster[Deal No.],DealsMaster[Consignee]),"")</f>
        <v>Reliance Energy Zambia</v>
      </c>
      <c r="C15" s="64"/>
      <c r="D15" s="70" t="str">
        <f>IFERROR(_xlfn.XLOOKUP($O$5,DealsMaster[Deal No.],DealsMaster[Loading Port]),"")</f>
        <v>Beira</v>
      </c>
      <c r="E15" s="65"/>
      <c r="F15" s="65"/>
      <c r="G15" s="66"/>
      <c r="H15" s="66"/>
      <c r="I15" s="71" t="str">
        <f>IFERROR(_xlfn.XLOOKUP($O$5,DealsMaster[Deal No.],DealsMaster[Destination]),"")</f>
        <v>Lusaka</v>
      </c>
      <c r="J15" s="71" t="str">
        <f>IFERROR(_xlfn.XLOOKUP($O$5,DealsMaster[Deal No.],DealsMaster[Product]),"")</f>
        <v>PMS</v>
      </c>
      <c r="K15" s="64"/>
      <c r="L15" s="64"/>
      <c r="M15" s="56" t="str">
        <f t="shared" si="1"/>
        <v/>
      </c>
      <c r="N15" s="57">
        <f t="shared" si="2"/>
        <v>2</v>
      </c>
      <c r="O15" s="58" t="str">
        <f t="shared" si="3"/>
        <v/>
      </c>
      <c r="P15" s="59" t="str">
        <f t="shared" si="4"/>
        <v/>
      </c>
    </row>
    <row r="16" spans="1:16" ht="21.95" customHeight="1" x14ac:dyDescent="0.25">
      <c r="A16" s="54">
        <f t="shared" si="0"/>
        <v>184834</v>
      </c>
      <c r="B16" s="55" t="str">
        <f>IFERROR(_xlfn.XLOOKUP($O$5,DealsMaster[Deal No.],DealsMaster[Consignee]),"")</f>
        <v>Reliance Energy Zambia</v>
      </c>
      <c r="C16" s="64"/>
      <c r="D16" s="70" t="str">
        <f>IFERROR(_xlfn.XLOOKUP($O$5,DealsMaster[Deal No.],DealsMaster[Loading Port]),"")</f>
        <v>Beira</v>
      </c>
      <c r="E16" s="65"/>
      <c r="F16" s="65"/>
      <c r="G16" s="66"/>
      <c r="H16" s="66"/>
      <c r="I16" s="71" t="str">
        <f>IFERROR(_xlfn.XLOOKUP($O$5,DealsMaster[Deal No.],DealsMaster[Destination]),"")</f>
        <v>Lusaka</v>
      </c>
      <c r="J16" s="71" t="str">
        <f>IFERROR(_xlfn.XLOOKUP($O$5,DealsMaster[Deal No.],DealsMaster[Product]),"")</f>
        <v>PMS</v>
      </c>
      <c r="K16" s="64"/>
      <c r="L16" s="64"/>
      <c r="M16" s="56" t="str">
        <f t="shared" si="1"/>
        <v/>
      </c>
      <c r="N16" s="57">
        <f t="shared" si="2"/>
        <v>2</v>
      </c>
      <c r="O16" s="58" t="str">
        <f t="shared" si="3"/>
        <v/>
      </c>
      <c r="P16" s="59" t="str">
        <f t="shared" si="4"/>
        <v/>
      </c>
    </row>
    <row r="17" spans="1:16" ht="21.95" customHeight="1" x14ac:dyDescent="0.25">
      <c r="A17" s="54">
        <f t="shared" si="0"/>
        <v>184834</v>
      </c>
      <c r="B17" s="55" t="str">
        <f>IFERROR(_xlfn.XLOOKUP($O$5,DealsMaster[Deal No.],DealsMaster[Consignee]),"")</f>
        <v>Reliance Energy Zambia</v>
      </c>
      <c r="C17" s="64"/>
      <c r="D17" s="70" t="str">
        <f>IFERROR(_xlfn.XLOOKUP($O$5,DealsMaster[Deal No.],DealsMaster[Loading Port]),"")</f>
        <v>Beira</v>
      </c>
      <c r="E17" s="65"/>
      <c r="F17" s="65"/>
      <c r="G17" s="66"/>
      <c r="H17" s="66"/>
      <c r="I17" s="71" t="str">
        <f>IFERROR(_xlfn.XLOOKUP($O$5,DealsMaster[Deal No.],DealsMaster[Destination]),"")</f>
        <v>Lusaka</v>
      </c>
      <c r="J17" s="71" t="str">
        <f>IFERROR(_xlfn.XLOOKUP($O$5,DealsMaster[Deal No.],DealsMaster[Product]),"")</f>
        <v>PMS</v>
      </c>
      <c r="K17" s="64"/>
      <c r="L17" s="64"/>
      <c r="M17" s="56" t="str">
        <f t="shared" si="1"/>
        <v/>
      </c>
      <c r="N17" s="57">
        <f t="shared" si="2"/>
        <v>2</v>
      </c>
      <c r="O17" s="58" t="str">
        <f t="shared" si="3"/>
        <v/>
      </c>
      <c r="P17" s="59" t="str">
        <f t="shared" si="4"/>
        <v/>
      </c>
    </row>
    <row r="18" spans="1:16" ht="21.95" customHeight="1" x14ac:dyDescent="0.25">
      <c r="A18" s="54">
        <f t="shared" si="0"/>
        <v>184834</v>
      </c>
      <c r="B18" s="55" t="str">
        <f>IFERROR(_xlfn.XLOOKUP($O$5,DealsMaster[Deal No.],DealsMaster[Consignee]),"")</f>
        <v>Reliance Energy Zambia</v>
      </c>
      <c r="C18" s="64"/>
      <c r="D18" s="70" t="str">
        <f>IFERROR(_xlfn.XLOOKUP($O$5,DealsMaster[Deal No.],DealsMaster[Loading Port]),"")</f>
        <v>Beira</v>
      </c>
      <c r="E18" s="65"/>
      <c r="F18" s="65"/>
      <c r="G18" s="66"/>
      <c r="H18" s="66"/>
      <c r="I18" s="71" t="str">
        <f>IFERROR(_xlfn.XLOOKUP($O$5,DealsMaster[Deal No.],DealsMaster[Destination]),"")</f>
        <v>Lusaka</v>
      </c>
      <c r="J18" s="71" t="str">
        <f>IFERROR(_xlfn.XLOOKUP($O$5,DealsMaster[Deal No.],DealsMaster[Product]),"")</f>
        <v>PMS</v>
      </c>
      <c r="K18" s="64"/>
      <c r="L18" s="64"/>
      <c r="M18" s="56" t="str">
        <f t="shared" si="1"/>
        <v/>
      </c>
      <c r="N18" s="57">
        <f t="shared" si="2"/>
        <v>2</v>
      </c>
      <c r="O18" s="58" t="str">
        <f t="shared" si="3"/>
        <v/>
      </c>
      <c r="P18" s="59" t="str">
        <f t="shared" si="4"/>
        <v/>
      </c>
    </row>
    <row r="19" spans="1:16" ht="21.95" customHeight="1" x14ac:dyDescent="0.25">
      <c r="A19" s="54">
        <f t="shared" si="0"/>
        <v>184834</v>
      </c>
      <c r="B19" s="55" t="str">
        <f>IFERROR(_xlfn.XLOOKUP($O$5,DealsMaster[Deal No.],DealsMaster[Consignee]),"")</f>
        <v>Reliance Energy Zambia</v>
      </c>
      <c r="C19" s="64"/>
      <c r="D19" s="70" t="str">
        <f>IFERROR(_xlfn.XLOOKUP($O$5,DealsMaster[Deal No.],DealsMaster[Loading Port]),"")</f>
        <v>Beira</v>
      </c>
      <c r="E19" s="65"/>
      <c r="F19" s="65"/>
      <c r="G19" s="66"/>
      <c r="H19" s="66"/>
      <c r="I19" s="71" t="str">
        <f>IFERROR(_xlfn.XLOOKUP($O$5,DealsMaster[Deal No.],DealsMaster[Destination]),"")</f>
        <v>Lusaka</v>
      </c>
      <c r="J19" s="71" t="str">
        <f>IFERROR(_xlfn.XLOOKUP($O$5,DealsMaster[Deal No.],DealsMaster[Product]),"")</f>
        <v>PMS</v>
      </c>
      <c r="K19" s="64"/>
      <c r="L19" s="64"/>
      <c r="M19" s="56" t="str">
        <f t="shared" si="1"/>
        <v/>
      </c>
      <c r="N19" s="57">
        <f t="shared" si="2"/>
        <v>2</v>
      </c>
      <c r="O19" s="58" t="str">
        <f t="shared" si="3"/>
        <v/>
      </c>
      <c r="P19" s="59" t="str">
        <f t="shared" si="4"/>
        <v/>
      </c>
    </row>
    <row r="20" spans="1:16" ht="21.95" customHeight="1" x14ac:dyDescent="0.25">
      <c r="A20" s="54">
        <f t="shared" si="0"/>
        <v>184834</v>
      </c>
      <c r="B20" s="55" t="str">
        <f>IFERROR(_xlfn.XLOOKUP($O$5,DealsMaster[Deal No.],DealsMaster[Consignee]),"")</f>
        <v>Reliance Energy Zambia</v>
      </c>
      <c r="C20" s="64"/>
      <c r="D20" s="70" t="str">
        <f>IFERROR(_xlfn.XLOOKUP($O$5,DealsMaster[Deal No.],DealsMaster[Loading Port]),"")</f>
        <v>Beira</v>
      </c>
      <c r="E20" s="65"/>
      <c r="F20" s="65"/>
      <c r="G20" s="66"/>
      <c r="H20" s="66"/>
      <c r="I20" s="71" t="str">
        <f>IFERROR(_xlfn.XLOOKUP($O$5,DealsMaster[Deal No.],DealsMaster[Destination]),"")</f>
        <v>Lusaka</v>
      </c>
      <c r="J20" s="71" t="str">
        <f>IFERROR(_xlfn.XLOOKUP($O$5,DealsMaster[Deal No.],DealsMaster[Product]),"")</f>
        <v>PMS</v>
      </c>
      <c r="K20" s="64"/>
      <c r="L20" s="64"/>
      <c r="M20" s="56" t="str">
        <f t="shared" si="1"/>
        <v/>
      </c>
      <c r="N20" s="57">
        <f t="shared" si="2"/>
        <v>2</v>
      </c>
      <c r="O20" s="58" t="str">
        <f t="shared" si="3"/>
        <v/>
      </c>
      <c r="P20" s="59" t="str">
        <f t="shared" si="4"/>
        <v/>
      </c>
    </row>
    <row r="21" spans="1:16" ht="21.95" customHeight="1" x14ac:dyDescent="0.25">
      <c r="A21" s="54">
        <f t="shared" si="0"/>
        <v>184834</v>
      </c>
      <c r="B21" s="55" t="str">
        <f>IFERROR(_xlfn.XLOOKUP($O$5,DealsMaster[Deal No.],DealsMaster[Consignee]),"")</f>
        <v>Reliance Energy Zambia</v>
      </c>
      <c r="C21" s="64"/>
      <c r="D21" s="70" t="str">
        <f>IFERROR(_xlfn.XLOOKUP($O$5,DealsMaster[Deal No.],DealsMaster[Loading Port]),"")</f>
        <v>Beira</v>
      </c>
      <c r="E21" s="65"/>
      <c r="F21" s="65"/>
      <c r="G21" s="66"/>
      <c r="H21" s="66"/>
      <c r="I21" s="71" t="str">
        <f>IFERROR(_xlfn.XLOOKUP($O$5,DealsMaster[Deal No.],DealsMaster[Destination]),"")</f>
        <v>Lusaka</v>
      </c>
      <c r="J21" s="71" t="str">
        <f>IFERROR(_xlfn.XLOOKUP($O$5,DealsMaster[Deal No.],DealsMaster[Product]),"")</f>
        <v>PMS</v>
      </c>
      <c r="K21" s="64"/>
      <c r="L21" s="64"/>
      <c r="M21" s="56" t="str">
        <f t="shared" si="1"/>
        <v/>
      </c>
      <c r="N21" s="57">
        <f t="shared" si="2"/>
        <v>2</v>
      </c>
      <c r="O21" s="58" t="str">
        <f t="shared" si="3"/>
        <v/>
      </c>
      <c r="P21" s="59" t="str">
        <f t="shared" si="4"/>
        <v/>
      </c>
    </row>
    <row r="22" spans="1:16" ht="21.95" customHeight="1" x14ac:dyDescent="0.25">
      <c r="A22" s="54">
        <f t="shared" si="0"/>
        <v>184834</v>
      </c>
      <c r="B22" s="55" t="str">
        <f>IFERROR(_xlfn.XLOOKUP($O$5,DealsMaster[Deal No.],DealsMaster[Consignee]),"")</f>
        <v>Reliance Energy Zambia</v>
      </c>
      <c r="C22" s="64"/>
      <c r="D22" s="70" t="str">
        <f>IFERROR(_xlfn.XLOOKUP($O$5,DealsMaster[Deal No.],DealsMaster[Loading Port]),"")</f>
        <v>Beira</v>
      </c>
      <c r="E22" s="65"/>
      <c r="F22" s="65"/>
      <c r="G22" s="66"/>
      <c r="H22" s="66"/>
      <c r="I22" s="71" t="str">
        <f>IFERROR(_xlfn.XLOOKUP($O$5,DealsMaster[Deal No.],DealsMaster[Destination]),"")</f>
        <v>Lusaka</v>
      </c>
      <c r="J22" s="71" t="str">
        <f>IFERROR(_xlfn.XLOOKUP($O$5,DealsMaster[Deal No.],DealsMaster[Product]),"")</f>
        <v>PMS</v>
      </c>
      <c r="K22" s="64"/>
      <c r="L22" s="64"/>
      <c r="M22" s="56" t="str">
        <f t="shared" si="1"/>
        <v/>
      </c>
      <c r="N22" s="57">
        <f t="shared" si="2"/>
        <v>2</v>
      </c>
      <c r="O22" s="58" t="str">
        <f t="shared" si="3"/>
        <v/>
      </c>
      <c r="P22" s="59" t="str">
        <f t="shared" si="4"/>
        <v/>
      </c>
    </row>
    <row r="23" spans="1:16" ht="21.95" customHeight="1" x14ac:dyDescent="0.25">
      <c r="A23" s="54">
        <f t="shared" si="0"/>
        <v>184834</v>
      </c>
      <c r="B23" s="55" t="str">
        <f>IFERROR(_xlfn.XLOOKUP($O$5,DealsMaster[Deal No.],DealsMaster[Consignee]),"")</f>
        <v>Reliance Energy Zambia</v>
      </c>
      <c r="C23" s="64"/>
      <c r="D23" s="70" t="str">
        <f>IFERROR(_xlfn.XLOOKUP($O$5,DealsMaster[Deal No.],DealsMaster[Loading Port]),"")</f>
        <v>Beira</v>
      </c>
      <c r="E23" s="65"/>
      <c r="F23" s="65"/>
      <c r="G23" s="66"/>
      <c r="H23" s="66"/>
      <c r="I23" s="71" t="str">
        <f>IFERROR(_xlfn.XLOOKUP($O$5,DealsMaster[Deal No.],DealsMaster[Destination]),"")</f>
        <v>Lusaka</v>
      </c>
      <c r="J23" s="71" t="str">
        <f>IFERROR(_xlfn.XLOOKUP($O$5,DealsMaster[Deal No.],DealsMaster[Product]),"")</f>
        <v>PMS</v>
      </c>
      <c r="K23" s="64"/>
      <c r="L23" s="64"/>
      <c r="M23" s="56" t="str">
        <f t="shared" si="1"/>
        <v/>
      </c>
      <c r="N23" s="57">
        <f t="shared" si="2"/>
        <v>2</v>
      </c>
      <c r="O23" s="58" t="str">
        <f t="shared" si="3"/>
        <v/>
      </c>
      <c r="P23" s="59" t="str">
        <f t="shared" si="4"/>
        <v/>
      </c>
    </row>
    <row r="24" spans="1:16" ht="21.95" customHeight="1" x14ac:dyDescent="0.25">
      <c r="A24" s="54">
        <f t="shared" si="0"/>
        <v>184834</v>
      </c>
      <c r="B24" s="55" t="str">
        <f>IFERROR(_xlfn.XLOOKUP($O$5,DealsMaster[Deal No.],DealsMaster[Consignee]),"")</f>
        <v>Reliance Energy Zambia</v>
      </c>
      <c r="C24" s="64"/>
      <c r="D24" s="70" t="str">
        <f>IFERROR(_xlfn.XLOOKUP($O$5,DealsMaster[Deal No.],DealsMaster[Loading Port]),"")</f>
        <v>Beira</v>
      </c>
      <c r="E24" s="65"/>
      <c r="F24" s="65"/>
      <c r="G24" s="66"/>
      <c r="H24" s="66"/>
      <c r="I24" s="71" t="str">
        <f>IFERROR(_xlfn.XLOOKUP($O$5,DealsMaster[Deal No.],DealsMaster[Destination]),"")</f>
        <v>Lusaka</v>
      </c>
      <c r="J24" s="71" t="str">
        <f>IFERROR(_xlfn.XLOOKUP($O$5,DealsMaster[Deal No.],DealsMaster[Product]),"")</f>
        <v>PMS</v>
      </c>
      <c r="K24" s="64"/>
      <c r="L24" s="64"/>
      <c r="M24" s="56" t="str">
        <f t="shared" si="1"/>
        <v/>
      </c>
      <c r="N24" s="57">
        <f t="shared" si="2"/>
        <v>2</v>
      </c>
      <c r="O24" s="58" t="str">
        <f t="shared" si="3"/>
        <v/>
      </c>
      <c r="P24" s="59" t="str">
        <f t="shared" si="4"/>
        <v/>
      </c>
    </row>
    <row r="25" spans="1:16" ht="21.95" customHeight="1" x14ac:dyDescent="0.25">
      <c r="A25" s="54">
        <f t="shared" si="0"/>
        <v>184834</v>
      </c>
      <c r="B25" s="55" t="str">
        <f>IFERROR(_xlfn.XLOOKUP($O$5,DealsMaster[Deal No.],DealsMaster[Consignee]),"")</f>
        <v>Reliance Energy Zambia</v>
      </c>
      <c r="C25" s="64"/>
      <c r="D25" s="70" t="str">
        <f>IFERROR(_xlfn.XLOOKUP($O$5,DealsMaster[Deal No.],DealsMaster[Loading Port]),"")</f>
        <v>Beira</v>
      </c>
      <c r="E25" s="65"/>
      <c r="F25" s="65"/>
      <c r="G25" s="66"/>
      <c r="H25" s="66"/>
      <c r="I25" s="71" t="str">
        <f>IFERROR(_xlfn.XLOOKUP($O$5,DealsMaster[Deal No.],DealsMaster[Destination]),"")</f>
        <v>Lusaka</v>
      </c>
      <c r="J25" s="71" t="str">
        <f>IFERROR(_xlfn.XLOOKUP($O$5,DealsMaster[Deal No.],DealsMaster[Product]),"")</f>
        <v>PMS</v>
      </c>
      <c r="K25" s="64"/>
      <c r="L25" s="64"/>
      <c r="M25" s="56" t="str">
        <f t="shared" si="1"/>
        <v/>
      </c>
      <c r="N25" s="57">
        <f t="shared" si="2"/>
        <v>2</v>
      </c>
      <c r="O25" s="58" t="str">
        <f t="shared" si="3"/>
        <v/>
      </c>
      <c r="P25" s="59" t="str">
        <f t="shared" si="4"/>
        <v/>
      </c>
    </row>
    <row r="26" spans="1:16" ht="21.95" customHeight="1" x14ac:dyDescent="0.25">
      <c r="A26" s="54">
        <f t="shared" si="0"/>
        <v>184834</v>
      </c>
      <c r="B26" s="55" t="str">
        <f>IFERROR(_xlfn.XLOOKUP($O$5,DealsMaster[Deal No.],DealsMaster[Consignee]),"")</f>
        <v>Reliance Energy Zambia</v>
      </c>
      <c r="C26" s="64"/>
      <c r="D26" s="70" t="str">
        <f>IFERROR(_xlfn.XLOOKUP($O$5,DealsMaster[Deal No.],DealsMaster[Loading Port]),"")</f>
        <v>Beira</v>
      </c>
      <c r="E26" s="65"/>
      <c r="F26" s="65"/>
      <c r="G26" s="66"/>
      <c r="H26" s="66"/>
      <c r="I26" s="71" t="str">
        <f>IFERROR(_xlfn.XLOOKUP($O$5,DealsMaster[Deal No.],DealsMaster[Destination]),"")</f>
        <v>Lusaka</v>
      </c>
      <c r="J26" s="71" t="str">
        <f>IFERROR(_xlfn.XLOOKUP($O$5,DealsMaster[Deal No.],DealsMaster[Product]),"")</f>
        <v>PMS</v>
      </c>
      <c r="K26" s="64"/>
      <c r="L26" s="64"/>
      <c r="M26" s="56" t="str">
        <f t="shared" si="1"/>
        <v/>
      </c>
      <c r="N26" s="57">
        <f t="shared" si="2"/>
        <v>2</v>
      </c>
      <c r="O26" s="58" t="str">
        <f t="shared" si="3"/>
        <v/>
      </c>
      <c r="P26" s="59" t="str">
        <f t="shared" si="4"/>
        <v/>
      </c>
    </row>
    <row r="27" spans="1:16" ht="21.95" customHeight="1" x14ac:dyDescent="0.25">
      <c r="A27" s="54">
        <f t="shared" si="0"/>
        <v>184834</v>
      </c>
      <c r="B27" s="55" t="str">
        <f>IFERROR(_xlfn.XLOOKUP($O$5,DealsMaster[Deal No.],DealsMaster[Consignee]),"")</f>
        <v>Reliance Energy Zambia</v>
      </c>
      <c r="C27" s="64"/>
      <c r="D27" s="70" t="str">
        <f>IFERROR(_xlfn.XLOOKUP($O$5,DealsMaster[Deal No.],DealsMaster[Loading Port]),"")</f>
        <v>Beira</v>
      </c>
      <c r="E27" s="65"/>
      <c r="F27" s="65"/>
      <c r="G27" s="66"/>
      <c r="H27" s="66"/>
      <c r="I27" s="71" t="str">
        <f>IFERROR(_xlfn.XLOOKUP($O$5,DealsMaster[Deal No.],DealsMaster[Destination]),"")</f>
        <v>Lusaka</v>
      </c>
      <c r="J27" s="71" t="str">
        <f>IFERROR(_xlfn.XLOOKUP($O$5,DealsMaster[Deal No.],DealsMaster[Product]),"")</f>
        <v>PMS</v>
      </c>
      <c r="K27" s="64"/>
      <c r="L27" s="64"/>
      <c r="M27" s="56" t="str">
        <f t="shared" si="1"/>
        <v/>
      </c>
      <c r="N27" s="57">
        <f t="shared" si="2"/>
        <v>2</v>
      </c>
      <c r="O27" s="58" t="str">
        <f t="shared" si="3"/>
        <v/>
      </c>
      <c r="P27" s="59" t="str">
        <f t="shared" si="4"/>
        <v/>
      </c>
    </row>
    <row r="28" spans="1:16" ht="21.95" customHeight="1" x14ac:dyDescent="0.25">
      <c r="A28" s="54">
        <f t="shared" si="0"/>
        <v>184834</v>
      </c>
      <c r="B28" s="55" t="str">
        <f>IFERROR(_xlfn.XLOOKUP($O$5,DealsMaster[Deal No.],DealsMaster[Consignee]),"")</f>
        <v>Reliance Energy Zambia</v>
      </c>
      <c r="C28" s="64"/>
      <c r="D28" s="70" t="str">
        <f>IFERROR(_xlfn.XLOOKUP($O$5,DealsMaster[Deal No.],DealsMaster[Loading Port]),"")</f>
        <v>Beira</v>
      </c>
      <c r="E28" s="65"/>
      <c r="F28" s="65"/>
      <c r="G28" s="66"/>
      <c r="H28" s="66"/>
      <c r="I28" s="71" t="str">
        <f>IFERROR(_xlfn.XLOOKUP($O$5,DealsMaster[Deal No.],DealsMaster[Destination]),"")</f>
        <v>Lusaka</v>
      </c>
      <c r="J28" s="71" t="str">
        <f>IFERROR(_xlfn.XLOOKUP($O$5,DealsMaster[Deal No.],DealsMaster[Product]),"")</f>
        <v>PMS</v>
      </c>
      <c r="K28" s="64"/>
      <c r="L28" s="64"/>
      <c r="M28" s="56" t="str">
        <f t="shared" si="1"/>
        <v/>
      </c>
      <c r="N28" s="57">
        <f t="shared" si="2"/>
        <v>2</v>
      </c>
      <c r="O28" s="58" t="str">
        <f t="shared" si="3"/>
        <v/>
      </c>
      <c r="P28" s="59" t="str">
        <f t="shared" si="4"/>
        <v/>
      </c>
    </row>
    <row r="29" spans="1:16" ht="21.95" customHeight="1" x14ac:dyDescent="0.25">
      <c r="A29" s="54">
        <f t="shared" si="0"/>
        <v>184834</v>
      </c>
      <c r="B29" s="55" t="str">
        <f>IFERROR(_xlfn.XLOOKUP($O$5,DealsMaster[Deal No.],DealsMaster[Consignee]),"")</f>
        <v>Reliance Energy Zambia</v>
      </c>
      <c r="C29" s="64"/>
      <c r="D29" s="70" t="str">
        <f>IFERROR(_xlfn.XLOOKUP($O$5,DealsMaster[Deal No.],DealsMaster[Loading Port]),"")</f>
        <v>Beira</v>
      </c>
      <c r="E29" s="65"/>
      <c r="F29" s="65"/>
      <c r="G29" s="66"/>
      <c r="H29" s="66"/>
      <c r="I29" s="71" t="str">
        <f>IFERROR(_xlfn.XLOOKUP($O$5,DealsMaster[Deal No.],DealsMaster[Destination]),"")</f>
        <v>Lusaka</v>
      </c>
      <c r="J29" s="71" t="str">
        <f>IFERROR(_xlfn.XLOOKUP($O$5,DealsMaster[Deal No.],DealsMaster[Product]),"")</f>
        <v>PMS</v>
      </c>
      <c r="K29" s="64"/>
      <c r="L29" s="64"/>
      <c r="M29" s="56" t="str">
        <f t="shared" si="1"/>
        <v/>
      </c>
      <c r="N29" s="57">
        <f t="shared" si="2"/>
        <v>2</v>
      </c>
      <c r="O29" s="58" t="str">
        <f t="shared" si="3"/>
        <v/>
      </c>
      <c r="P29" s="59" t="str">
        <f t="shared" si="4"/>
        <v/>
      </c>
    </row>
    <row r="30" spans="1:16" ht="21.95" customHeight="1" x14ac:dyDescent="0.25">
      <c r="A30" s="54">
        <f t="shared" si="0"/>
        <v>184834</v>
      </c>
      <c r="B30" s="55" t="str">
        <f>IFERROR(_xlfn.XLOOKUP($O$5,DealsMaster[Deal No.],DealsMaster[Consignee]),"")</f>
        <v>Reliance Energy Zambia</v>
      </c>
      <c r="C30" s="64"/>
      <c r="D30" s="70" t="str">
        <f>IFERROR(_xlfn.XLOOKUP($O$5,DealsMaster[Deal No.],DealsMaster[Loading Port]),"")</f>
        <v>Beira</v>
      </c>
      <c r="E30" s="65"/>
      <c r="F30" s="65"/>
      <c r="G30" s="66"/>
      <c r="H30" s="66"/>
      <c r="I30" s="71" t="str">
        <f>IFERROR(_xlfn.XLOOKUP($O$5,DealsMaster[Deal No.],DealsMaster[Destination]),"")</f>
        <v>Lusaka</v>
      </c>
      <c r="J30" s="71" t="str">
        <f>IFERROR(_xlfn.XLOOKUP($O$5,DealsMaster[Deal No.],DealsMaster[Product]),"")</f>
        <v>PMS</v>
      </c>
      <c r="K30" s="64"/>
      <c r="L30" s="64"/>
      <c r="M30" s="56" t="str">
        <f t="shared" si="1"/>
        <v/>
      </c>
      <c r="N30" s="57">
        <f t="shared" si="2"/>
        <v>2</v>
      </c>
      <c r="O30" s="58" t="str">
        <f t="shared" si="3"/>
        <v/>
      </c>
      <c r="P30" s="59" t="str">
        <f t="shared" si="4"/>
        <v/>
      </c>
    </row>
    <row r="31" spans="1:16" ht="21.95" customHeight="1" x14ac:dyDescent="0.25">
      <c r="A31" s="54">
        <f t="shared" si="0"/>
        <v>184834</v>
      </c>
      <c r="B31" s="55" t="str">
        <f>IFERROR(_xlfn.XLOOKUP($O$5,DealsMaster[Deal No.],DealsMaster[Consignee]),"")</f>
        <v>Reliance Energy Zambia</v>
      </c>
      <c r="C31" s="64"/>
      <c r="D31" s="70" t="str">
        <f>IFERROR(_xlfn.XLOOKUP($O$5,DealsMaster[Deal No.],DealsMaster[Loading Port]),"")</f>
        <v>Beira</v>
      </c>
      <c r="E31" s="65"/>
      <c r="F31" s="65"/>
      <c r="G31" s="66"/>
      <c r="H31" s="66"/>
      <c r="I31" s="71" t="str">
        <f>IFERROR(_xlfn.XLOOKUP($O$5,DealsMaster[Deal No.],DealsMaster[Destination]),"")</f>
        <v>Lusaka</v>
      </c>
      <c r="J31" s="71" t="str">
        <f>IFERROR(_xlfn.XLOOKUP($O$5,DealsMaster[Deal No.],DealsMaster[Product]),"")</f>
        <v>PMS</v>
      </c>
      <c r="K31" s="64"/>
      <c r="L31" s="64"/>
      <c r="M31" s="56" t="str">
        <f t="shared" si="1"/>
        <v/>
      </c>
      <c r="N31" s="57">
        <f t="shared" si="2"/>
        <v>2</v>
      </c>
      <c r="O31" s="58" t="str">
        <f t="shared" si="3"/>
        <v/>
      </c>
      <c r="P31" s="59" t="str">
        <f t="shared" si="4"/>
        <v/>
      </c>
    </row>
    <row r="32" spans="1:16" ht="15.75" thickBot="1" x14ac:dyDescent="0.3">
      <c r="A32" s="60" t="s">
        <v>14</v>
      </c>
      <c r="B32" s="61"/>
      <c r="C32" s="62"/>
      <c r="D32" s="62"/>
      <c r="E32" s="62"/>
      <c r="F32" s="62"/>
      <c r="G32" s="61"/>
      <c r="H32" s="61"/>
      <c r="I32" s="61"/>
      <c r="J32" s="61"/>
      <c r="K32" s="62"/>
      <c r="L32" s="62"/>
      <c r="M32" s="62"/>
      <c r="N32" s="62"/>
      <c r="O32" s="62"/>
      <c r="P32" s="63">
        <f>SUBTOTAL(109,P10:P31)</f>
        <v>0</v>
      </c>
    </row>
    <row r="33" spans="14:14" x14ac:dyDescent="0.25">
      <c r="N33" s="1"/>
    </row>
    <row r="34" spans="14:14" x14ac:dyDescent="0.25">
      <c r="N34" s="1"/>
    </row>
    <row r="35" spans="14:14" x14ac:dyDescent="0.25">
      <c r="N35" s="1"/>
    </row>
    <row r="36" spans="14:14" x14ac:dyDescent="0.25">
      <c r="N36" s="1"/>
    </row>
    <row r="37" spans="14:14" x14ac:dyDescent="0.25">
      <c r="N37" s="1"/>
    </row>
    <row r="38" spans="14:14" x14ac:dyDescent="0.25">
      <c r="N38" s="1"/>
    </row>
    <row r="39" spans="14:14" x14ac:dyDescent="0.25">
      <c r="N39" s="1"/>
    </row>
    <row r="40" spans="14:14" x14ac:dyDescent="0.25">
      <c r="N40" s="1"/>
    </row>
    <row r="41" spans="14:14" x14ac:dyDescent="0.25">
      <c r="N41" s="1"/>
    </row>
    <row r="42" spans="14:14" x14ac:dyDescent="0.25">
      <c r="N42" s="1"/>
    </row>
    <row r="43" spans="14:14" x14ac:dyDescent="0.25">
      <c r="N43" s="1"/>
    </row>
    <row r="44" spans="14:14" x14ac:dyDescent="0.25">
      <c r="N44" s="1"/>
    </row>
    <row r="45" spans="14:14" x14ac:dyDescent="0.25">
      <c r="N45" s="1"/>
    </row>
    <row r="46" spans="14:14" x14ac:dyDescent="0.25">
      <c r="N46" s="1"/>
    </row>
    <row r="47" spans="14:14" x14ac:dyDescent="0.25">
      <c r="N47" s="1"/>
    </row>
    <row r="48" spans="14:14" x14ac:dyDescent="0.25">
      <c r="N48" s="1"/>
    </row>
    <row r="49" spans="14:14" x14ac:dyDescent="0.25">
      <c r="N49" s="1"/>
    </row>
    <row r="50" spans="14:14" x14ac:dyDescent="0.25">
      <c r="N50" s="1"/>
    </row>
    <row r="51" spans="14:14" x14ac:dyDescent="0.25">
      <c r="N51" s="1"/>
    </row>
    <row r="52" spans="14:14" x14ac:dyDescent="0.25">
      <c r="N52" s="1"/>
    </row>
    <row r="53" spans="14:14" x14ac:dyDescent="0.25">
      <c r="N53" s="1"/>
    </row>
    <row r="54" spans="14:14" x14ac:dyDescent="0.25">
      <c r="N54" s="1"/>
    </row>
    <row r="55" spans="14:14" x14ac:dyDescent="0.25">
      <c r="N55" s="1"/>
    </row>
  </sheetData>
  <sheetProtection autoFilter="0"/>
  <mergeCells count="9">
    <mergeCell ref="C5:E7"/>
    <mergeCell ref="F5:H7"/>
    <mergeCell ref="A1:B1"/>
    <mergeCell ref="C1:P1"/>
    <mergeCell ref="A2:P2"/>
    <mergeCell ref="C3:O3"/>
    <mergeCell ref="C4:E4"/>
    <mergeCell ref="F4:H4"/>
    <mergeCell ref="N4:O4"/>
  </mergeCells>
  <dataValidations count="6">
    <dataValidation type="date" allowBlank="1" showInputMessage="1" showErrorMessage="1" errorTitle="Invalid date" error="Please enter a valid date (e.g. 15-Jan-2025). Text entries are not allowed." promptTitle="Offloaded Date" prompt="Enter a date between 2020 and 2030." sqref="L10:L31" xr:uid="{69F57D6F-67FC-44F6-A873-5E091823F031}">
      <formula1>43831</formula1>
      <formula2>47848</formula2>
    </dataValidation>
    <dataValidation type="date" allowBlank="1" showInputMessage="1" showErrorMessage="1" errorTitle="Invalid date" error="Please enter a valid date (e.g. 15-Jan-2025). Text entries are not allowed." promptTitle="Arrival Date" prompt="Enter a date between 2020 and 2030." sqref="K10:K31" xr:uid="{75BA6AF5-0535-47D1-87CE-D43D672C1EB3}">
      <formula1>43831</formula1>
      <formula2>47848</formula2>
    </dataValidation>
    <dataValidation type="date" allowBlank="1" showInputMessage="1" showErrorMessage="1" errorTitle="Invalid date" error="Please enter a valid date (e.g. 15-Jan-2025). Text entries are not allowed." promptTitle="Date Loaded" prompt="Enter a date between 2020 and 2030." sqref="C10:C31" xr:uid="{E4E9FAE5-3513-44E6-A974-9CAF6C1768FE}">
      <formula1>43831</formula1>
      <formula2>47848</formula2>
    </dataValidation>
    <dataValidation type="list" allowBlank="1" showInputMessage="1" showErrorMessage="1" errorTitle="Invalid entry" error="Please pick a value from the list." sqref="D10:D31" xr:uid="{D195B03E-A58F-4925-ADA0-229DC6354030}">
      <formula1>"Dar Es Salaam,Beira"</formula1>
    </dataValidation>
    <dataValidation type="list" allowBlank="1" showInputMessage="1" showErrorMessage="1" errorTitle="Invalid entry" error="Please pick a value from the list." sqref="I10:I31" xr:uid="{C21D48C1-2DDB-40A9-99CE-BACC0D407BAE}">
      <formula1>"Lusaka,Lubumbashi,Chipata"</formula1>
    </dataValidation>
    <dataValidation type="list" allowBlank="1" showInputMessage="1" showErrorMessage="1" errorTitle="Invalid entry" error="Please pick a value from the list." sqref="J10:J31" xr:uid="{266551BF-D579-418C-9866-E39253ABF8A8}">
      <formula1>"PMS,AGO"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D75C9-84AA-4982-AC5C-FD45FDFEBA16}">
  <sheetPr>
    <tabColor rgb="FFF2B233"/>
  </sheetPr>
  <dimension ref="A1:P55"/>
  <sheetViews>
    <sheetView showGridLines="0" topLeftCell="C1" zoomScaleNormal="100" workbookViewId="0">
      <pane ySplit="9" topLeftCell="A10" activePane="bottomLeft" state="frozen"/>
      <selection activeCell="M1" sqref="M1"/>
      <selection pane="bottomLeft" activeCell="K10" sqref="K10"/>
    </sheetView>
  </sheetViews>
  <sheetFormatPr defaultRowHeight="15" x14ac:dyDescent="0.25"/>
  <cols>
    <col min="1" max="1" width="21" customWidth="1"/>
    <col min="2" max="2" width="31.42578125" customWidth="1"/>
    <col min="3" max="3" width="19" customWidth="1"/>
    <col min="4" max="4" width="24.7109375" customWidth="1"/>
    <col min="5" max="5" width="18.140625" customWidth="1"/>
    <col min="6" max="6" width="19" customWidth="1"/>
    <col min="7" max="8" width="26.7109375" customWidth="1"/>
    <col min="9" max="9" width="21.85546875" customWidth="1"/>
    <col min="10" max="10" width="15.28515625" customWidth="1"/>
    <col min="11" max="12" width="21.85546875" customWidth="1"/>
    <col min="13" max="13" width="17.140625" customWidth="1"/>
    <col min="14" max="14" width="18.140625" customWidth="1"/>
    <col min="15" max="15" width="21.85546875" customWidth="1"/>
    <col min="16" max="16" width="27.5703125" customWidth="1"/>
  </cols>
  <sheetData>
    <row r="1" spans="1:16" ht="60" customHeight="1" x14ac:dyDescent="0.25">
      <c r="A1" s="88"/>
      <c r="B1" s="89"/>
      <c r="C1" s="90" t="str">
        <f>IF(O5=0,"DEMURRAGE CALCULATION  —  [ENTER DEAL NO. ABOVE]","DEMURRAGE CALCULATION  —  "&amp;TEXT(O5,"0")&amp;" - "&amp;UPPER(IFERROR(_xlfn.XLOOKUP(O5,DealsMaster[Deal No.],DealsMaster[Consignee]),""))&amp;" - "&amp;UPPER(IFERROR(_xlfn.XLOOKUP(O5,DealsMaster[Deal No.],DealsMaster[Route]),"")))</f>
        <v>DEMURRAGE CALCULATION  —  186216 - RUBIS ENERGY ZAMBIA - BEIRA → LUSAKA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</row>
    <row r="2" spans="1:16" ht="6" customHeight="1" x14ac:dyDescent="0.25">
      <c r="A2" s="91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</row>
    <row r="3" spans="1:16" ht="20.100000000000001" customHeight="1" x14ac:dyDescent="0.25">
      <c r="C3" s="92" t="s">
        <v>27</v>
      </c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</row>
    <row r="4" spans="1:16" ht="20.100000000000001" customHeight="1" x14ac:dyDescent="0.25">
      <c r="C4" s="93" t="s">
        <v>28</v>
      </c>
      <c r="D4" s="94"/>
      <c r="E4" s="94"/>
      <c r="F4" s="95" t="s">
        <v>29</v>
      </c>
      <c r="G4" s="94"/>
      <c r="H4" s="94"/>
      <c r="I4" s="49"/>
      <c r="J4" s="49"/>
      <c r="K4" s="49"/>
      <c r="L4" s="49"/>
      <c r="M4" s="49"/>
      <c r="N4" s="93" t="s">
        <v>30</v>
      </c>
      <c r="O4" s="94"/>
    </row>
    <row r="5" spans="1:16" ht="18" customHeight="1" x14ac:dyDescent="0.25">
      <c r="C5" s="78">
        <f>SUM('186216-RUBIS-BEIRA-LSK'!$P$10:$P$31)</f>
        <v>1500</v>
      </c>
      <c r="D5" s="79"/>
      <c r="E5" s="79"/>
      <c r="F5" s="83" t="str">
        <f>COUNTIF('186216-RUBIS-BEIRA-LSK'!$O$10:$O$31,"DEMURRAGE")&amp;" / "&amp;COUNTA('186216-RUBIS-BEIRA-LSK'!$A$10:$A$31)</f>
        <v>1 / 22</v>
      </c>
      <c r="G5" s="84"/>
      <c r="H5" s="84"/>
      <c r="I5" s="49"/>
      <c r="J5" s="49"/>
      <c r="K5" s="49"/>
      <c r="L5" s="49"/>
      <c r="M5" s="49"/>
      <c r="N5" s="5" t="s">
        <v>21</v>
      </c>
      <c r="O5" s="75">
        <v>186216</v>
      </c>
    </row>
    <row r="6" spans="1:16" ht="18" customHeight="1" x14ac:dyDescent="0.25">
      <c r="C6" s="80"/>
      <c r="D6" s="79"/>
      <c r="E6" s="79"/>
      <c r="F6" s="85"/>
      <c r="G6" s="84"/>
      <c r="H6" s="84"/>
      <c r="I6" s="49"/>
      <c r="J6" s="49"/>
      <c r="K6" s="49"/>
      <c r="L6" s="49"/>
      <c r="M6" s="49"/>
      <c r="N6" s="5" t="s">
        <v>31</v>
      </c>
      <c r="O6" s="36">
        <f>IFERROR(_xlfn.XLOOKUP($O$5,DealsMaster[Deal No.],DealsMaster[Laytime Allowance (days)]),0)</f>
        <v>2</v>
      </c>
    </row>
    <row r="7" spans="1:16" ht="18" customHeight="1" x14ac:dyDescent="0.25">
      <c r="C7" s="81"/>
      <c r="D7" s="82"/>
      <c r="E7" s="82"/>
      <c r="F7" s="86"/>
      <c r="G7" s="87"/>
      <c r="H7" s="87"/>
      <c r="I7" s="49"/>
      <c r="J7" s="49"/>
      <c r="K7" s="49"/>
      <c r="L7" s="49"/>
      <c r="M7" s="49"/>
      <c r="N7" s="6" t="s">
        <v>32</v>
      </c>
      <c r="O7" s="74">
        <f>IFERROR(_xlfn.XLOOKUP($O$5,DealsMaster[Deal No.],DealsMaster[Demurrage Rate (USD/day)]),0)</f>
        <v>250</v>
      </c>
    </row>
    <row r="8" spans="1:16" ht="15.75" thickBot="1" x14ac:dyDescent="0.3">
      <c r="A8" s="48" t="s">
        <v>53</v>
      </c>
      <c r="B8" s="12" t="s">
        <v>54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6" ht="44.1" customHeight="1" x14ac:dyDescent="0.25">
      <c r="A9" s="50" t="s">
        <v>0</v>
      </c>
      <c r="B9" s="51" t="s">
        <v>1</v>
      </c>
      <c r="C9" s="51" t="s">
        <v>2</v>
      </c>
      <c r="D9" s="51" t="s">
        <v>19</v>
      </c>
      <c r="E9" s="51" t="s">
        <v>3</v>
      </c>
      <c r="F9" s="51" t="s">
        <v>4</v>
      </c>
      <c r="G9" s="51" t="s">
        <v>5</v>
      </c>
      <c r="H9" s="51" t="s">
        <v>6</v>
      </c>
      <c r="I9" s="51" t="s">
        <v>7</v>
      </c>
      <c r="J9" s="51" t="s">
        <v>8</v>
      </c>
      <c r="K9" s="51" t="s">
        <v>9</v>
      </c>
      <c r="L9" s="51" t="s">
        <v>10</v>
      </c>
      <c r="M9" s="51" t="s">
        <v>11</v>
      </c>
      <c r="N9" s="52" t="s">
        <v>25</v>
      </c>
      <c r="O9" s="52" t="s">
        <v>26</v>
      </c>
      <c r="P9" s="53" t="s">
        <v>13</v>
      </c>
    </row>
    <row r="10" spans="1:16" ht="21.95" customHeight="1" x14ac:dyDescent="0.25">
      <c r="A10" s="54">
        <f>$O$5</f>
        <v>186216</v>
      </c>
      <c r="B10" s="55" t="str">
        <f>IFERROR(_xlfn.XLOOKUP($O$5,DealsMaster[Deal No.],DealsMaster[Consignee]),"")</f>
        <v>Rubis Energy Zambia</v>
      </c>
      <c r="C10" s="64"/>
      <c r="D10" s="70" t="str">
        <f>IFERROR(_xlfn.XLOOKUP($O$5,DealsMaster[Deal No.],DealsMaster[Loading Port]),"")</f>
        <v>Beira</v>
      </c>
      <c r="E10" s="65" t="s">
        <v>69</v>
      </c>
      <c r="F10" s="65" t="s">
        <v>70</v>
      </c>
      <c r="G10" s="66" t="s">
        <v>77</v>
      </c>
      <c r="H10" s="66" t="s">
        <v>78</v>
      </c>
      <c r="I10" s="71" t="str">
        <f>IFERROR(_xlfn.XLOOKUP($O$5,DealsMaster[Deal No.],DealsMaster[Destination]),"")</f>
        <v>Lusaka</v>
      </c>
      <c r="J10" s="71" t="str">
        <f>IFERROR(_xlfn.XLOOKUP($O$5,DealsMaster[Deal No.],DealsMaster[Product]),"")</f>
        <v>PMS</v>
      </c>
      <c r="K10" s="64">
        <v>46071</v>
      </c>
      <c r="L10" s="64">
        <v>46073</v>
      </c>
      <c r="M10" s="56">
        <f t="shared" ref="M10:M13" si="0">IF(OR(K10="",L10=""),"",L10-K10)</f>
        <v>2</v>
      </c>
      <c r="N10" s="57">
        <f>$O$6</f>
        <v>2</v>
      </c>
      <c r="O10" s="58" t="str">
        <f>IF(AND(C10&lt;&gt;"",K10&lt;&gt;"",K10&lt;C10),"⚠ Arrival &lt; Loaded",IF(AND(K10&lt;&gt;"",L10&lt;&gt;"",L10&lt;K10),"⚠ Offloaded &lt; Arrival",IF(M10="","",IF(M10&gt;N10,"DEMURRAGE","OK"))))</f>
        <v>OK</v>
      </c>
      <c r="P10" s="59">
        <f>IF(M10="","",MAX(0,M10-N10)*$O$7)</f>
        <v>0</v>
      </c>
    </row>
    <row r="11" spans="1:16" ht="21.95" customHeight="1" x14ac:dyDescent="0.25">
      <c r="A11" s="54">
        <f t="shared" ref="A11:A31" si="1">$O$5</f>
        <v>186216</v>
      </c>
      <c r="B11" s="55" t="str">
        <f>IFERROR(_xlfn.XLOOKUP($O$5,DealsMaster[Deal No.],DealsMaster[Consignee]),"")</f>
        <v>Rubis Energy Zambia</v>
      </c>
      <c r="C11" s="64"/>
      <c r="D11" s="70" t="str">
        <f>IFERROR(_xlfn.XLOOKUP($O$5,DealsMaster[Deal No.],DealsMaster[Loading Port]),"")</f>
        <v>Beira</v>
      </c>
      <c r="E11" s="65" t="s">
        <v>71</v>
      </c>
      <c r="F11" s="65" t="s">
        <v>72</v>
      </c>
      <c r="G11" s="66" t="s">
        <v>77</v>
      </c>
      <c r="H11" s="66" t="s">
        <v>79</v>
      </c>
      <c r="I11" s="71" t="str">
        <f>IFERROR(_xlfn.XLOOKUP($O$5,DealsMaster[Deal No.],DealsMaster[Destination]),"")</f>
        <v>Lusaka</v>
      </c>
      <c r="J11" s="71" t="str">
        <f>IFERROR(_xlfn.XLOOKUP($O$5,DealsMaster[Deal No.],DealsMaster[Product]),"")</f>
        <v>PMS</v>
      </c>
      <c r="K11" s="64">
        <v>46074</v>
      </c>
      <c r="L11" s="64">
        <v>46076</v>
      </c>
      <c r="M11" s="56">
        <f t="shared" si="0"/>
        <v>2</v>
      </c>
      <c r="N11" s="57">
        <f t="shared" ref="N11:N13" si="2">$O$6</f>
        <v>2</v>
      </c>
      <c r="O11" s="58" t="str">
        <f t="shared" ref="O11:O31" si="3">IF(AND(C11&lt;&gt;"",K11&lt;&gt;"",K11&lt;C11),"⚠ Arrival &lt; Loaded",IF(AND(K11&lt;&gt;"",L11&lt;&gt;"",L11&lt;K11),"⚠ Offloaded &lt; Arrival",IF(M11="","",IF(M11&gt;N11,"DEMURRAGE","OK"))))</f>
        <v>OK</v>
      </c>
      <c r="P11" s="59">
        <f t="shared" ref="P11:P31" si="4">IF(M11="","",MAX(0,M11-N11)*$O$7)</f>
        <v>0</v>
      </c>
    </row>
    <row r="12" spans="1:16" ht="21.95" customHeight="1" x14ac:dyDescent="0.25">
      <c r="A12" s="54">
        <f t="shared" si="1"/>
        <v>186216</v>
      </c>
      <c r="B12" s="55" t="str">
        <f>IFERROR(_xlfn.XLOOKUP($O$5,DealsMaster[Deal No.],DealsMaster[Consignee]),"")</f>
        <v>Rubis Energy Zambia</v>
      </c>
      <c r="C12" s="64"/>
      <c r="D12" s="70" t="str">
        <f>IFERROR(_xlfn.XLOOKUP($O$5,DealsMaster[Deal No.],DealsMaster[Loading Port]),"")</f>
        <v>Beira</v>
      </c>
      <c r="E12" s="65" t="s">
        <v>73</v>
      </c>
      <c r="F12" s="65" t="s">
        <v>74</v>
      </c>
      <c r="G12" s="66" t="s">
        <v>77</v>
      </c>
      <c r="H12" s="66" t="s">
        <v>80</v>
      </c>
      <c r="I12" s="71" t="str">
        <f>IFERROR(_xlfn.XLOOKUP($O$5,DealsMaster[Deal No.],DealsMaster[Destination]),"")</f>
        <v>Lusaka</v>
      </c>
      <c r="J12" s="71" t="str">
        <f>IFERROR(_xlfn.XLOOKUP($O$5,DealsMaster[Deal No.],DealsMaster[Product]),"")</f>
        <v>PMS</v>
      </c>
      <c r="K12" s="64">
        <v>46074</v>
      </c>
      <c r="L12" s="64">
        <v>46076</v>
      </c>
      <c r="M12" s="56">
        <f t="shared" si="0"/>
        <v>2</v>
      </c>
      <c r="N12" s="57">
        <f t="shared" si="2"/>
        <v>2</v>
      </c>
      <c r="O12" s="58" t="str">
        <f t="shared" si="3"/>
        <v>OK</v>
      </c>
      <c r="P12" s="59">
        <f t="shared" si="4"/>
        <v>0</v>
      </c>
    </row>
    <row r="13" spans="1:16" ht="21.95" customHeight="1" x14ac:dyDescent="0.25">
      <c r="A13" s="54">
        <f t="shared" si="1"/>
        <v>186216</v>
      </c>
      <c r="B13" s="55" t="str">
        <f>IFERROR(_xlfn.XLOOKUP($O$5,DealsMaster[Deal No.],DealsMaster[Consignee]),"")</f>
        <v>Rubis Energy Zambia</v>
      </c>
      <c r="C13" s="64"/>
      <c r="D13" s="70" t="str">
        <f>IFERROR(_xlfn.XLOOKUP($O$5,DealsMaster[Deal No.],DealsMaster[Loading Port]),"")</f>
        <v>Beira</v>
      </c>
      <c r="E13" s="65" t="s">
        <v>75</v>
      </c>
      <c r="F13" s="65" t="s">
        <v>76</v>
      </c>
      <c r="G13" s="66" t="s">
        <v>77</v>
      </c>
      <c r="H13" s="66" t="s">
        <v>81</v>
      </c>
      <c r="I13" s="71" t="str">
        <f>IFERROR(_xlfn.XLOOKUP($O$5,DealsMaster[Deal No.],DealsMaster[Destination]),"")</f>
        <v>Lusaka</v>
      </c>
      <c r="J13" s="71" t="str">
        <f>IFERROR(_xlfn.XLOOKUP($O$5,DealsMaster[Deal No.],DealsMaster[Product]),"")</f>
        <v>PMS</v>
      </c>
      <c r="K13" s="64">
        <v>46080</v>
      </c>
      <c r="L13" s="64">
        <v>46088</v>
      </c>
      <c r="M13" s="56">
        <f t="shared" si="0"/>
        <v>8</v>
      </c>
      <c r="N13" s="57">
        <f t="shared" si="2"/>
        <v>2</v>
      </c>
      <c r="O13" s="58" t="str">
        <f t="shared" si="3"/>
        <v>DEMURRAGE</v>
      </c>
      <c r="P13" s="59">
        <f t="shared" si="4"/>
        <v>1500</v>
      </c>
    </row>
    <row r="14" spans="1:16" ht="21.95" customHeight="1" x14ac:dyDescent="0.25">
      <c r="A14" s="54">
        <f t="shared" si="1"/>
        <v>186216</v>
      </c>
      <c r="B14" s="55" t="str">
        <f>IFERROR(_xlfn.XLOOKUP($O$5,DealsMaster[Deal No.],DealsMaster[Consignee]),"")</f>
        <v>Rubis Energy Zambia</v>
      </c>
      <c r="C14" s="64"/>
      <c r="D14" s="70"/>
      <c r="E14" s="65"/>
      <c r="F14" s="65"/>
      <c r="G14" s="66"/>
      <c r="H14" s="66"/>
      <c r="I14" s="71"/>
      <c r="J14" s="71"/>
      <c r="K14" s="64"/>
      <c r="L14" s="64"/>
      <c r="M14" s="56"/>
      <c r="N14" s="57"/>
      <c r="O14" s="58" t="str">
        <f t="shared" si="3"/>
        <v/>
      </c>
      <c r="P14" s="59" t="str">
        <f t="shared" si="4"/>
        <v/>
      </c>
    </row>
    <row r="15" spans="1:16" ht="21.95" customHeight="1" x14ac:dyDescent="0.25">
      <c r="A15" s="54">
        <f t="shared" si="1"/>
        <v>186216</v>
      </c>
      <c r="B15" s="55" t="str">
        <f>IFERROR(_xlfn.XLOOKUP($O$5,DealsMaster[Deal No.],DealsMaster[Consignee]),"")</f>
        <v>Rubis Energy Zambia</v>
      </c>
      <c r="C15" s="64"/>
      <c r="D15" s="70"/>
      <c r="E15" s="65"/>
      <c r="F15" s="65"/>
      <c r="G15" s="66"/>
      <c r="H15" s="66"/>
      <c r="I15" s="71"/>
      <c r="J15" s="71"/>
      <c r="K15" s="64"/>
      <c r="L15" s="64"/>
      <c r="M15" s="56"/>
      <c r="N15" s="57"/>
      <c r="O15" s="58" t="str">
        <f t="shared" si="3"/>
        <v/>
      </c>
      <c r="P15" s="59" t="str">
        <f t="shared" si="4"/>
        <v/>
      </c>
    </row>
    <row r="16" spans="1:16" ht="21.95" customHeight="1" x14ac:dyDescent="0.25">
      <c r="A16" s="54">
        <f t="shared" si="1"/>
        <v>186216</v>
      </c>
      <c r="B16" s="55" t="str">
        <f>IFERROR(_xlfn.XLOOKUP($O$5,DealsMaster[Deal No.],DealsMaster[Consignee]),"")</f>
        <v>Rubis Energy Zambia</v>
      </c>
      <c r="C16" s="64"/>
      <c r="D16" s="70"/>
      <c r="E16" s="65"/>
      <c r="F16" s="65"/>
      <c r="G16" s="66"/>
      <c r="H16" s="66"/>
      <c r="I16" s="71"/>
      <c r="J16" s="71"/>
      <c r="K16" s="64"/>
      <c r="L16" s="64"/>
      <c r="M16" s="56"/>
      <c r="N16" s="57"/>
      <c r="O16" s="58" t="str">
        <f t="shared" si="3"/>
        <v/>
      </c>
      <c r="P16" s="59" t="str">
        <f t="shared" si="4"/>
        <v/>
      </c>
    </row>
    <row r="17" spans="1:16" ht="21.95" customHeight="1" x14ac:dyDescent="0.25">
      <c r="A17" s="54">
        <f t="shared" si="1"/>
        <v>186216</v>
      </c>
      <c r="B17" s="55" t="str">
        <f>IFERROR(_xlfn.XLOOKUP($O$5,DealsMaster[Deal No.],DealsMaster[Consignee]),"")</f>
        <v>Rubis Energy Zambia</v>
      </c>
      <c r="C17" s="64"/>
      <c r="D17" s="70"/>
      <c r="E17" s="65"/>
      <c r="F17" s="65"/>
      <c r="G17" s="66"/>
      <c r="H17" s="66"/>
      <c r="I17" s="71"/>
      <c r="J17" s="71"/>
      <c r="K17" s="64"/>
      <c r="L17" s="64"/>
      <c r="M17" s="56"/>
      <c r="N17" s="57"/>
      <c r="O17" s="58" t="str">
        <f t="shared" si="3"/>
        <v/>
      </c>
      <c r="P17" s="59" t="str">
        <f t="shared" si="4"/>
        <v/>
      </c>
    </row>
    <row r="18" spans="1:16" ht="21.95" customHeight="1" x14ac:dyDescent="0.25">
      <c r="A18" s="54">
        <f t="shared" si="1"/>
        <v>186216</v>
      </c>
      <c r="B18" s="55" t="str">
        <f>IFERROR(_xlfn.XLOOKUP($O$5,DealsMaster[Deal No.],DealsMaster[Consignee]),"")</f>
        <v>Rubis Energy Zambia</v>
      </c>
      <c r="C18" s="64"/>
      <c r="D18" s="70"/>
      <c r="E18" s="65"/>
      <c r="F18" s="65"/>
      <c r="G18" s="66"/>
      <c r="H18" s="66"/>
      <c r="I18" s="71"/>
      <c r="J18" s="71"/>
      <c r="K18" s="64"/>
      <c r="L18" s="64"/>
      <c r="M18" s="56"/>
      <c r="N18" s="57"/>
      <c r="O18" s="58" t="str">
        <f t="shared" si="3"/>
        <v/>
      </c>
      <c r="P18" s="59" t="str">
        <f t="shared" si="4"/>
        <v/>
      </c>
    </row>
    <row r="19" spans="1:16" ht="21.95" customHeight="1" x14ac:dyDescent="0.25">
      <c r="A19" s="54">
        <f t="shared" si="1"/>
        <v>186216</v>
      </c>
      <c r="B19" s="55" t="str">
        <f>IFERROR(_xlfn.XLOOKUP($O$5,DealsMaster[Deal No.],DealsMaster[Consignee]),"")</f>
        <v>Rubis Energy Zambia</v>
      </c>
      <c r="C19" s="64"/>
      <c r="D19" s="70"/>
      <c r="E19" s="65"/>
      <c r="F19" s="65"/>
      <c r="G19" s="66"/>
      <c r="H19" s="66"/>
      <c r="I19" s="71"/>
      <c r="J19" s="71"/>
      <c r="K19" s="64"/>
      <c r="L19" s="64"/>
      <c r="M19" s="56"/>
      <c r="N19" s="57"/>
      <c r="O19" s="58" t="str">
        <f t="shared" si="3"/>
        <v/>
      </c>
      <c r="P19" s="59" t="str">
        <f t="shared" si="4"/>
        <v/>
      </c>
    </row>
    <row r="20" spans="1:16" ht="21.95" customHeight="1" x14ac:dyDescent="0.25">
      <c r="A20" s="54">
        <f t="shared" si="1"/>
        <v>186216</v>
      </c>
      <c r="B20" s="55" t="str">
        <f>IFERROR(_xlfn.XLOOKUP($O$5,DealsMaster[Deal No.],DealsMaster[Consignee]),"")</f>
        <v>Rubis Energy Zambia</v>
      </c>
      <c r="C20" s="64"/>
      <c r="D20" s="70"/>
      <c r="E20" s="65"/>
      <c r="F20" s="65"/>
      <c r="G20" s="66"/>
      <c r="H20" s="66"/>
      <c r="I20" s="71"/>
      <c r="J20" s="71"/>
      <c r="K20" s="64"/>
      <c r="L20" s="64"/>
      <c r="M20" s="56"/>
      <c r="N20" s="57"/>
      <c r="O20" s="58" t="str">
        <f t="shared" si="3"/>
        <v/>
      </c>
      <c r="P20" s="59" t="str">
        <f t="shared" si="4"/>
        <v/>
      </c>
    </row>
    <row r="21" spans="1:16" ht="21.95" customHeight="1" x14ac:dyDescent="0.25">
      <c r="A21" s="54">
        <f t="shared" si="1"/>
        <v>186216</v>
      </c>
      <c r="B21" s="55" t="str">
        <f>IFERROR(_xlfn.XLOOKUP($O$5,DealsMaster[Deal No.],DealsMaster[Consignee]),"")</f>
        <v>Rubis Energy Zambia</v>
      </c>
      <c r="C21" s="64"/>
      <c r="D21" s="70"/>
      <c r="E21" s="65"/>
      <c r="F21" s="65"/>
      <c r="G21" s="66"/>
      <c r="H21" s="66"/>
      <c r="I21" s="71"/>
      <c r="J21" s="71"/>
      <c r="K21" s="64"/>
      <c r="L21" s="64"/>
      <c r="M21" s="56"/>
      <c r="N21" s="57"/>
      <c r="O21" s="58" t="str">
        <f t="shared" si="3"/>
        <v/>
      </c>
      <c r="P21" s="59" t="str">
        <f t="shared" si="4"/>
        <v/>
      </c>
    </row>
    <row r="22" spans="1:16" ht="21.95" customHeight="1" x14ac:dyDescent="0.25">
      <c r="A22" s="54">
        <f t="shared" si="1"/>
        <v>186216</v>
      </c>
      <c r="B22" s="55" t="str">
        <f>IFERROR(_xlfn.XLOOKUP($O$5,DealsMaster[Deal No.],DealsMaster[Consignee]),"")</f>
        <v>Rubis Energy Zambia</v>
      </c>
      <c r="C22" s="64"/>
      <c r="D22" s="70"/>
      <c r="E22" s="65"/>
      <c r="F22" s="65"/>
      <c r="G22" s="66"/>
      <c r="H22" s="66"/>
      <c r="I22" s="71"/>
      <c r="J22" s="71"/>
      <c r="K22" s="64"/>
      <c r="L22" s="64"/>
      <c r="M22" s="56"/>
      <c r="N22" s="57"/>
      <c r="O22" s="58" t="str">
        <f t="shared" si="3"/>
        <v/>
      </c>
      <c r="P22" s="59" t="str">
        <f t="shared" si="4"/>
        <v/>
      </c>
    </row>
    <row r="23" spans="1:16" ht="21.95" customHeight="1" x14ac:dyDescent="0.25">
      <c r="A23" s="54">
        <f t="shared" si="1"/>
        <v>186216</v>
      </c>
      <c r="B23" s="55" t="str">
        <f>IFERROR(_xlfn.XLOOKUP($O$5,DealsMaster[Deal No.],DealsMaster[Consignee]),"")</f>
        <v>Rubis Energy Zambia</v>
      </c>
      <c r="C23" s="64"/>
      <c r="D23" s="70"/>
      <c r="E23" s="65"/>
      <c r="F23" s="65"/>
      <c r="G23" s="66"/>
      <c r="H23" s="66"/>
      <c r="I23" s="71"/>
      <c r="J23" s="71"/>
      <c r="K23" s="64"/>
      <c r="L23" s="64"/>
      <c r="M23" s="56"/>
      <c r="N23" s="57"/>
      <c r="O23" s="58" t="str">
        <f t="shared" si="3"/>
        <v/>
      </c>
      <c r="P23" s="59" t="str">
        <f t="shared" si="4"/>
        <v/>
      </c>
    </row>
    <row r="24" spans="1:16" ht="21.95" customHeight="1" x14ac:dyDescent="0.25">
      <c r="A24" s="54">
        <f t="shared" si="1"/>
        <v>186216</v>
      </c>
      <c r="B24" s="55" t="str">
        <f>IFERROR(_xlfn.XLOOKUP($O$5,DealsMaster[Deal No.],DealsMaster[Consignee]),"")</f>
        <v>Rubis Energy Zambia</v>
      </c>
      <c r="C24" s="64"/>
      <c r="D24" s="70"/>
      <c r="E24" s="65"/>
      <c r="F24" s="65"/>
      <c r="G24" s="66"/>
      <c r="H24" s="66"/>
      <c r="I24" s="71"/>
      <c r="J24" s="71"/>
      <c r="K24" s="64"/>
      <c r="L24" s="64"/>
      <c r="M24" s="56"/>
      <c r="N24" s="57"/>
      <c r="O24" s="58" t="str">
        <f t="shared" si="3"/>
        <v/>
      </c>
      <c r="P24" s="59" t="str">
        <f t="shared" si="4"/>
        <v/>
      </c>
    </row>
    <row r="25" spans="1:16" ht="21.95" customHeight="1" x14ac:dyDescent="0.25">
      <c r="A25" s="54">
        <f t="shared" si="1"/>
        <v>186216</v>
      </c>
      <c r="B25" s="55" t="str">
        <f>IFERROR(_xlfn.XLOOKUP($O$5,DealsMaster[Deal No.],DealsMaster[Consignee]),"")</f>
        <v>Rubis Energy Zambia</v>
      </c>
      <c r="C25" s="64"/>
      <c r="D25" s="70"/>
      <c r="E25" s="65"/>
      <c r="F25" s="65"/>
      <c r="G25" s="66"/>
      <c r="H25" s="66"/>
      <c r="I25" s="71"/>
      <c r="J25" s="71"/>
      <c r="K25" s="64"/>
      <c r="L25" s="64"/>
      <c r="M25" s="56"/>
      <c r="N25" s="57"/>
      <c r="O25" s="58" t="str">
        <f t="shared" si="3"/>
        <v/>
      </c>
      <c r="P25" s="59" t="str">
        <f t="shared" si="4"/>
        <v/>
      </c>
    </row>
    <row r="26" spans="1:16" ht="21.95" customHeight="1" x14ac:dyDescent="0.25">
      <c r="A26" s="54">
        <f t="shared" si="1"/>
        <v>186216</v>
      </c>
      <c r="B26" s="55" t="str">
        <f>IFERROR(_xlfn.XLOOKUP($O$5,DealsMaster[Deal No.],DealsMaster[Consignee]),"")</f>
        <v>Rubis Energy Zambia</v>
      </c>
      <c r="C26" s="64"/>
      <c r="D26" s="70"/>
      <c r="E26" s="65"/>
      <c r="F26" s="65"/>
      <c r="G26" s="66"/>
      <c r="H26" s="66"/>
      <c r="I26" s="71"/>
      <c r="J26" s="71"/>
      <c r="K26" s="64"/>
      <c r="L26" s="64"/>
      <c r="M26" s="56"/>
      <c r="N26" s="57"/>
      <c r="O26" s="58" t="str">
        <f t="shared" si="3"/>
        <v/>
      </c>
      <c r="P26" s="59" t="str">
        <f t="shared" si="4"/>
        <v/>
      </c>
    </row>
    <row r="27" spans="1:16" ht="21.95" customHeight="1" x14ac:dyDescent="0.25">
      <c r="A27" s="54">
        <f t="shared" si="1"/>
        <v>186216</v>
      </c>
      <c r="B27" s="55" t="str">
        <f>IFERROR(_xlfn.XLOOKUP($O$5,DealsMaster[Deal No.],DealsMaster[Consignee]),"")</f>
        <v>Rubis Energy Zambia</v>
      </c>
      <c r="C27" s="64"/>
      <c r="D27" s="70"/>
      <c r="E27" s="65"/>
      <c r="F27" s="65"/>
      <c r="G27" s="66"/>
      <c r="H27" s="66"/>
      <c r="I27" s="71"/>
      <c r="J27" s="71"/>
      <c r="K27" s="64"/>
      <c r="L27" s="64"/>
      <c r="M27" s="56"/>
      <c r="N27" s="57"/>
      <c r="O27" s="58" t="str">
        <f t="shared" si="3"/>
        <v/>
      </c>
      <c r="P27" s="59" t="str">
        <f t="shared" si="4"/>
        <v/>
      </c>
    </row>
    <row r="28" spans="1:16" ht="21.95" customHeight="1" x14ac:dyDescent="0.25">
      <c r="A28" s="54">
        <f t="shared" si="1"/>
        <v>186216</v>
      </c>
      <c r="B28" s="55" t="str">
        <f>IFERROR(_xlfn.XLOOKUP($O$5,DealsMaster[Deal No.],DealsMaster[Consignee]),"")</f>
        <v>Rubis Energy Zambia</v>
      </c>
      <c r="C28" s="64"/>
      <c r="D28" s="70"/>
      <c r="E28" s="65"/>
      <c r="F28" s="65"/>
      <c r="G28" s="66"/>
      <c r="H28" s="66"/>
      <c r="I28" s="71"/>
      <c r="J28" s="71"/>
      <c r="K28" s="64"/>
      <c r="L28" s="64"/>
      <c r="M28" s="56"/>
      <c r="N28" s="57"/>
      <c r="O28" s="58" t="str">
        <f t="shared" si="3"/>
        <v/>
      </c>
      <c r="P28" s="59" t="str">
        <f t="shared" si="4"/>
        <v/>
      </c>
    </row>
    <row r="29" spans="1:16" ht="21.95" customHeight="1" x14ac:dyDescent="0.25">
      <c r="A29" s="54">
        <f t="shared" si="1"/>
        <v>186216</v>
      </c>
      <c r="B29" s="55" t="str">
        <f>IFERROR(_xlfn.XLOOKUP($O$5,DealsMaster[Deal No.],DealsMaster[Consignee]),"")</f>
        <v>Rubis Energy Zambia</v>
      </c>
      <c r="C29" s="64"/>
      <c r="D29" s="70"/>
      <c r="E29" s="65"/>
      <c r="F29" s="65"/>
      <c r="G29" s="66"/>
      <c r="H29" s="66"/>
      <c r="I29" s="71"/>
      <c r="J29" s="71"/>
      <c r="K29" s="64"/>
      <c r="L29" s="64"/>
      <c r="M29" s="56"/>
      <c r="N29" s="57"/>
      <c r="O29" s="58" t="str">
        <f t="shared" si="3"/>
        <v/>
      </c>
      <c r="P29" s="59" t="str">
        <f t="shared" si="4"/>
        <v/>
      </c>
    </row>
    <row r="30" spans="1:16" ht="21.95" customHeight="1" x14ac:dyDescent="0.25">
      <c r="A30" s="54">
        <f t="shared" si="1"/>
        <v>186216</v>
      </c>
      <c r="B30" s="55" t="str">
        <f>IFERROR(_xlfn.XLOOKUP($O$5,DealsMaster[Deal No.],DealsMaster[Consignee]),"")</f>
        <v>Rubis Energy Zambia</v>
      </c>
      <c r="C30" s="64"/>
      <c r="D30" s="70"/>
      <c r="E30" s="65"/>
      <c r="F30" s="65"/>
      <c r="G30" s="66"/>
      <c r="H30" s="66"/>
      <c r="I30" s="71"/>
      <c r="J30" s="71"/>
      <c r="K30" s="64"/>
      <c r="L30" s="64"/>
      <c r="M30" s="56"/>
      <c r="N30" s="57"/>
      <c r="O30" s="58" t="str">
        <f t="shared" si="3"/>
        <v/>
      </c>
      <c r="P30" s="59" t="str">
        <f t="shared" si="4"/>
        <v/>
      </c>
    </row>
    <row r="31" spans="1:16" ht="21.95" customHeight="1" x14ac:dyDescent="0.25">
      <c r="A31" s="54">
        <f t="shared" si="1"/>
        <v>186216</v>
      </c>
      <c r="B31" s="55" t="str">
        <f>IFERROR(_xlfn.XLOOKUP($O$5,DealsMaster[Deal No.],DealsMaster[Consignee]),"")</f>
        <v>Rubis Energy Zambia</v>
      </c>
      <c r="C31" s="64"/>
      <c r="D31" s="70"/>
      <c r="E31" s="65"/>
      <c r="F31" s="65"/>
      <c r="G31" s="66"/>
      <c r="H31" s="66"/>
      <c r="I31" s="71"/>
      <c r="J31" s="71"/>
      <c r="K31" s="64"/>
      <c r="L31" s="64"/>
      <c r="M31" s="56"/>
      <c r="N31" s="57"/>
      <c r="O31" s="58" t="str">
        <f t="shared" si="3"/>
        <v/>
      </c>
      <c r="P31" s="59" t="str">
        <f t="shared" si="4"/>
        <v/>
      </c>
    </row>
    <row r="32" spans="1:16" ht="15.75" thickBot="1" x14ac:dyDescent="0.3">
      <c r="A32" s="60" t="s">
        <v>14</v>
      </c>
      <c r="B32" s="61"/>
      <c r="C32" s="62"/>
      <c r="D32" s="62"/>
      <c r="E32" s="62"/>
      <c r="F32" s="62"/>
      <c r="G32" s="61"/>
      <c r="H32" s="61"/>
      <c r="I32" s="61"/>
      <c r="J32" s="61"/>
      <c r="K32" s="62"/>
      <c r="L32" s="62"/>
      <c r="M32" s="62"/>
      <c r="N32" s="62"/>
      <c r="O32" s="62"/>
      <c r="P32" s="63">
        <f>SUBTOTAL(109,P10:P31)</f>
        <v>1500</v>
      </c>
    </row>
    <row r="33" spans="14:14" x14ac:dyDescent="0.25">
      <c r="N33" s="1"/>
    </row>
    <row r="34" spans="14:14" x14ac:dyDescent="0.25">
      <c r="N34" s="1"/>
    </row>
    <row r="35" spans="14:14" x14ac:dyDescent="0.25">
      <c r="N35" s="1"/>
    </row>
    <row r="36" spans="14:14" x14ac:dyDescent="0.25">
      <c r="N36" s="1"/>
    </row>
    <row r="37" spans="14:14" x14ac:dyDescent="0.25">
      <c r="N37" s="1"/>
    </row>
    <row r="38" spans="14:14" x14ac:dyDescent="0.25">
      <c r="N38" s="1"/>
    </row>
    <row r="39" spans="14:14" x14ac:dyDescent="0.25">
      <c r="N39" s="1"/>
    </row>
    <row r="40" spans="14:14" x14ac:dyDescent="0.25">
      <c r="N40" s="1"/>
    </row>
    <row r="41" spans="14:14" x14ac:dyDescent="0.25">
      <c r="N41" s="1"/>
    </row>
    <row r="42" spans="14:14" x14ac:dyDescent="0.25">
      <c r="N42" s="1"/>
    </row>
    <row r="43" spans="14:14" x14ac:dyDescent="0.25">
      <c r="N43" s="1"/>
    </row>
    <row r="44" spans="14:14" x14ac:dyDescent="0.25">
      <c r="N44" s="1"/>
    </row>
    <row r="45" spans="14:14" x14ac:dyDescent="0.25">
      <c r="N45" s="1"/>
    </row>
    <row r="46" spans="14:14" x14ac:dyDescent="0.25">
      <c r="N46" s="1"/>
    </row>
    <row r="47" spans="14:14" x14ac:dyDescent="0.25">
      <c r="N47" s="1"/>
    </row>
    <row r="48" spans="14:14" x14ac:dyDescent="0.25">
      <c r="N48" s="1"/>
    </row>
    <row r="49" spans="14:14" x14ac:dyDescent="0.25">
      <c r="N49" s="1"/>
    </row>
    <row r="50" spans="14:14" x14ac:dyDescent="0.25">
      <c r="N50" s="1"/>
    </row>
    <row r="51" spans="14:14" x14ac:dyDescent="0.25">
      <c r="N51" s="1"/>
    </row>
    <row r="52" spans="14:14" x14ac:dyDescent="0.25">
      <c r="N52" s="1"/>
    </row>
    <row r="53" spans="14:14" x14ac:dyDescent="0.25">
      <c r="N53" s="1"/>
    </row>
    <row r="54" spans="14:14" x14ac:dyDescent="0.25">
      <c r="N54" s="1"/>
    </row>
    <row r="55" spans="14:14" x14ac:dyDescent="0.25">
      <c r="N55" s="1"/>
    </row>
  </sheetData>
  <sheetProtection autoFilter="0"/>
  <mergeCells count="9">
    <mergeCell ref="C5:E7"/>
    <mergeCell ref="F5:H7"/>
    <mergeCell ref="A1:B1"/>
    <mergeCell ref="C1:P1"/>
    <mergeCell ref="A2:P2"/>
    <mergeCell ref="C3:O3"/>
    <mergeCell ref="C4:E4"/>
    <mergeCell ref="F4:H4"/>
    <mergeCell ref="N4:O4"/>
  </mergeCells>
  <dataValidations count="6">
    <dataValidation type="date" allowBlank="1" showInputMessage="1" showErrorMessage="1" errorTitle="Invalid date" error="Please enter a valid date (e.g. 15-Jan-2025). Text entries are not allowed." promptTitle="Offloaded Date" prompt="Enter a date between 2020 and 2030." sqref="L10:L31" xr:uid="{3E5F06CE-6305-4FDC-B5B5-CA0E4E71903F}">
      <formula1>43831</formula1>
      <formula2>47848</formula2>
    </dataValidation>
    <dataValidation type="date" allowBlank="1" showInputMessage="1" showErrorMessage="1" errorTitle="Invalid date" error="Please enter a valid date (e.g. 15-Jan-2025). Text entries are not allowed." promptTitle="Arrival Date" prompt="Enter a date between 2020 and 2030." sqref="K10:K31" xr:uid="{2642BF39-7D13-4996-A182-2AA682BFD441}">
      <formula1>43831</formula1>
      <formula2>47848</formula2>
    </dataValidation>
    <dataValidation type="date" allowBlank="1" showInputMessage="1" showErrorMessage="1" errorTitle="Invalid date" error="Please enter a valid date (e.g. 15-Jan-2025). Text entries are not allowed." promptTitle="Date Loaded" prompt="Enter a date between 2020 and 2030." sqref="C10:C31" xr:uid="{E5818DE6-FA1F-4531-9202-2DDCD15108A4}">
      <formula1>43831</formula1>
      <formula2>47848</formula2>
    </dataValidation>
    <dataValidation type="list" allowBlank="1" showInputMessage="1" showErrorMessage="1" errorTitle="Invalid entry" error="Please pick a value from the list." sqref="D10:D31" xr:uid="{59816B67-68E0-4170-B072-DEDEF16F4D4C}">
      <formula1>"Dar Es Salaam,Beira"</formula1>
    </dataValidation>
    <dataValidation type="list" allowBlank="1" showInputMessage="1" showErrorMessage="1" errorTitle="Invalid entry" error="Please pick a value from the list." sqref="I10:I31" xr:uid="{533565B5-CFD3-497B-AC14-BDE9FEF7A187}">
      <formula1>"Lusaka,Lubumbashi,Chipata"</formula1>
    </dataValidation>
    <dataValidation type="list" allowBlank="1" showInputMessage="1" showErrorMessage="1" errorTitle="Invalid entry" error="Please pick a value from the list." sqref="J10:J31" xr:uid="{B8882A8F-3DDA-4484-8287-E6F1C6C36681}">
      <formula1>"PMS,AGO"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5A84C-D19D-4C2E-9185-008088E3333B}">
  <sheetPr>
    <tabColor rgb="FFF2B233"/>
  </sheetPr>
  <dimension ref="A1:P62"/>
  <sheetViews>
    <sheetView showGridLines="0" zoomScaleNormal="100" workbookViewId="0">
      <pane ySplit="9" topLeftCell="A10" activePane="bottomLeft" state="frozen"/>
      <selection activeCell="M1" sqref="M1"/>
      <selection pane="bottomLeft" activeCell="F20" sqref="F20"/>
    </sheetView>
  </sheetViews>
  <sheetFormatPr defaultRowHeight="15" x14ac:dyDescent="0.25"/>
  <cols>
    <col min="1" max="1" width="21" customWidth="1"/>
    <col min="2" max="2" width="31.42578125" customWidth="1"/>
    <col min="3" max="3" width="19" customWidth="1"/>
    <col min="4" max="4" width="24.7109375" customWidth="1"/>
    <col min="5" max="5" width="18.140625" customWidth="1"/>
    <col min="6" max="6" width="19" customWidth="1"/>
    <col min="7" max="8" width="26.7109375" customWidth="1"/>
    <col min="9" max="9" width="21.85546875" customWidth="1"/>
    <col min="10" max="10" width="15.28515625" customWidth="1"/>
    <col min="11" max="12" width="21.85546875" style="77" customWidth="1"/>
    <col min="13" max="13" width="17.140625" customWidth="1"/>
    <col min="14" max="14" width="18.140625" customWidth="1"/>
    <col min="15" max="15" width="21.85546875" customWidth="1"/>
    <col min="16" max="16" width="27.5703125" customWidth="1"/>
  </cols>
  <sheetData>
    <row r="1" spans="1:16" ht="60" customHeight="1" x14ac:dyDescent="0.25">
      <c r="A1" s="88"/>
      <c r="B1" s="89"/>
      <c r="C1" s="90" t="str">
        <f>IF(O5=0,"DEMURRAGE CALCULATION  —  [ENTER DEAL NO. ABOVE]","DEMURRAGE CALCULATION  —  "&amp;TEXT(O5,"0")&amp;" - "&amp;UPPER(IFERROR(_xlfn.XLOOKUP(O5,DealsMaster[Deal No.],DealsMaster[Consignee]),""))&amp;" - "&amp;UPPER(IFERROR(_xlfn.XLOOKUP(O5,DealsMaster[Deal No.],DealsMaster[Route]),"")))</f>
        <v>DEMURRAGE CALCULATION  —  187293 - LAKE PETROLEUM ZAMBIA - BEIRA → LUSAKA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</row>
    <row r="2" spans="1:16" ht="6" customHeight="1" x14ac:dyDescent="0.25">
      <c r="A2" s="91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</row>
    <row r="3" spans="1:16" ht="20.100000000000001" customHeight="1" x14ac:dyDescent="0.25">
      <c r="C3" s="92" t="s">
        <v>27</v>
      </c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</row>
    <row r="4" spans="1:16" ht="20.100000000000001" customHeight="1" x14ac:dyDescent="0.25">
      <c r="C4" s="93" t="s">
        <v>28</v>
      </c>
      <c r="D4" s="94"/>
      <c r="E4" s="94"/>
      <c r="F4" s="95" t="s">
        <v>29</v>
      </c>
      <c r="G4" s="94"/>
      <c r="H4" s="94"/>
      <c r="I4" s="49"/>
      <c r="J4" s="49"/>
      <c r="K4" s="49"/>
      <c r="L4" s="49"/>
      <c r="M4" s="49"/>
      <c r="N4" s="93" t="s">
        <v>30</v>
      </c>
      <c r="O4" s="94"/>
    </row>
    <row r="5" spans="1:16" ht="18" customHeight="1" x14ac:dyDescent="0.25">
      <c r="C5" s="78">
        <f>SUM('187293-LAKE-BEIRA-LSK'!$P$10:$P$38)</f>
        <v>50750</v>
      </c>
      <c r="D5" s="79"/>
      <c r="E5" s="79"/>
      <c r="F5" s="83" t="str">
        <f>COUNTIF('187293-LAKE-BEIRA-LSK'!$O$10:$O$38,"DEMURRAGE")&amp;" / "&amp;COUNTA('187293-LAKE-BEIRA-LSK'!$A$10:$A$38)</f>
        <v>29 / 29</v>
      </c>
      <c r="G5" s="84"/>
      <c r="H5" s="84"/>
      <c r="I5" s="49"/>
      <c r="J5" s="49"/>
      <c r="K5" s="49"/>
      <c r="L5" s="49"/>
      <c r="M5" s="49"/>
      <c r="N5" s="5" t="s">
        <v>21</v>
      </c>
      <c r="O5" s="75">
        <v>187293</v>
      </c>
    </row>
    <row r="6" spans="1:16" ht="18" customHeight="1" x14ac:dyDescent="0.25">
      <c r="C6" s="80"/>
      <c r="D6" s="79"/>
      <c r="E6" s="79"/>
      <c r="F6" s="85"/>
      <c r="G6" s="84"/>
      <c r="H6" s="84"/>
      <c r="I6" s="49"/>
      <c r="J6" s="49"/>
      <c r="K6" s="49"/>
      <c r="L6" s="49"/>
      <c r="M6" s="49"/>
      <c r="N6" s="5" t="s">
        <v>31</v>
      </c>
      <c r="O6" s="36">
        <f>IFERROR(_xlfn.XLOOKUP($O$5,DealsMaster[Deal No.],DealsMaster[Laytime Allowance (days)]),0)</f>
        <v>2</v>
      </c>
    </row>
    <row r="7" spans="1:16" ht="18" customHeight="1" x14ac:dyDescent="0.25">
      <c r="C7" s="81"/>
      <c r="D7" s="82"/>
      <c r="E7" s="82"/>
      <c r="F7" s="86"/>
      <c r="G7" s="87"/>
      <c r="H7" s="87"/>
      <c r="I7" s="49"/>
      <c r="J7" s="49"/>
      <c r="K7" s="49"/>
      <c r="L7" s="49"/>
      <c r="M7" s="49"/>
      <c r="N7" s="6" t="s">
        <v>32</v>
      </c>
      <c r="O7" s="74">
        <f>IFERROR(_xlfn.XLOOKUP($O$5,DealsMaster[Deal No.],DealsMaster[Demurrage Rate (USD/day)]),0)</f>
        <v>250</v>
      </c>
    </row>
    <row r="8" spans="1:16" ht="15.75" thickBot="1" x14ac:dyDescent="0.3">
      <c r="A8" s="48" t="s">
        <v>53</v>
      </c>
      <c r="B8" s="12" t="s">
        <v>54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6" ht="44.1" customHeight="1" x14ac:dyDescent="0.25">
      <c r="A9" s="50" t="s">
        <v>0</v>
      </c>
      <c r="B9" s="51" t="s">
        <v>1</v>
      </c>
      <c r="C9" s="51" t="s">
        <v>2</v>
      </c>
      <c r="D9" s="51" t="s">
        <v>19</v>
      </c>
      <c r="E9" s="51" t="s">
        <v>3</v>
      </c>
      <c r="F9" s="51" t="s">
        <v>4</v>
      </c>
      <c r="G9" s="51" t="s">
        <v>5</v>
      </c>
      <c r="H9" s="51" t="s">
        <v>6</v>
      </c>
      <c r="I9" s="51" t="s">
        <v>7</v>
      </c>
      <c r="J9" s="51" t="s">
        <v>8</v>
      </c>
      <c r="K9" s="51" t="s">
        <v>9</v>
      </c>
      <c r="L9" s="51" t="s">
        <v>10</v>
      </c>
      <c r="M9" s="51" t="s">
        <v>11</v>
      </c>
      <c r="N9" s="52" t="s">
        <v>97</v>
      </c>
      <c r="O9" s="52" t="s">
        <v>26</v>
      </c>
      <c r="P9" s="53" t="s">
        <v>13</v>
      </c>
    </row>
    <row r="10" spans="1:16" ht="21.95" customHeight="1" x14ac:dyDescent="0.25">
      <c r="A10" s="54">
        <f>$O$5</f>
        <v>187293</v>
      </c>
      <c r="B10" s="55" t="str">
        <f>IFERROR(_xlfn.XLOOKUP($O$5,DealsMaster[Deal No.],DealsMaster[Consignee]),"")</f>
        <v>Lake Petroleum Zambia</v>
      </c>
      <c r="C10" s="64">
        <v>46095</v>
      </c>
      <c r="D10" s="70" t="str">
        <f>IFERROR(_xlfn.XLOOKUP($O$5,DealsMaster[Deal No.],DealsMaster[Loading Port]),"")</f>
        <v>Beira</v>
      </c>
      <c r="E10" s="65" t="s">
        <v>82</v>
      </c>
      <c r="F10" s="65" t="s">
        <v>83</v>
      </c>
      <c r="G10" s="66" t="s">
        <v>64</v>
      </c>
      <c r="H10" s="66" t="s">
        <v>92</v>
      </c>
      <c r="I10" s="71" t="str">
        <f>IFERROR(_xlfn.XLOOKUP($O$5,DealsMaster[Deal No.],DealsMaster[Destination]),"")</f>
        <v>Lusaka</v>
      </c>
      <c r="J10" s="71" t="str">
        <f>IFERROR(_xlfn.XLOOKUP($O$5,DealsMaster[Deal No.],DealsMaster[Product]),"")</f>
        <v>PMS</v>
      </c>
      <c r="K10" s="64">
        <v>46102</v>
      </c>
      <c r="L10" s="64">
        <v>46113</v>
      </c>
      <c r="M10" s="56">
        <f>IF(OR(K10="",L10=""),"",L10-K10)</f>
        <v>11</v>
      </c>
      <c r="N10" s="57">
        <f>$O$6</f>
        <v>2</v>
      </c>
      <c r="O10" s="58" t="str">
        <f>IF(AND(C10&lt;&gt;"",K10&lt;&gt;"",K10&lt;C10),"⚠ Arrival &lt; Loaded",IF(AND(K10&lt;&gt;"",L10&lt;&gt;"",L10&lt;K10),"⚠ Offloaded &lt; Arrival",IF(M10="","",IF(M10&gt;N10,"DEMURRAGE","OK"))))</f>
        <v>DEMURRAGE</v>
      </c>
      <c r="P10" s="59">
        <f>IF(M10="","",MAX(0,M10-N10)*$O$7)</f>
        <v>2250</v>
      </c>
    </row>
    <row r="11" spans="1:16" ht="21.95" customHeight="1" x14ac:dyDescent="0.25">
      <c r="A11" s="54">
        <f t="shared" ref="A11:A38" si="0">$O$5</f>
        <v>187293</v>
      </c>
      <c r="B11" s="55" t="str">
        <f>IFERROR(_xlfn.XLOOKUP($O$5,DealsMaster[Deal No.],DealsMaster[Consignee]),"")</f>
        <v>Lake Petroleum Zambia</v>
      </c>
      <c r="C11" s="64">
        <v>46095</v>
      </c>
      <c r="D11" s="70" t="str">
        <f>IFERROR(_xlfn.XLOOKUP($O$5,DealsMaster[Deal No.],DealsMaster[Loading Port]),"")</f>
        <v>Beira</v>
      </c>
      <c r="E11" s="65" t="s">
        <v>84</v>
      </c>
      <c r="F11" s="65" t="s">
        <v>85</v>
      </c>
      <c r="G11" s="66" t="s">
        <v>64</v>
      </c>
      <c r="H11" s="66" t="s">
        <v>93</v>
      </c>
      <c r="I11" s="71" t="str">
        <f>IFERROR(_xlfn.XLOOKUP($O$5,DealsMaster[Deal No.],DealsMaster[Destination]),"")</f>
        <v>Lusaka</v>
      </c>
      <c r="J11" s="71" t="str">
        <f>IFERROR(_xlfn.XLOOKUP($O$5,DealsMaster[Deal No.],DealsMaster[Product]),"")</f>
        <v>PMS</v>
      </c>
      <c r="K11" s="64">
        <v>46099</v>
      </c>
      <c r="L11" s="64">
        <v>46111</v>
      </c>
      <c r="M11" s="56">
        <f t="shared" ref="M11:M38" si="1">IF(OR(K11="",L11=""),"",L11-K11)</f>
        <v>12</v>
      </c>
      <c r="N11" s="57">
        <f t="shared" ref="N11:N38" si="2">$O$6</f>
        <v>2</v>
      </c>
      <c r="O11" s="58" t="str">
        <f>IF(AND(C11&lt;&gt;"",K11&lt;&gt;"",K11&lt;C11),"⚠ Arrival &lt; Loaded",IF(AND(K11&lt;&gt;"",L11&lt;&gt;"",L11&lt;K11),"⚠ Offloaded &lt; Arrival",IF(M11="","",IF(M11&gt;N11,"DEMURRAGE","OK"))))</f>
        <v>DEMURRAGE</v>
      </c>
      <c r="P11" s="59">
        <f t="shared" ref="P11:P28" si="3">IF(M11="","",MAX(0,M11-N11)*$O$7)</f>
        <v>2500</v>
      </c>
    </row>
    <row r="12" spans="1:16" ht="21.95" customHeight="1" x14ac:dyDescent="0.25">
      <c r="A12" s="54">
        <f t="shared" si="0"/>
        <v>187293</v>
      </c>
      <c r="B12" s="55" t="str">
        <f>IFERROR(_xlfn.XLOOKUP($O$5,DealsMaster[Deal No.],DealsMaster[Consignee]),"")</f>
        <v>Lake Petroleum Zambia</v>
      </c>
      <c r="C12" s="64">
        <v>46095</v>
      </c>
      <c r="D12" s="70" t="str">
        <f>IFERROR(_xlfn.XLOOKUP($O$5,DealsMaster[Deal No.],DealsMaster[Loading Port]),"")</f>
        <v>Beira</v>
      </c>
      <c r="E12" s="65" t="s">
        <v>86</v>
      </c>
      <c r="F12" s="65" t="s">
        <v>87</v>
      </c>
      <c r="G12" s="66" t="s">
        <v>64</v>
      </c>
      <c r="H12" s="66" t="s">
        <v>94</v>
      </c>
      <c r="I12" s="71" t="str">
        <f>IFERROR(_xlfn.XLOOKUP($O$5,DealsMaster[Deal No.],DealsMaster[Destination]),"")</f>
        <v>Lusaka</v>
      </c>
      <c r="J12" s="71" t="str">
        <f>IFERROR(_xlfn.XLOOKUP($O$5,DealsMaster[Deal No.],DealsMaster[Product]),"")</f>
        <v>PMS</v>
      </c>
      <c r="K12" s="64">
        <v>46102</v>
      </c>
      <c r="L12" s="64">
        <v>46113</v>
      </c>
      <c r="M12" s="56">
        <f t="shared" si="1"/>
        <v>11</v>
      </c>
      <c r="N12" s="57">
        <f t="shared" si="2"/>
        <v>2</v>
      </c>
      <c r="O12" s="58" t="str">
        <f t="shared" ref="O12:O28" si="4">IF(AND(C12&lt;&gt;"",K12&lt;&gt;"",K12&lt;C12),"⚠ Arrival &lt; Loaded",IF(AND(K12&lt;&gt;"",L12&lt;&gt;"",L12&lt;K12),"⚠ Offloaded &lt; Arrival",IF(M12="","",IF(M12&gt;N12,"DEMURRAGE","OK"))))</f>
        <v>DEMURRAGE</v>
      </c>
      <c r="P12" s="59">
        <f t="shared" si="3"/>
        <v>2250</v>
      </c>
    </row>
    <row r="13" spans="1:16" ht="21.95" customHeight="1" x14ac:dyDescent="0.25">
      <c r="A13" s="54">
        <f t="shared" si="0"/>
        <v>187293</v>
      </c>
      <c r="B13" s="55" t="str">
        <f>IFERROR(_xlfn.XLOOKUP($O$5,DealsMaster[Deal No.],DealsMaster[Consignee]),"")</f>
        <v>Lake Petroleum Zambia</v>
      </c>
      <c r="C13" s="64">
        <v>46095</v>
      </c>
      <c r="D13" s="70" t="str">
        <f>IFERROR(_xlfn.XLOOKUP($O$5,DealsMaster[Deal No.],DealsMaster[Loading Port]),"")</f>
        <v>Beira</v>
      </c>
      <c r="E13" s="65" t="s">
        <v>88</v>
      </c>
      <c r="F13" s="65" t="s">
        <v>89</v>
      </c>
      <c r="G13" s="66" t="s">
        <v>64</v>
      </c>
      <c r="H13" s="66" t="s">
        <v>95</v>
      </c>
      <c r="I13" s="71" t="str">
        <f>IFERROR(_xlfn.XLOOKUP($O$5,DealsMaster[Deal No.],DealsMaster[Destination]),"")</f>
        <v>Lusaka</v>
      </c>
      <c r="J13" s="71" t="str">
        <f>IFERROR(_xlfn.XLOOKUP($O$5,DealsMaster[Deal No.],DealsMaster[Product]),"")</f>
        <v>PMS</v>
      </c>
      <c r="K13" s="64">
        <v>46102</v>
      </c>
      <c r="L13" s="64">
        <v>46113</v>
      </c>
      <c r="M13" s="56">
        <f t="shared" si="1"/>
        <v>11</v>
      </c>
      <c r="N13" s="57">
        <f t="shared" si="2"/>
        <v>2</v>
      </c>
      <c r="O13" s="58" t="str">
        <f t="shared" si="4"/>
        <v>DEMURRAGE</v>
      </c>
      <c r="P13" s="59">
        <f t="shared" si="3"/>
        <v>2250</v>
      </c>
    </row>
    <row r="14" spans="1:16" ht="21.95" customHeight="1" x14ac:dyDescent="0.25">
      <c r="A14" s="54">
        <f t="shared" si="0"/>
        <v>187293</v>
      </c>
      <c r="B14" s="55" t="str">
        <f>IFERROR(_xlfn.XLOOKUP($O$5,DealsMaster[Deal No.],DealsMaster[Consignee]),"")</f>
        <v>Lake Petroleum Zambia</v>
      </c>
      <c r="C14" s="64">
        <v>46095</v>
      </c>
      <c r="D14" s="70" t="str">
        <f>IFERROR(_xlfn.XLOOKUP($O$5,DealsMaster[Deal No.],DealsMaster[Loading Port]),"")</f>
        <v>Beira</v>
      </c>
      <c r="E14" s="65" t="s">
        <v>90</v>
      </c>
      <c r="F14" s="65" t="s">
        <v>91</v>
      </c>
      <c r="G14" s="66" t="s">
        <v>64</v>
      </c>
      <c r="H14" s="66" t="s">
        <v>96</v>
      </c>
      <c r="I14" s="71" t="str">
        <f>IFERROR(_xlfn.XLOOKUP($O$5,DealsMaster[Deal No.],DealsMaster[Destination]),"")</f>
        <v>Lusaka</v>
      </c>
      <c r="J14" s="71" t="str">
        <f>IFERROR(_xlfn.XLOOKUP($O$5,DealsMaster[Deal No.],DealsMaster[Product]),"")</f>
        <v>PMS</v>
      </c>
      <c r="K14" s="64">
        <v>46099</v>
      </c>
      <c r="L14" s="64">
        <v>46113</v>
      </c>
      <c r="M14" s="56">
        <f t="shared" si="1"/>
        <v>14</v>
      </c>
      <c r="N14" s="57">
        <f t="shared" si="2"/>
        <v>2</v>
      </c>
      <c r="O14" s="58" t="str">
        <f t="shared" si="4"/>
        <v>DEMURRAGE</v>
      </c>
      <c r="P14" s="59">
        <f t="shared" si="3"/>
        <v>3000</v>
      </c>
    </row>
    <row r="15" spans="1:16" ht="21.95" customHeight="1" x14ac:dyDescent="0.25">
      <c r="A15" s="54">
        <f t="shared" si="0"/>
        <v>187293</v>
      </c>
      <c r="B15" s="55" t="str">
        <f>IFERROR(_xlfn.XLOOKUP($O$5,DealsMaster[Deal No.],DealsMaster[Consignee]),"")</f>
        <v>Lake Petroleum Zambia</v>
      </c>
      <c r="C15" s="64">
        <v>46102</v>
      </c>
      <c r="D15" s="70" t="str">
        <f>IFERROR(_xlfn.XLOOKUP($O$5,DealsMaster[Deal No.],DealsMaster[Loading Port]),"")</f>
        <v>Beira</v>
      </c>
      <c r="E15" s="65" t="s">
        <v>98</v>
      </c>
      <c r="F15" s="65" t="s">
        <v>99</v>
      </c>
      <c r="G15" s="66" t="s">
        <v>64</v>
      </c>
      <c r="H15" s="66" t="s">
        <v>102</v>
      </c>
      <c r="I15" s="71" t="str">
        <f>IFERROR(_xlfn.XLOOKUP($O$5,DealsMaster[Deal No.],DealsMaster[Destination]),"")</f>
        <v>Lusaka</v>
      </c>
      <c r="J15" s="71" t="str">
        <f>IFERROR(_xlfn.XLOOKUP($O$5,DealsMaster[Deal No.],DealsMaster[Product]),"")</f>
        <v>PMS</v>
      </c>
      <c r="K15" s="64">
        <v>46106</v>
      </c>
      <c r="L15" s="64">
        <v>46111</v>
      </c>
      <c r="M15" s="56">
        <f t="shared" si="1"/>
        <v>5</v>
      </c>
      <c r="N15" s="57">
        <f t="shared" si="2"/>
        <v>2</v>
      </c>
      <c r="O15" s="58" t="str">
        <f t="shared" si="4"/>
        <v>DEMURRAGE</v>
      </c>
      <c r="P15" s="59">
        <f t="shared" si="3"/>
        <v>750</v>
      </c>
    </row>
    <row r="16" spans="1:16" ht="21.95" customHeight="1" x14ac:dyDescent="0.25">
      <c r="A16" s="54">
        <f t="shared" si="0"/>
        <v>187293</v>
      </c>
      <c r="B16" s="55" t="str">
        <f>IFERROR(_xlfn.XLOOKUP($O$5,DealsMaster[Deal No.],DealsMaster[Consignee]),"")</f>
        <v>Lake Petroleum Zambia</v>
      </c>
      <c r="C16" s="64">
        <v>46101</v>
      </c>
      <c r="D16" s="70" t="str">
        <f>IFERROR(_xlfn.XLOOKUP($O$5,DealsMaster[Deal No.],DealsMaster[Loading Port]),"")</f>
        <v>Beira</v>
      </c>
      <c r="E16" s="65" t="s">
        <v>100</v>
      </c>
      <c r="F16" s="65" t="s">
        <v>101</v>
      </c>
      <c r="G16" s="66" t="s">
        <v>64</v>
      </c>
      <c r="H16" s="66" t="s">
        <v>103</v>
      </c>
      <c r="I16" s="71" t="str">
        <f>IFERROR(_xlfn.XLOOKUP($O$5,DealsMaster[Deal No.],DealsMaster[Destination]),"")</f>
        <v>Lusaka</v>
      </c>
      <c r="J16" s="71" t="str">
        <f>IFERROR(_xlfn.XLOOKUP($O$5,DealsMaster[Deal No.],DealsMaster[Product]),"")</f>
        <v>PMS</v>
      </c>
      <c r="K16" s="64">
        <v>46111</v>
      </c>
      <c r="L16" s="64">
        <v>46114</v>
      </c>
      <c r="M16" s="56">
        <f t="shared" si="1"/>
        <v>3</v>
      </c>
      <c r="N16" s="57">
        <f t="shared" si="2"/>
        <v>2</v>
      </c>
      <c r="O16" s="58" t="str">
        <f t="shared" si="4"/>
        <v>DEMURRAGE</v>
      </c>
      <c r="P16" s="59">
        <f t="shared" si="3"/>
        <v>250</v>
      </c>
    </row>
    <row r="17" spans="1:16" ht="21.95" customHeight="1" x14ac:dyDescent="0.25">
      <c r="A17" s="54">
        <f t="shared" si="0"/>
        <v>187293</v>
      </c>
      <c r="B17" s="55" t="str">
        <f>IFERROR(_xlfn.XLOOKUP($O$5,DealsMaster[Deal No.],DealsMaster[Consignee]),"")</f>
        <v>Lake Petroleum Zambia</v>
      </c>
      <c r="C17" s="64">
        <v>46079</v>
      </c>
      <c r="D17" s="70" t="str">
        <f>IFERROR(_xlfn.XLOOKUP($O$5,DealsMaster[Deal No.],DealsMaster[Loading Port]),"")</f>
        <v>Beira</v>
      </c>
      <c r="E17" s="65" t="s">
        <v>187</v>
      </c>
      <c r="F17" s="65" t="s">
        <v>188</v>
      </c>
      <c r="G17" s="66" t="s">
        <v>174</v>
      </c>
      <c r="H17" s="66" t="s">
        <v>175</v>
      </c>
      <c r="I17" s="71" t="str">
        <f>IFERROR(_xlfn.XLOOKUP($O$5,DealsMaster[Deal No.],DealsMaster[Destination]),"")</f>
        <v>Lusaka</v>
      </c>
      <c r="J17" s="71" t="str">
        <f>IFERROR(_xlfn.XLOOKUP($O$5,DealsMaster[Deal No.],DealsMaster[Product]),"")</f>
        <v>PMS</v>
      </c>
      <c r="K17" s="64">
        <v>46088</v>
      </c>
      <c r="L17" s="64">
        <v>46099</v>
      </c>
      <c r="M17" s="56">
        <f t="shared" si="1"/>
        <v>11</v>
      </c>
      <c r="N17" s="57">
        <f t="shared" si="2"/>
        <v>2</v>
      </c>
      <c r="O17" s="58" t="str">
        <f t="shared" si="4"/>
        <v>DEMURRAGE</v>
      </c>
      <c r="P17" s="59">
        <f t="shared" si="3"/>
        <v>2250</v>
      </c>
    </row>
    <row r="18" spans="1:16" ht="21.95" customHeight="1" x14ac:dyDescent="0.25">
      <c r="A18" s="54">
        <f t="shared" si="0"/>
        <v>187293</v>
      </c>
      <c r="B18" s="55" t="str">
        <f>IFERROR(_xlfn.XLOOKUP($O$5,DealsMaster[Deal No.],DealsMaster[Consignee]),"")</f>
        <v>Lake Petroleum Zambia</v>
      </c>
      <c r="C18" s="64">
        <v>46079</v>
      </c>
      <c r="D18" s="70" t="str">
        <f>IFERROR(_xlfn.XLOOKUP($O$5,DealsMaster[Deal No.],DealsMaster[Loading Port]),"")</f>
        <v>Beira</v>
      </c>
      <c r="E18" s="65" t="s">
        <v>189</v>
      </c>
      <c r="F18" s="65" t="s">
        <v>190</v>
      </c>
      <c r="G18" s="66" t="s">
        <v>174</v>
      </c>
      <c r="H18" s="66" t="s">
        <v>176</v>
      </c>
      <c r="I18" s="71" t="str">
        <f>IFERROR(_xlfn.XLOOKUP($O$5,DealsMaster[Deal No.],DealsMaster[Destination]),"")</f>
        <v>Lusaka</v>
      </c>
      <c r="J18" s="71" t="str">
        <f>IFERROR(_xlfn.XLOOKUP($O$5,DealsMaster[Deal No.],DealsMaster[Product]),"")</f>
        <v>PMS</v>
      </c>
      <c r="K18" s="64">
        <v>46082</v>
      </c>
      <c r="L18" s="64">
        <v>46086</v>
      </c>
      <c r="M18" s="56">
        <f t="shared" si="1"/>
        <v>4</v>
      </c>
      <c r="N18" s="57">
        <f t="shared" si="2"/>
        <v>2</v>
      </c>
      <c r="O18" s="58" t="str">
        <f t="shared" si="4"/>
        <v>DEMURRAGE</v>
      </c>
      <c r="P18" s="59">
        <f t="shared" si="3"/>
        <v>500</v>
      </c>
    </row>
    <row r="19" spans="1:16" ht="21.95" customHeight="1" x14ac:dyDescent="0.25">
      <c r="A19" s="54">
        <f t="shared" si="0"/>
        <v>187293</v>
      </c>
      <c r="B19" s="55" t="str">
        <f>IFERROR(_xlfn.XLOOKUP($O$5,DealsMaster[Deal No.],DealsMaster[Consignee]),"")</f>
        <v>Lake Petroleum Zambia</v>
      </c>
      <c r="C19" s="64">
        <v>46079</v>
      </c>
      <c r="D19" s="70" t="str">
        <f>IFERROR(_xlfn.XLOOKUP($O$5,DealsMaster[Deal No.],DealsMaster[Loading Port]),"")</f>
        <v>Beira</v>
      </c>
      <c r="E19" s="65" t="s">
        <v>191</v>
      </c>
      <c r="F19" s="65" t="s">
        <v>192</v>
      </c>
      <c r="G19" s="66" t="s">
        <v>174</v>
      </c>
      <c r="H19" s="66" t="s">
        <v>177</v>
      </c>
      <c r="I19" s="71" t="str">
        <f>IFERROR(_xlfn.XLOOKUP($O$5,DealsMaster[Deal No.],DealsMaster[Destination]),"")</f>
        <v>Lusaka</v>
      </c>
      <c r="J19" s="71" t="str">
        <f>IFERROR(_xlfn.XLOOKUP($O$5,DealsMaster[Deal No.],DealsMaster[Product]),"")</f>
        <v>PMS</v>
      </c>
      <c r="K19" s="64">
        <v>46088</v>
      </c>
      <c r="L19" s="64">
        <v>46100</v>
      </c>
      <c r="M19" s="56">
        <f t="shared" si="1"/>
        <v>12</v>
      </c>
      <c r="N19" s="57">
        <f t="shared" si="2"/>
        <v>2</v>
      </c>
      <c r="O19" s="58" t="str">
        <f t="shared" si="4"/>
        <v>DEMURRAGE</v>
      </c>
      <c r="P19" s="59">
        <f t="shared" si="3"/>
        <v>2500</v>
      </c>
    </row>
    <row r="20" spans="1:16" ht="21.95" customHeight="1" x14ac:dyDescent="0.25">
      <c r="A20" s="54">
        <f t="shared" si="0"/>
        <v>187293</v>
      </c>
      <c r="B20" s="55" t="str">
        <f>IFERROR(_xlfn.XLOOKUP($O$5,DealsMaster[Deal No.],DealsMaster[Consignee]),"")</f>
        <v>Lake Petroleum Zambia</v>
      </c>
      <c r="C20" s="64">
        <v>46079</v>
      </c>
      <c r="D20" s="70" t="str">
        <f>IFERROR(_xlfn.XLOOKUP($O$5,DealsMaster[Deal No.],DealsMaster[Loading Port]),"")</f>
        <v>Beira</v>
      </c>
      <c r="E20" s="65" t="s">
        <v>193</v>
      </c>
      <c r="F20" s="65" t="s">
        <v>194</v>
      </c>
      <c r="G20" s="66" t="s">
        <v>174</v>
      </c>
      <c r="H20" s="66" t="s">
        <v>178</v>
      </c>
      <c r="I20" s="71" t="str">
        <f>IFERROR(_xlfn.XLOOKUP($O$5,DealsMaster[Deal No.],DealsMaster[Destination]),"")</f>
        <v>Lusaka</v>
      </c>
      <c r="J20" s="71" t="str">
        <f>IFERROR(_xlfn.XLOOKUP($O$5,DealsMaster[Deal No.],DealsMaster[Product]),"")</f>
        <v>PMS</v>
      </c>
      <c r="K20" s="64">
        <v>46084</v>
      </c>
      <c r="L20" s="64">
        <v>46088</v>
      </c>
      <c r="M20" s="56">
        <f t="shared" si="1"/>
        <v>4</v>
      </c>
      <c r="N20" s="57">
        <f t="shared" si="2"/>
        <v>2</v>
      </c>
      <c r="O20" s="58" t="str">
        <f t="shared" si="4"/>
        <v>DEMURRAGE</v>
      </c>
      <c r="P20" s="59">
        <f t="shared" si="3"/>
        <v>500</v>
      </c>
    </row>
    <row r="21" spans="1:16" ht="21.95" customHeight="1" x14ac:dyDescent="0.25">
      <c r="A21" s="54">
        <f t="shared" si="0"/>
        <v>187293</v>
      </c>
      <c r="B21" s="55" t="str">
        <f>IFERROR(_xlfn.XLOOKUP($O$5,DealsMaster[Deal No.],DealsMaster[Consignee]),"")</f>
        <v>Lake Petroleum Zambia</v>
      </c>
      <c r="C21" s="64">
        <v>46079</v>
      </c>
      <c r="D21" s="70" t="str">
        <f>IFERROR(_xlfn.XLOOKUP($O$5,DealsMaster[Deal No.],DealsMaster[Loading Port]),"")</f>
        <v>Beira</v>
      </c>
      <c r="E21" s="65" t="s">
        <v>195</v>
      </c>
      <c r="F21" s="65" t="s">
        <v>196</v>
      </c>
      <c r="G21" s="66" t="s">
        <v>174</v>
      </c>
      <c r="H21" s="66" t="s">
        <v>179</v>
      </c>
      <c r="I21" s="71" t="str">
        <f>IFERROR(_xlfn.XLOOKUP($O$5,DealsMaster[Deal No.],DealsMaster[Destination]),"")</f>
        <v>Lusaka</v>
      </c>
      <c r="J21" s="71" t="str">
        <f>IFERROR(_xlfn.XLOOKUP($O$5,DealsMaster[Deal No.],DealsMaster[Product]),"")</f>
        <v>PMS</v>
      </c>
      <c r="K21" s="64">
        <v>46082</v>
      </c>
      <c r="L21" s="64">
        <v>46086</v>
      </c>
      <c r="M21" s="56">
        <f t="shared" si="1"/>
        <v>4</v>
      </c>
      <c r="N21" s="57">
        <f t="shared" si="2"/>
        <v>2</v>
      </c>
      <c r="O21" s="58" t="str">
        <f t="shared" si="4"/>
        <v>DEMURRAGE</v>
      </c>
      <c r="P21" s="59">
        <f t="shared" si="3"/>
        <v>500</v>
      </c>
    </row>
    <row r="22" spans="1:16" ht="21.95" customHeight="1" x14ac:dyDescent="0.25">
      <c r="A22" s="54">
        <f t="shared" si="0"/>
        <v>187293</v>
      </c>
      <c r="B22" s="55" t="str">
        <f>IFERROR(_xlfn.XLOOKUP($O$5,DealsMaster[Deal No.],DealsMaster[Consignee]),"")</f>
        <v>Lake Petroleum Zambia</v>
      </c>
      <c r="C22" s="64">
        <v>46079</v>
      </c>
      <c r="D22" s="70" t="str">
        <f>IFERROR(_xlfn.XLOOKUP($O$5,DealsMaster[Deal No.],DealsMaster[Loading Port]),"")</f>
        <v>Beira</v>
      </c>
      <c r="E22" s="65" t="s">
        <v>197</v>
      </c>
      <c r="F22" s="65" t="s">
        <v>198</v>
      </c>
      <c r="G22" s="66" t="s">
        <v>174</v>
      </c>
      <c r="H22" s="66" t="s">
        <v>180</v>
      </c>
      <c r="I22" s="71" t="str">
        <f>IFERROR(_xlfn.XLOOKUP($O$5,DealsMaster[Deal No.],DealsMaster[Destination]),"")</f>
        <v>Lusaka</v>
      </c>
      <c r="J22" s="71" t="str">
        <f>IFERROR(_xlfn.XLOOKUP($O$5,DealsMaster[Deal No.],DealsMaster[Product]),"")</f>
        <v>PMS</v>
      </c>
      <c r="K22" s="64">
        <v>46083</v>
      </c>
      <c r="L22" s="64">
        <v>46088</v>
      </c>
      <c r="M22" s="56">
        <f t="shared" si="1"/>
        <v>5</v>
      </c>
      <c r="N22" s="57">
        <f t="shared" si="2"/>
        <v>2</v>
      </c>
      <c r="O22" s="58" t="str">
        <f t="shared" si="4"/>
        <v>DEMURRAGE</v>
      </c>
      <c r="P22" s="59">
        <f t="shared" si="3"/>
        <v>750</v>
      </c>
    </row>
    <row r="23" spans="1:16" ht="21.95" customHeight="1" x14ac:dyDescent="0.25">
      <c r="A23" s="54">
        <f t="shared" si="0"/>
        <v>187293</v>
      </c>
      <c r="B23" s="55" t="str">
        <f>IFERROR(_xlfn.XLOOKUP($O$5,DealsMaster[Deal No.],DealsMaster[Consignee]),"")</f>
        <v>Lake Petroleum Zambia</v>
      </c>
      <c r="C23" s="64">
        <v>46079</v>
      </c>
      <c r="D23" s="70" t="str">
        <f>IFERROR(_xlfn.XLOOKUP($O$5,DealsMaster[Deal No.],DealsMaster[Loading Port]),"")</f>
        <v>Beira</v>
      </c>
      <c r="E23" s="65" t="s">
        <v>199</v>
      </c>
      <c r="F23" s="65" t="s">
        <v>200</v>
      </c>
      <c r="G23" s="66" t="s">
        <v>174</v>
      </c>
      <c r="H23" s="66" t="s">
        <v>181</v>
      </c>
      <c r="I23" s="71" t="str">
        <f>IFERROR(_xlfn.XLOOKUP($O$5,DealsMaster[Deal No.],DealsMaster[Destination]),"")</f>
        <v>Lusaka</v>
      </c>
      <c r="J23" s="71" t="str">
        <f>IFERROR(_xlfn.XLOOKUP($O$5,DealsMaster[Deal No.],DealsMaster[Product]),"")</f>
        <v>PMS</v>
      </c>
      <c r="K23" s="64">
        <v>46082</v>
      </c>
      <c r="L23" s="64">
        <v>46086</v>
      </c>
      <c r="M23" s="56">
        <f t="shared" si="1"/>
        <v>4</v>
      </c>
      <c r="N23" s="57">
        <f t="shared" si="2"/>
        <v>2</v>
      </c>
      <c r="O23" s="58" t="str">
        <f t="shared" si="4"/>
        <v>DEMURRAGE</v>
      </c>
      <c r="P23" s="59">
        <f t="shared" si="3"/>
        <v>500</v>
      </c>
    </row>
    <row r="24" spans="1:16" ht="21.95" customHeight="1" x14ac:dyDescent="0.25">
      <c r="A24" s="54">
        <f t="shared" si="0"/>
        <v>187293</v>
      </c>
      <c r="B24" s="55" t="str">
        <f>IFERROR(_xlfn.XLOOKUP($O$5,DealsMaster[Deal No.],DealsMaster[Consignee]),"")</f>
        <v>Lake Petroleum Zambia</v>
      </c>
      <c r="C24" s="64">
        <v>46079</v>
      </c>
      <c r="D24" s="70" t="str">
        <f>IFERROR(_xlfn.XLOOKUP($O$5,DealsMaster[Deal No.],DealsMaster[Loading Port]),"")</f>
        <v>Beira</v>
      </c>
      <c r="E24" s="65" t="s">
        <v>201</v>
      </c>
      <c r="F24" s="65" t="s">
        <v>202</v>
      </c>
      <c r="G24" s="66" t="s">
        <v>174</v>
      </c>
      <c r="H24" s="66" t="s">
        <v>182</v>
      </c>
      <c r="I24" s="71" t="str">
        <f>IFERROR(_xlfn.XLOOKUP($O$5,DealsMaster[Deal No.],DealsMaster[Destination]),"")</f>
        <v>Lusaka</v>
      </c>
      <c r="J24" s="71" t="str">
        <f>IFERROR(_xlfn.XLOOKUP($O$5,DealsMaster[Deal No.],DealsMaster[Product]),"")</f>
        <v>PMS</v>
      </c>
      <c r="K24" s="64">
        <v>46082</v>
      </c>
      <c r="L24" s="64">
        <v>46086</v>
      </c>
      <c r="M24" s="56">
        <f t="shared" si="1"/>
        <v>4</v>
      </c>
      <c r="N24" s="57">
        <f t="shared" si="2"/>
        <v>2</v>
      </c>
      <c r="O24" s="58" t="str">
        <f t="shared" si="4"/>
        <v>DEMURRAGE</v>
      </c>
      <c r="P24" s="59">
        <f t="shared" si="3"/>
        <v>500</v>
      </c>
    </row>
    <row r="25" spans="1:16" ht="21.95" customHeight="1" x14ac:dyDescent="0.25">
      <c r="A25" s="54">
        <f t="shared" si="0"/>
        <v>187293</v>
      </c>
      <c r="B25" s="55" t="str">
        <f>IFERROR(_xlfn.XLOOKUP($O$5,DealsMaster[Deal No.],DealsMaster[Consignee]),"")</f>
        <v>Lake Petroleum Zambia</v>
      </c>
      <c r="C25" s="64">
        <v>46079</v>
      </c>
      <c r="D25" s="70" t="str">
        <f>IFERROR(_xlfn.XLOOKUP($O$5,DealsMaster[Deal No.],DealsMaster[Loading Port]),"")</f>
        <v>Beira</v>
      </c>
      <c r="E25" s="65" t="s">
        <v>203</v>
      </c>
      <c r="F25" s="65" t="s">
        <v>204</v>
      </c>
      <c r="G25" s="66" t="s">
        <v>174</v>
      </c>
      <c r="H25" s="66" t="s">
        <v>183</v>
      </c>
      <c r="I25" s="71" t="str">
        <f>IFERROR(_xlfn.XLOOKUP($O$5,DealsMaster[Deal No.],DealsMaster[Destination]),"")</f>
        <v>Lusaka</v>
      </c>
      <c r="J25" s="71" t="str">
        <f>IFERROR(_xlfn.XLOOKUP($O$5,DealsMaster[Deal No.],DealsMaster[Product]),"")</f>
        <v>PMS</v>
      </c>
      <c r="K25" s="64">
        <v>46083</v>
      </c>
      <c r="L25" s="64">
        <v>46087</v>
      </c>
      <c r="M25" s="56">
        <f t="shared" si="1"/>
        <v>4</v>
      </c>
      <c r="N25" s="57">
        <f t="shared" si="2"/>
        <v>2</v>
      </c>
      <c r="O25" s="58" t="str">
        <f t="shared" si="4"/>
        <v>DEMURRAGE</v>
      </c>
      <c r="P25" s="59">
        <f t="shared" si="3"/>
        <v>500</v>
      </c>
    </row>
    <row r="26" spans="1:16" ht="21.95" customHeight="1" x14ac:dyDescent="0.25">
      <c r="A26" s="54">
        <f t="shared" si="0"/>
        <v>187293</v>
      </c>
      <c r="B26" s="55" t="str">
        <f>IFERROR(_xlfn.XLOOKUP($O$5,DealsMaster[Deal No.],DealsMaster[Consignee]),"")</f>
        <v>Lake Petroleum Zambia</v>
      </c>
      <c r="C26" s="64">
        <v>46079</v>
      </c>
      <c r="D26" s="70" t="str">
        <f>IFERROR(_xlfn.XLOOKUP($O$5,DealsMaster[Deal No.],DealsMaster[Loading Port]),"")</f>
        <v>Beira</v>
      </c>
      <c r="E26" s="65" t="s">
        <v>205</v>
      </c>
      <c r="F26" s="65" t="s">
        <v>206</v>
      </c>
      <c r="G26" s="66" t="s">
        <v>174</v>
      </c>
      <c r="H26" s="66" t="s">
        <v>184</v>
      </c>
      <c r="I26" s="71" t="str">
        <f>IFERROR(_xlfn.XLOOKUP($O$5,DealsMaster[Deal No.],DealsMaster[Destination]),"")</f>
        <v>Lusaka</v>
      </c>
      <c r="J26" s="71" t="str">
        <f>IFERROR(_xlfn.XLOOKUP($O$5,DealsMaster[Deal No.],DealsMaster[Product]),"")</f>
        <v>PMS</v>
      </c>
      <c r="K26" s="64">
        <v>46088</v>
      </c>
      <c r="L26" s="64">
        <v>46099</v>
      </c>
      <c r="M26" s="56">
        <f t="shared" si="1"/>
        <v>11</v>
      </c>
      <c r="N26" s="57">
        <f t="shared" si="2"/>
        <v>2</v>
      </c>
      <c r="O26" s="58" t="str">
        <f t="shared" si="4"/>
        <v>DEMURRAGE</v>
      </c>
      <c r="P26" s="59">
        <f t="shared" si="3"/>
        <v>2250</v>
      </c>
    </row>
    <row r="27" spans="1:16" ht="21.95" customHeight="1" x14ac:dyDescent="0.25">
      <c r="A27" s="54">
        <f t="shared" si="0"/>
        <v>187293</v>
      </c>
      <c r="B27" s="55" t="str">
        <f>IFERROR(_xlfn.XLOOKUP($O$5,DealsMaster[Deal No.],DealsMaster[Consignee]),"")</f>
        <v>Lake Petroleum Zambia</v>
      </c>
      <c r="C27" s="64">
        <v>46079</v>
      </c>
      <c r="D27" s="70" t="str">
        <f>IFERROR(_xlfn.XLOOKUP($O$5,DealsMaster[Deal No.],DealsMaster[Loading Port]),"")</f>
        <v>Beira</v>
      </c>
      <c r="E27" s="65" t="s">
        <v>207</v>
      </c>
      <c r="F27" s="65" t="s">
        <v>208</v>
      </c>
      <c r="G27" s="66" t="s">
        <v>174</v>
      </c>
      <c r="H27" s="66" t="s">
        <v>185</v>
      </c>
      <c r="I27" s="71" t="str">
        <f>IFERROR(_xlfn.XLOOKUP($O$5,DealsMaster[Deal No.],DealsMaster[Destination]),"")</f>
        <v>Lusaka</v>
      </c>
      <c r="J27" s="71" t="str">
        <f>IFERROR(_xlfn.XLOOKUP($O$5,DealsMaster[Deal No.],DealsMaster[Product]),"")</f>
        <v>PMS</v>
      </c>
      <c r="K27" s="64">
        <v>46088</v>
      </c>
      <c r="L27" s="64">
        <v>46097</v>
      </c>
      <c r="M27" s="56">
        <f t="shared" si="1"/>
        <v>9</v>
      </c>
      <c r="N27" s="57">
        <f t="shared" si="2"/>
        <v>2</v>
      </c>
      <c r="O27" s="58" t="str">
        <f t="shared" si="4"/>
        <v>DEMURRAGE</v>
      </c>
      <c r="P27" s="59">
        <f t="shared" si="3"/>
        <v>1750</v>
      </c>
    </row>
    <row r="28" spans="1:16" ht="21.95" customHeight="1" x14ac:dyDescent="0.25">
      <c r="A28" s="54">
        <f t="shared" si="0"/>
        <v>187293</v>
      </c>
      <c r="B28" s="55" t="str">
        <f>IFERROR(_xlfn.XLOOKUP($O$5,DealsMaster[Deal No.],DealsMaster[Consignee]),"")</f>
        <v>Lake Petroleum Zambia</v>
      </c>
      <c r="C28" s="64">
        <v>46079</v>
      </c>
      <c r="D28" s="70" t="str">
        <f>IFERROR(_xlfn.XLOOKUP($O$5,DealsMaster[Deal No.],DealsMaster[Loading Port]),"")</f>
        <v>Beira</v>
      </c>
      <c r="E28" s="65" t="s">
        <v>209</v>
      </c>
      <c r="F28" s="65" t="s">
        <v>210</v>
      </c>
      <c r="G28" s="66" t="s">
        <v>174</v>
      </c>
      <c r="H28" s="66" t="s">
        <v>186</v>
      </c>
      <c r="I28" s="71" t="str">
        <f>IFERROR(_xlfn.XLOOKUP($O$5,DealsMaster[Deal No.],DealsMaster[Destination]),"")</f>
        <v>Lusaka</v>
      </c>
      <c r="J28" s="71" t="str">
        <f>IFERROR(_xlfn.XLOOKUP($O$5,DealsMaster[Deal No.],DealsMaster[Product]),"")</f>
        <v>PMS</v>
      </c>
      <c r="K28" s="64">
        <v>46082</v>
      </c>
      <c r="L28" s="64">
        <v>46086</v>
      </c>
      <c r="M28" s="56">
        <f t="shared" si="1"/>
        <v>4</v>
      </c>
      <c r="N28" s="57">
        <f t="shared" si="2"/>
        <v>2</v>
      </c>
      <c r="O28" s="58" t="str">
        <f t="shared" si="4"/>
        <v>DEMURRAGE</v>
      </c>
      <c r="P28" s="59">
        <f t="shared" si="3"/>
        <v>500</v>
      </c>
    </row>
    <row r="29" spans="1:16" ht="21.95" customHeight="1" x14ac:dyDescent="0.25">
      <c r="A29" s="54">
        <f t="shared" si="0"/>
        <v>187293</v>
      </c>
      <c r="B29" s="55" t="str">
        <f>IFERROR(_xlfn.XLOOKUP($O$5,DealsMaster[Deal No.],DealsMaster[Consignee]),"")</f>
        <v>Lake Petroleum Zambia</v>
      </c>
      <c r="C29" s="64">
        <v>46087</v>
      </c>
      <c r="D29" s="70" t="str">
        <f>IFERROR(_xlfn.XLOOKUP($O$5,DealsMaster[Deal No.],DealsMaster[Loading Port]),"")</f>
        <v>Beira</v>
      </c>
      <c r="E29" s="65" t="s">
        <v>315</v>
      </c>
      <c r="F29" s="65" t="s">
        <v>316</v>
      </c>
      <c r="G29" s="66" t="s">
        <v>77</v>
      </c>
      <c r="H29" s="66" t="s">
        <v>331</v>
      </c>
      <c r="I29" s="71" t="str">
        <f>IFERROR(_xlfn.XLOOKUP($O$5,DealsMaster[Deal No.],DealsMaster[Destination]),"")</f>
        <v>Lusaka</v>
      </c>
      <c r="J29" s="71" t="str">
        <f>IFERROR(_xlfn.XLOOKUP($O$5,DealsMaster[Deal No.],DealsMaster[Product]),"")</f>
        <v>PMS</v>
      </c>
      <c r="K29" s="64">
        <v>46092</v>
      </c>
      <c r="L29" s="64">
        <v>46106</v>
      </c>
      <c r="M29" s="56">
        <f t="shared" si="1"/>
        <v>14</v>
      </c>
      <c r="N29" s="57">
        <f t="shared" si="2"/>
        <v>2</v>
      </c>
      <c r="O29" s="58" t="str">
        <f t="shared" ref="O29:O38" si="5">IF(AND(C29&lt;&gt;"",K29&lt;&gt;"",K29&lt;C29),"⚠ Arrival &lt; Loaded",IF(AND(K29&lt;&gt;"",L29&lt;&gt;"",L29&lt;K29),"⚠ Offloaded &lt; Arrival",IF(M29="","",IF(M29&gt;N29,"DEMURRAGE","OK"))))</f>
        <v>DEMURRAGE</v>
      </c>
      <c r="P29" s="59">
        <f t="shared" ref="P29:P38" si="6">IF(M29="","",MAX(0,M29-N29)*$O$7)</f>
        <v>3000</v>
      </c>
    </row>
    <row r="30" spans="1:16" ht="21.95" customHeight="1" x14ac:dyDescent="0.25">
      <c r="A30" s="54">
        <f t="shared" si="0"/>
        <v>187293</v>
      </c>
      <c r="B30" s="55" t="str">
        <f>IFERROR(_xlfn.XLOOKUP($O$5,DealsMaster[Deal No.],DealsMaster[Consignee]),"")</f>
        <v>Lake Petroleum Zambia</v>
      </c>
      <c r="C30" s="64">
        <v>46086</v>
      </c>
      <c r="D30" s="70" t="str">
        <f>IFERROR(_xlfn.XLOOKUP($O$5,DealsMaster[Deal No.],DealsMaster[Loading Port]),"")</f>
        <v>Beira</v>
      </c>
      <c r="E30" s="65" t="s">
        <v>71</v>
      </c>
      <c r="F30" s="65" t="s">
        <v>72</v>
      </c>
      <c r="G30" s="66" t="s">
        <v>77</v>
      </c>
      <c r="H30" s="66" t="s">
        <v>332</v>
      </c>
      <c r="I30" s="71" t="str">
        <f>IFERROR(_xlfn.XLOOKUP($O$5,DealsMaster[Deal No.],DealsMaster[Destination]),"")</f>
        <v>Lusaka</v>
      </c>
      <c r="J30" s="71" t="str">
        <f>IFERROR(_xlfn.XLOOKUP($O$5,DealsMaster[Deal No.],DealsMaster[Product]),"")</f>
        <v>PMS</v>
      </c>
      <c r="K30" s="64">
        <v>46093</v>
      </c>
      <c r="L30" s="64">
        <v>46107</v>
      </c>
      <c r="M30" s="56">
        <f t="shared" si="1"/>
        <v>14</v>
      </c>
      <c r="N30" s="57">
        <f t="shared" si="2"/>
        <v>2</v>
      </c>
      <c r="O30" s="58" t="str">
        <f t="shared" si="5"/>
        <v>DEMURRAGE</v>
      </c>
      <c r="P30" s="59">
        <f t="shared" si="6"/>
        <v>3000</v>
      </c>
    </row>
    <row r="31" spans="1:16" ht="21.95" customHeight="1" x14ac:dyDescent="0.25">
      <c r="A31" s="54">
        <f t="shared" si="0"/>
        <v>187293</v>
      </c>
      <c r="B31" s="55" t="str">
        <f>IFERROR(_xlfn.XLOOKUP($O$5,DealsMaster[Deal No.],DealsMaster[Consignee]),"")</f>
        <v>Lake Petroleum Zambia</v>
      </c>
      <c r="C31" s="64">
        <v>46086</v>
      </c>
      <c r="D31" s="70" t="str">
        <f>IFERROR(_xlfn.XLOOKUP($O$5,DealsMaster[Deal No.],DealsMaster[Loading Port]),"")</f>
        <v>Beira</v>
      </c>
      <c r="E31" s="65" t="s">
        <v>69</v>
      </c>
      <c r="F31" s="65" t="s">
        <v>70</v>
      </c>
      <c r="G31" s="66" t="s">
        <v>77</v>
      </c>
      <c r="H31" s="66" t="s">
        <v>333</v>
      </c>
      <c r="I31" s="71" t="str">
        <f>IFERROR(_xlfn.XLOOKUP($O$5,DealsMaster[Deal No.],DealsMaster[Destination]),"")</f>
        <v>Lusaka</v>
      </c>
      <c r="J31" s="71" t="str">
        <f>IFERROR(_xlfn.XLOOKUP($O$5,DealsMaster[Deal No.],DealsMaster[Product]),"")</f>
        <v>PMS</v>
      </c>
      <c r="K31" s="64">
        <v>46092</v>
      </c>
      <c r="L31" s="64">
        <v>46105</v>
      </c>
      <c r="M31" s="56">
        <f t="shared" si="1"/>
        <v>13</v>
      </c>
      <c r="N31" s="57">
        <f t="shared" si="2"/>
        <v>2</v>
      </c>
      <c r="O31" s="58" t="str">
        <f t="shared" si="5"/>
        <v>DEMURRAGE</v>
      </c>
      <c r="P31" s="59">
        <f t="shared" si="6"/>
        <v>2750</v>
      </c>
    </row>
    <row r="32" spans="1:16" ht="21.95" customHeight="1" x14ac:dyDescent="0.25">
      <c r="A32" s="54">
        <f t="shared" si="0"/>
        <v>187293</v>
      </c>
      <c r="B32" s="55" t="str">
        <f>IFERROR(_xlfn.XLOOKUP($O$5,DealsMaster[Deal No.],DealsMaster[Consignee]),"")</f>
        <v>Lake Petroleum Zambia</v>
      </c>
      <c r="C32" s="64">
        <v>46086</v>
      </c>
      <c r="D32" s="70" t="str">
        <f>IFERROR(_xlfn.XLOOKUP($O$5,DealsMaster[Deal No.],DealsMaster[Loading Port]),"")</f>
        <v>Beira</v>
      </c>
      <c r="E32" s="65" t="s">
        <v>73</v>
      </c>
      <c r="F32" s="65" t="s">
        <v>74</v>
      </c>
      <c r="G32" s="66" t="s">
        <v>77</v>
      </c>
      <c r="H32" s="66" t="s">
        <v>334</v>
      </c>
      <c r="I32" s="71" t="str">
        <f>IFERROR(_xlfn.XLOOKUP($O$5,DealsMaster[Deal No.],DealsMaster[Destination]),"")</f>
        <v>Lusaka</v>
      </c>
      <c r="J32" s="71" t="str">
        <f>IFERROR(_xlfn.XLOOKUP($O$5,DealsMaster[Deal No.],DealsMaster[Product]),"")</f>
        <v>PMS</v>
      </c>
      <c r="K32" s="64">
        <v>46093</v>
      </c>
      <c r="L32" s="64">
        <v>46107</v>
      </c>
      <c r="M32" s="56">
        <f t="shared" si="1"/>
        <v>14</v>
      </c>
      <c r="N32" s="57">
        <f t="shared" si="2"/>
        <v>2</v>
      </c>
      <c r="O32" s="58" t="str">
        <f t="shared" si="5"/>
        <v>DEMURRAGE</v>
      </c>
      <c r="P32" s="59">
        <f t="shared" si="6"/>
        <v>3000</v>
      </c>
    </row>
    <row r="33" spans="1:16" ht="21.95" customHeight="1" x14ac:dyDescent="0.25">
      <c r="A33" s="54">
        <f t="shared" si="0"/>
        <v>187293</v>
      </c>
      <c r="B33" s="55" t="str">
        <f>IFERROR(_xlfn.XLOOKUP($O$5,DealsMaster[Deal No.],DealsMaster[Consignee]),"")</f>
        <v>Lake Petroleum Zambia</v>
      </c>
      <c r="C33" s="64">
        <v>46085</v>
      </c>
      <c r="D33" s="70" t="str">
        <f>IFERROR(_xlfn.XLOOKUP($O$5,DealsMaster[Deal No.],DealsMaster[Loading Port]),"")</f>
        <v>Beira</v>
      </c>
      <c r="E33" s="65" t="s">
        <v>327</v>
      </c>
      <c r="F33" s="65" t="s">
        <v>328</v>
      </c>
      <c r="G33" s="66" t="s">
        <v>77</v>
      </c>
      <c r="H33" s="66" t="s">
        <v>335</v>
      </c>
      <c r="I33" s="71" t="str">
        <f>IFERROR(_xlfn.XLOOKUP($O$5,DealsMaster[Deal No.],DealsMaster[Destination]),"")</f>
        <v>Lusaka</v>
      </c>
      <c r="J33" s="71" t="str">
        <f>IFERROR(_xlfn.XLOOKUP($O$5,DealsMaster[Deal No.],DealsMaster[Product]),"")</f>
        <v>PMS</v>
      </c>
      <c r="K33" s="64">
        <v>46092</v>
      </c>
      <c r="L33" s="64">
        <v>46105</v>
      </c>
      <c r="M33" s="56">
        <f t="shared" si="1"/>
        <v>13</v>
      </c>
      <c r="N33" s="57">
        <f t="shared" si="2"/>
        <v>2</v>
      </c>
      <c r="O33" s="58" t="str">
        <f t="shared" si="5"/>
        <v>DEMURRAGE</v>
      </c>
      <c r="P33" s="59">
        <f t="shared" si="6"/>
        <v>2750</v>
      </c>
    </row>
    <row r="34" spans="1:16" ht="21.95" customHeight="1" x14ac:dyDescent="0.25">
      <c r="A34" s="54">
        <f t="shared" si="0"/>
        <v>187293</v>
      </c>
      <c r="B34" s="55" t="str">
        <f>IFERROR(_xlfn.XLOOKUP($O$5,DealsMaster[Deal No.],DealsMaster[Consignee]),"")</f>
        <v>Lake Petroleum Zambia</v>
      </c>
      <c r="C34" s="64">
        <v>46085</v>
      </c>
      <c r="D34" s="70" t="str">
        <f>IFERROR(_xlfn.XLOOKUP($O$5,DealsMaster[Deal No.],DealsMaster[Loading Port]),"")</f>
        <v>Beira</v>
      </c>
      <c r="E34" s="65" t="s">
        <v>329</v>
      </c>
      <c r="F34" s="65" t="s">
        <v>330</v>
      </c>
      <c r="G34" s="66" t="s">
        <v>77</v>
      </c>
      <c r="H34" s="66" t="s">
        <v>336</v>
      </c>
      <c r="I34" s="71" t="str">
        <f>IFERROR(_xlfn.XLOOKUP($O$5,DealsMaster[Deal No.],DealsMaster[Destination]),"")</f>
        <v>Lusaka</v>
      </c>
      <c r="J34" s="71" t="str">
        <f>IFERROR(_xlfn.XLOOKUP($O$5,DealsMaster[Deal No.],DealsMaster[Product]),"")</f>
        <v>PMS</v>
      </c>
      <c r="K34" s="64">
        <v>46092</v>
      </c>
      <c r="L34" s="64">
        <v>46105</v>
      </c>
      <c r="M34" s="56">
        <f t="shared" si="1"/>
        <v>13</v>
      </c>
      <c r="N34" s="57">
        <f t="shared" si="2"/>
        <v>2</v>
      </c>
      <c r="O34" s="58" t="str">
        <f t="shared" si="5"/>
        <v>DEMURRAGE</v>
      </c>
      <c r="P34" s="59">
        <f t="shared" si="6"/>
        <v>2750</v>
      </c>
    </row>
    <row r="35" spans="1:16" ht="21.95" customHeight="1" x14ac:dyDescent="0.25">
      <c r="A35" s="54">
        <f t="shared" si="0"/>
        <v>187293</v>
      </c>
      <c r="B35" s="55" t="str">
        <f>IFERROR(_xlfn.XLOOKUP($O$5,DealsMaster[Deal No.],DealsMaster[Consignee]),"")</f>
        <v>Lake Petroleum Zambia</v>
      </c>
      <c r="C35" s="64">
        <v>46085</v>
      </c>
      <c r="D35" s="70" t="str">
        <f>IFERROR(_xlfn.XLOOKUP($O$5,DealsMaster[Deal No.],DealsMaster[Loading Port]),"")</f>
        <v>Beira</v>
      </c>
      <c r="E35" s="65" t="s">
        <v>321</v>
      </c>
      <c r="F35" s="65" t="s">
        <v>322</v>
      </c>
      <c r="G35" s="66" t="s">
        <v>77</v>
      </c>
      <c r="H35" s="66" t="s">
        <v>337</v>
      </c>
      <c r="I35" s="71" t="str">
        <f>IFERROR(_xlfn.XLOOKUP($O$5,DealsMaster[Deal No.],DealsMaster[Destination]),"")</f>
        <v>Lusaka</v>
      </c>
      <c r="J35" s="71" t="str">
        <f>IFERROR(_xlfn.XLOOKUP($O$5,DealsMaster[Deal No.],DealsMaster[Product]),"")</f>
        <v>PMS</v>
      </c>
      <c r="K35" s="64">
        <v>46092</v>
      </c>
      <c r="L35" s="64">
        <v>46097</v>
      </c>
      <c r="M35" s="56">
        <f t="shared" si="1"/>
        <v>5</v>
      </c>
      <c r="N35" s="57">
        <f t="shared" si="2"/>
        <v>2</v>
      </c>
      <c r="O35" s="58" t="str">
        <f t="shared" si="5"/>
        <v>DEMURRAGE</v>
      </c>
      <c r="P35" s="59">
        <f t="shared" si="6"/>
        <v>750</v>
      </c>
    </row>
    <row r="36" spans="1:16" ht="21.95" customHeight="1" x14ac:dyDescent="0.25">
      <c r="A36" s="54">
        <f t="shared" si="0"/>
        <v>187293</v>
      </c>
      <c r="B36" s="55" t="str">
        <f>IFERROR(_xlfn.XLOOKUP($O$5,DealsMaster[Deal No.],DealsMaster[Consignee]),"")</f>
        <v>Lake Petroleum Zambia</v>
      </c>
      <c r="C36" s="64">
        <v>46085</v>
      </c>
      <c r="D36" s="70" t="str">
        <f>IFERROR(_xlfn.XLOOKUP($O$5,DealsMaster[Deal No.],DealsMaster[Loading Port]),"")</f>
        <v>Beira</v>
      </c>
      <c r="E36" s="65" t="s">
        <v>317</v>
      </c>
      <c r="F36" s="65" t="s">
        <v>318</v>
      </c>
      <c r="G36" s="66" t="s">
        <v>77</v>
      </c>
      <c r="H36" s="66" t="s">
        <v>338</v>
      </c>
      <c r="I36" s="71" t="str">
        <f>IFERROR(_xlfn.XLOOKUP($O$5,DealsMaster[Deal No.],DealsMaster[Destination]),"")</f>
        <v>Lusaka</v>
      </c>
      <c r="J36" s="71" t="str">
        <f>IFERROR(_xlfn.XLOOKUP($O$5,DealsMaster[Deal No.],DealsMaster[Product]),"")</f>
        <v>PMS</v>
      </c>
      <c r="K36" s="64">
        <v>46092</v>
      </c>
      <c r="L36" s="64">
        <v>46102</v>
      </c>
      <c r="M36" s="56">
        <f t="shared" si="1"/>
        <v>10</v>
      </c>
      <c r="N36" s="57">
        <f t="shared" si="2"/>
        <v>2</v>
      </c>
      <c r="O36" s="58" t="str">
        <f t="shared" si="5"/>
        <v>DEMURRAGE</v>
      </c>
      <c r="P36" s="59">
        <f t="shared" si="6"/>
        <v>2000</v>
      </c>
    </row>
    <row r="37" spans="1:16" ht="21.95" customHeight="1" x14ac:dyDescent="0.25">
      <c r="A37" s="54">
        <f t="shared" si="0"/>
        <v>187293</v>
      </c>
      <c r="B37" s="55" t="str">
        <f>IFERROR(_xlfn.XLOOKUP($O$5,DealsMaster[Deal No.],DealsMaster[Consignee]),"")</f>
        <v>Lake Petroleum Zambia</v>
      </c>
      <c r="C37" s="64">
        <v>46085</v>
      </c>
      <c r="D37" s="70" t="str">
        <f>IFERROR(_xlfn.XLOOKUP($O$5,DealsMaster[Deal No.],DealsMaster[Loading Port]),"")</f>
        <v>Beira</v>
      </c>
      <c r="E37" s="65" t="s">
        <v>319</v>
      </c>
      <c r="F37" s="65" t="s">
        <v>320</v>
      </c>
      <c r="G37" s="66" t="s">
        <v>77</v>
      </c>
      <c r="H37" s="66" t="s">
        <v>339</v>
      </c>
      <c r="I37" s="71" t="str">
        <f>IFERROR(_xlfn.XLOOKUP($O$5,DealsMaster[Deal No.],DealsMaster[Destination]),"")</f>
        <v>Lusaka</v>
      </c>
      <c r="J37" s="71" t="str">
        <f>IFERROR(_xlfn.XLOOKUP($O$5,DealsMaster[Deal No.],DealsMaster[Product]),"")</f>
        <v>PMS</v>
      </c>
      <c r="K37" s="64">
        <v>46092</v>
      </c>
      <c r="L37" s="64">
        <v>46104</v>
      </c>
      <c r="M37" s="56">
        <f t="shared" si="1"/>
        <v>12</v>
      </c>
      <c r="N37" s="57">
        <f t="shared" si="2"/>
        <v>2</v>
      </c>
      <c r="O37" s="58" t="str">
        <f t="shared" si="5"/>
        <v>DEMURRAGE</v>
      </c>
      <c r="P37" s="59">
        <f t="shared" si="6"/>
        <v>2500</v>
      </c>
    </row>
    <row r="38" spans="1:16" ht="21.95" customHeight="1" x14ac:dyDescent="0.25">
      <c r="A38" s="54">
        <f t="shared" si="0"/>
        <v>187293</v>
      </c>
      <c r="B38" s="55" t="str">
        <f>IFERROR(_xlfn.XLOOKUP($O$5,DealsMaster[Deal No.],DealsMaster[Consignee]),"")</f>
        <v>Lake Petroleum Zambia</v>
      </c>
      <c r="C38" s="64">
        <v>46093</v>
      </c>
      <c r="D38" s="70" t="str">
        <f>IFERROR(_xlfn.XLOOKUP($O$5,DealsMaster[Deal No.],DealsMaster[Loading Port]),"")</f>
        <v>Beira</v>
      </c>
      <c r="E38" s="65" t="s">
        <v>75</v>
      </c>
      <c r="F38" s="65" t="s">
        <v>76</v>
      </c>
      <c r="G38" s="66" t="s">
        <v>77</v>
      </c>
      <c r="H38" s="66" t="s">
        <v>340</v>
      </c>
      <c r="I38" s="71" t="str">
        <f>IFERROR(_xlfn.XLOOKUP($O$5,DealsMaster[Deal No.],DealsMaster[Destination]),"")</f>
        <v>Lusaka</v>
      </c>
      <c r="J38" s="71" t="str">
        <f>IFERROR(_xlfn.XLOOKUP($O$5,DealsMaster[Deal No.],DealsMaster[Product]),"")</f>
        <v>PMS</v>
      </c>
      <c r="K38" s="64">
        <v>46098</v>
      </c>
      <c r="L38" s="64">
        <v>46108</v>
      </c>
      <c r="M38" s="56">
        <f t="shared" si="1"/>
        <v>10</v>
      </c>
      <c r="N38" s="57">
        <f t="shared" si="2"/>
        <v>2</v>
      </c>
      <c r="O38" s="58" t="str">
        <f t="shared" si="5"/>
        <v>DEMURRAGE</v>
      </c>
      <c r="P38" s="59">
        <f t="shared" si="6"/>
        <v>2000</v>
      </c>
    </row>
    <row r="39" spans="1:16" ht="15.75" thickBot="1" x14ac:dyDescent="0.3">
      <c r="A39" s="60" t="s">
        <v>14</v>
      </c>
      <c r="B39" s="61"/>
      <c r="C39" s="62"/>
      <c r="D39" s="62"/>
      <c r="E39" s="62"/>
      <c r="F39" s="62"/>
      <c r="G39" s="61"/>
      <c r="H39" s="61"/>
      <c r="I39" s="61"/>
      <c r="J39" s="61"/>
      <c r="K39" s="76"/>
      <c r="L39" s="76"/>
      <c r="M39" s="62"/>
      <c r="N39" s="62"/>
      <c r="O39" s="62"/>
      <c r="P39" s="63">
        <f>SUBTOTAL(109,P10:P38)</f>
        <v>50750</v>
      </c>
    </row>
    <row r="40" spans="1:16" x14ac:dyDescent="0.25">
      <c r="N40" s="1"/>
    </row>
    <row r="41" spans="1:16" x14ac:dyDescent="0.25">
      <c r="N41" s="1"/>
    </row>
    <row r="42" spans="1:16" x14ac:dyDescent="0.25">
      <c r="N42" s="1"/>
    </row>
    <row r="43" spans="1:16" x14ac:dyDescent="0.25">
      <c r="N43" s="1"/>
    </row>
    <row r="44" spans="1:16" x14ac:dyDescent="0.25">
      <c r="N44" s="1"/>
    </row>
    <row r="45" spans="1:16" x14ac:dyDescent="0.25">
      <c r="N45" s="1"/>
    </row>
    <row r="46" spans="1:16" x14ac:dyDescent="0.25">
      <c r="N46" s="1"/>
    </row>
    <row r="47" spans="1:16" x14ac:dyDescent="0.25">
      <c r="N47" s="1"/>
    </row>
    <row r="48" spans="1:16" x14ac:dyDescent="0.25">
      <c r="N48" s="1"/>
    </row>
    <row r="49" spans="14:14" x14ac:dyDescent="0.25">
      <c r="N49" s="1"/>
    </row>
    <row r="50" spans="14:14" x14ac:dyDescent="0.25">
      <c r="N50" s="1"/>
    </row>
    <row r="51" spans="14:14" x14ac:dyDescent="0.25">
      <c r="N51" s="1"/>
    </row>
    <row r="52" spans="14:14" x14ac:dyDescent="0.25">
      <c r="N52" s="1"/>
    </row>
    <row r="53" spans="14:14" x14ac:dyDescent="0.25">
      <c r="N53" s="1"/>
    </row>
    <row r="54" spans="14:14" x14ac:dyDescent="0.25">
      <c r="N54" s="1"/>
    </row>
    <row r="55" spans="14:14" x14ac:dyDescent="0.25">
      <c r="N55" s="1"/>
    </row>
    <row r="56" spans="14:14" x14ac:dyDescent="0.25">
      <c r="N56" s="1"/>
    </row>
    <row r="57" spans="14:14" x14ac:dyDescent="0.25">
      <c r="N57" s="1"/>
    </row>
    <row r="58" spans="14:14" x14ac:dyDescent="0.25">
      <c r="N58" s="1"/>
    </row>
    <row r="59" spans="14:14" x14ac:dyDescent="0.25">
      <c r="N59" s="1"/>
    </row>
    <row r="60" spans="14:14" x14ac:dyDescent="0.25">
      <c r="N60" s="1"/>
    </row>
    <row r="61" spans="14:14" x14ac:dyDescent="0.25">
      <c r="N61" s="1"/>
    </row>
    <row r="62" spans="14:14" x14ac:dyDescent="0.25">
      <c r="N62" s="1"/>
    </row>
  </sheetData>
  <sheetProtection autoFilter="0"/>
  <mergeCells count="9">
    <mergeCell ref="C5:E7"/>
    <mergeCell ref="F5:H7"/>
    <mergeCell ref="A1:B1"/>
    <mergeCell ref="C1:P1"/>
    <mergeCell ref="A2:P2"/>
    <mergeCell ref="C3:O3"/>
    <mergeCell ref="C4:E4"/>
    <mergeCell ref="F4:H4"/>
    <mergeCell ref="N4:O4"/>
  </mergeCells>
  <dataValidations count="6">
    <dataValidation type="date" allowBlank="1" showInputMessage="1" showErrorMessage="1" errorTitle="Invalid date" error="Please enter a valid date (e.g. 15-Jan-2025). Text entries are not allowed." promptTitle="Offloaded Date" prompt="Enter a date between 2020 and 2030." sqref="L10:L38" xr:uid="{E14DD435-7466-4B40-88F4-082E8DD25BB9}">
      <formula1>43831</formula1>
      <formula2>47848</formula2>
    </dataValidation>
    <dataValidation type="date" allowBlank="1" showInputMessage="1" showErrorMessage="1" errorTitle="Invalid date" error="Please enter a valid date (e.g. 15-Jan-2025). Text entries are not allowed." promptTitle="Arrival Date" prompt="Enter a date between 2020 and 2030." sqref="K10:K38" xr:uid="{96DD6B44-9B64-431E-A699-C724A0ABC708}">
      <formula1>43831</formula1>
      <formula2>47848</formula2>
    </dataValidation>
    <dataValidation type="date" allowBlank="1" showInputMessage="1" showErrorMessage="1" errorTitle="Invalid date" error="Please enter a valid date (e.g. 15-Jan-2025). Text entries are not allowed." promptTitle="Date Loaded" prompt="Enter a date between 2020 and 2030." sqref="C10:C38" xr:uid="{F8A5EC72-B336-4A9E-9ED1-A590DFBCB7F9}">
      <formula1>43831</formula1>
      <formula2>47848</formula2>
    </dataValidation>
    <dataValidation type="list" allowBlank="1" showInputMessage="1" showErrorMessage="1" errorTitle="Invalid entry" error="Please pick a value from the list." sqref="D10:D38" xr:uid="{5A65B435-EF95-49ED-838D-A82EC0E90F63}">
      <formula1>"Dar Es Salaam,Beira"</formula1>
    </dataValidation>
    <dataValidation type="list" allowBlank="1" showInputMessage="1" showErrorMessage="1" errorTitle="Invalid entry" error="Please pick a value from the list." sqref="I10:I38" xr:uid="{5AE749A5-9CB8-4672-BF02-C2685A9BBC25}">
      <formula1>"Lusaka,Lubumbashi,Chipata"</formula1>
    </dataValidation>
    <dataValidation type="list" allowBlank="1" showInputMessage="1" showErrorMessage="1" errorTitle="Invalid entry" error="Please pick a value from the list." sqref="J10:J38" xr:uid="{1F8AE381-95BB-4506-9931-17B0C8A52E98}">
      <formula1>"PMS,AGO"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AECB3-07E7-42D1-8326-F8CE7465E973}">
  <sheetPr>
    <tabColor rgb="FFF2B233"/>
  </sheetPr>
  <dimension ref="A1:P45"/>
  <sheetViews>
    <sheetView showGridLines="0" zoomScaleNormal="100" workbookViewId="0">
      <pane ySplit="9" topLeftCell="A10" activePane="bottomLeft" state="frozen"/>
      <selection activeCell="M1" sqref="M1"/>
      <selection pane="bottomLeft" activeCell="A17" sqref="A17"/>
    </sheetView>
  </sheetViews>
  <sheetFormatPr defaultRowHeight="15" x14ac:dyDescent="0.25"/>
  <cols>
    <col min="1" max="1" width="21" customWidth="1"/>
    <col min="2" max="2" width="31.42578125" customWidth="1"/>
    <col min="3" max="3" width="19" customWidth="1"/>
    <col min="4" max="4" width="24.7109375" customWidth="1"/>
    <col min="5" max="5" width="18.140625" customWidth="1"/>
    <col min="6" max="6" width="19" customWidth="1"/>
    <col min="7" max="8" width="26.7109375" customWidth="1"/>
    <col min="9" max="9" width="21.85546875" customWidth="1"/>
    <col min="10" max="10" width="15.28515625" customWidth="1"/>
    <col min="11" max="12" width="21.85546875" customWidth="1"/>
    <col min="13" max="13" width="17.140625" customWidth="1"/>
    <col min="14" max="14" width="18.140625" customWidth="1"/>
    <col min="15" max="15" width="21.85546875" customWidth="1"/>
    <col min="16" max="16" width="27.5703125" customWidth="1"/>
  </cols>
  <sheetData>
    <row r="1" spans="1:16" ht="60" customHeight="1" x14ac:dyDescent="0.25">
      <c r="A1" s="88"/>
      <c r="B1" s="89"/>
      <c r="C1" s="90" t="str">
        <f>IF(O5=0,"DEMURRAGE CALCULATION  —  [ENTER DEAL NO. ABOVE]","DEMURRAGE CALCULATION  —  "&amp;TEXT(O5,"0")&amp;" - "&amp;UPPER(IFERROR(_xlfn.XLOOKUP(O5,DealsMaster[Deal No.],DealsMaster[Consignee]),""))&amp;" - "&amp;UPPER(IFERROR(_xlfn.XLOOKUP(O5,DealsMaster[Deal No.],DealsMaster[Route]),"")))</f>
        <v>DEMURRAGE CALCULATION  —  187296 - RUBIS ENERGY ZAMBIA - BEIRA → LUSAKA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</row>
    <row r="2" spans="1:16" ht="6" customHeight="1" x14ac:dyDescent="0.25">
      <c r="A2" s="91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</row>
    <row r="3" spans="1:16" ht="20.100000000000001" customHeight="1" x14ac:dyDescent="0.25">
      <c r="C3" s="92" t="s">
        <v>27</v>
      </c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</row>
    <row r="4" spans="1:16" ht="20.100000000000001" customHeight="1" x14ac:dyDescent="0.25">
      <c r="C4" s="93" t="s">
        <v>28</v>
      </c>
      <c r="D4" s="94"/>
      <c r="E4" s="94"/>
      <c r="F4" s="95" t="s">
        <v>29</v>
      </c>
      <c r="G4" s="94"/>
      <c r="H4" s="94"/>
      <c r="I4" s="49"/>
      <c r="J4" s="49"/>
      <c r="K4" s="49"/>
      <c r="L4" s="49"/>
      <c r="M4" s="49"/>
      <c r="N4" s="93" t="s">
        <v>30</v>
      </c>
      <c r="O4" s="94"/>
    </row>
    <row r="5" spans="1:16" ht="18" customHeight="1" x14ac:dyDescent="0.25">
      <c r="C5" s="78">
        <f>SUM('187296-RUBIS-BEIRA-LSK'!$P$10:$P$21)</f>
        <v>21500</v>
      </c>
      <c r="D5" s="79"/>
      <c r="E5" s="79"/>
      <c r="F5" s="83" t="str">
        <f>COUNTIF('187296-RUBIS-BEIRA-LSK'!$O$10:$O$21,"DEMURRAGE")&amp;" / "&amp;COUNTA('187296-RUBIS-BEIRA-LSK'!$A$10:$A$21)</f>
        <v>12 / 12</v>
      </c>
      <c r="G5" s="84"/>
      <c r="H5" s="84"/>
      <c r="I5" s="49"/>
      <c r="J5" s="49"/>
      <c r="K5" s="49"/>
      <c r="L5" s="49"/>
      <c r="M5" s="49"/>
      <c r="N5" s="5" t="s">
        <v>21</v>
      </c>
      <c r="O5" s="75">
        <v>187296</v>
      </c>
    </row>
    <row r="6" spans="1:16" ht="18" customHeight="1" x14ac:dyDescent="0.25">
      <c r="C6" s="80"/>
      <c r="D6" s="79"/>
      <c r="E6" s="79"/>
      <c r="F6" s="85"/>
      <c r="G6" s="84"/>
      <c r="H6" s="84"/>
      <c r="I6" s="49"/>
      <c r="J6" s="49"/>
      <c r="K6" s="49"/>
      <c r="L6" s="49"/>
      <c r="M6" s="49"/>
      <c r="N6" s="5" t="s">
        <v>31</v>
      </c>
      <c r="O6" s="36">
        <f>IFERROR(_xlfn.XLOOKUP($O$5,DealsMaster[Deal No.],DealsMaster[Laytime Allowance (days)]),0)</f>
        <v>2</v>
      </c>
    </row>
    <row r="7" spans="1:16" ht="18" customHeight="1" x14ac:dyDescent="0.25">
      <c r="C7" s="81"/>
      <c r="D7" s="82"/>
      <c r="E7" s="82"/>
      <c r="F7" s="86"/>
      <c r="G7" s="87"/>
      <c r="H7" s="87"/>
      <c r="I7" s="49"/>
      <c r="J7" s="49"/>
      <c r="K7" s="49"/>
      <c r="L7" s="49"/>
      <c r="M7" s="49"/>
      <c r="N7" s="6" t="s">
        <v>32</v>
      </c>
      <c r="O7" s="74">
        <f>IFERROR(_xlfn.XLOOKUP($O$5,DealsMaster[Deal No.],DealsMaster[Demurrage Rate (USD/day)]),0)</f>
        <v>250</v>
      </c>
    </row>
    <row r="8" spans="1:16" ht="15.75" thickBot="1" x14ac:dyDescent="0.3">
      <c r="A8" s="48" t="s">
        <v>53</v>
      </c>
      <c r="B8" s="12" t="s">
        <v>54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6" ht="44.1" customHeight="1" x14ac:dyDescent="0.25">
      <c r="A9" s="50" t="s">
        <v>0</v>
      </c>
      <c r="B9" s="51" t="s">
        <v>1</v>
      </c>
      <c r="C9" s="51" t="s">
        <v>2</v>
      </c>
      <c r="D9" s="51" t="s">
        <v>19</v>
      </c>
      <c r="E9" s="51" t="s">
        <v>3</v>
      </c>
      <c r="F9" s="51" t="s">
        <v>4</v>
      </c>
      <c r="G9" s="51" t="s">
        <v>5</v>
      </c>
      <c r="H9" s="51" t="s">
        <v>6</v>
      </c>
      <c r="I9" s="51" t="s">
        <v>7</v>
      </c>
      <c r="J9" s="51" t="s">
        <v>8</v>
      </c>
      <c r="K9" s="51" t="s">
        <v>9</v>
      </c>
      <c r="L9" s="51" t="s">
        <v>10</v>
      </c>
      <c r="M9" s="51" t="s">
        <v>11</v>
      </c>
      <c r="N9" s="52" t="s">
        <v>25</v>
      </c>
      <c r="O9" s="52" t="s">
        <v>26</v>
      </c>
      <c r="P9" s="53" t="s">
        <v>13</v>
      </c>
    </row>
    <row r="10" spans="1:16" ht="21.95" customHeight="1" x14ac:dyDescent="0.25">
      <c r="A10" s="54">
        <f>$O$5</f>
        <v>187296</v>
      </c>
      <c r="B10" s="55" t="str">
        <f>IFERROR(_xlfn.XLOOKUP($O$5,DealsMaster[Deal No.],DealsMaster[Consignee]),"")</f>
        <v>Rubis Energy Zambia</v>
      </c>
      <c r="C10" s="64">
        <v>46072</v>
      </c>
      <c r="D10" s="70" t="str">
        <f>IFERROR(_xlfn.XLOOKUP($O$5,DealsMaster[Deal No.],DealsMaster[Loading Port]),"")</f>
        <v>Beira</v>
      </c>
      <c r="E10" s="65" t="s">
        <v>104</v>
      </c>
      <c r="F10" s="65" t="s">
        <v>59</v>
      </c>
      <c r="G10" s="66" t="s">
        <v>64</v>
      </c>
      <c r="H10" s="66" t="s">
        <v>127</v>
      </c>
      <c r="I10" s="71" t="str">
        <f>IFERROR(_xlfn.XLOOKUP($O$5,DealsMaster[Deal No.],DealsMaster[Destination]),"")</f>
        <v>Lusaka</v>
      </c>
      <c r="J10" s="71" t="str">
        <f>IFERROR(_xlfn.XLOOKUP($O$5,DealsMaster[Deal No.],DealsMaster[Product]),"")</f>
        <v>PMS</v>
      </c>
      <c r="K10" s="64">
        <v>46076</v>
      </c>
      <c r="L10" s="64">
        <v>46084</v>
      </c>
      <c r="M10" s="56">
        <f>IF(OR(K10="",L10=""),"",L10-K10)</f>
        <v>8</v>
      </c>
      <c r="N10" s="57">
        <f>$O$6</f>
        <v>2</v>
      </c>
      <c r="O10" s="58" t="str">
        <f>IF(AND(C10&lt;&gt;"",K10&lt;&gt;"",K10&lt;C10),"⚠ Arrival &lt; Loaded",IF(AND(K10&lt;&gt;"",L10&lt;&gt;"",L10&lt;K10),"⚠ Offloaded &lt; Arrival",IF(M10="","",IF(M10&gt;N10,"DEMURRAGE","OK"))))</f>
        <v>DEMURRAGE</v>
      </c>
      <c r="P10" s="59">
        <f>IF(M10="","",MAX(0,M10-N10)*$O$7)</f>
        <v>1500</v>
      </c>
    </row>
    <row r="11" spans="1:16" ht="21.95" customHeight="1" x14ac:dyDescent="0.25">
      <c r="A11" s="54">
        <f t="shared" ref="A11:A21" si="0">$O$5</f>
        <v>187296</v>
      </c>
      <c r="B11" s="55" t="str">
        <f>IFERROR(_xlfn.XLOOKUP($O$5,DealsMaster[Deal No.],DealsMaster[Consignee]),"")</f>
        <v>Rubis Energy Zambia</v>
      </c>
      <c r="C11" s="64">
        <v>46072</v>
      </c>
      <c r="D11" s="70" t="str">
        <f>IFERROR(_xlfn.XLOOKUP($O$5,DealsMaster[Deal No.],DealsMaster[Loading Port]),"")</f>
        <v>Beira</v>
      </c>
      <c r="E11" s="65" t="s">
        <v>105</v>
      </c>
      <c r="F11" s="65" t="s">
        <v>106</v>
      </c>
      <c r="G11" s="66" t="s">
        <v>64</v>
      </c>
      <c r="H11" s="66" t="s">
        <v>128</v>
      </c>
      <c r="I11" s="71" t="str">
        <f>IFERROR(_xlfn.XLOOKUP($O$5,DealsMaster[Deal No.],DealsMaster[Destination]),"")</f>
        <v>Lusaka</v>
      </c>
      <c r="J11" s="71" t="str">
        <f>IFERROR(_xlfn.XLOOKUP($O$5,DealsMaster[Deal No.],DealsMaster[Product]),"")</f>
        <v>PMS</v>
      </c>
      <c r="K11" s="64">
        <v>46076</v>
      </c>
      <c r="L11" s="64">
        <v>46080</v>
      </c>
      <c r="M11" s="56">
        <f t="shared" ref="M11:M21" si="1">IF(OR(K11="",L11=""),"",L11-K11)</f>
        <v>4</v>
      </c>
      <c r="N11" s="57">
        <f t="shared" ref="N11:N21" si="2">$O$6</f>
        <v>2</v>
      </c>
      <c r="O11" s="58" t="str">
        <f t="shared" ref="O11:O21" si="3">IF(AND(C11&lt;&gt;"",K11&lt;&gt;"",K11&lt;C11),"⚠ Arrival &lt; Loaded",IF(AND(K11&lt;&gt;"",L11&lt;&gt;"",L11&lt;K11),"⚠ Offloaded &lt; Arrival",IF(M11="","",IF(M11&gt;N11,"DEMURRAGE","OK"))))</f>
        <v>DEMURRAGE</v>
      </c>
      <c r="P11" s="59">
        <f t="shared" ref="P11:P21" si="4">IF(M11="","",MAX(0,M11-N11)*$O$7)</f>
        <v>500</v>
      </c>
    </row>
    <row r="12" spans="1:16" ht="21.95" customHeight="1" x14ac:dyDescent="0.25">
      <c r="A12" s="54">
        <f t="shared" si="0"/>
        <v>187296</v>
      </c>
      <c r="B12" s="55" t="str">
        <f>IFERROR(_xlfn.XLOOKUP($O$5,DealsMaster[Deal No.],DealsMaster[Consignee]),"")</f>
        <v>Rubis Energy Zambia</v>
      </c>
      <c r="C12" s="64">
        <v>46072</v>
      </c>
      <c r="D12" s="70" t="str">
        <f>IFERROR(_xlfn.XLOOKUP($O$5,DealsMaster[Deal No.],DealsMaster[Loading Port]),"")</f>
        <v>Beira</v>
      </c>
      <c r="E12" s="65" t="s">
        <v>107</v>
      </c>
      <c r="F12" s="65" t="s">
        <v>108</v>
      </c>
      <c r="G12" s="66" t="s">
        <v>64</v>
      </c>
      <c r="H12" s="66" t="s">
        <v>66</v>
      </c>
      <c r="I12" s="71" t="str">
        <f>IFERROR(_xlfn.XLOOKUP($O$5,DealsMaster[Deal No.],DealsMaster[Destination]),"")</f>
        <v>Lusaka</v>
      </c>
      <c r="J12" s="71" t="str">
        <f>IFERROR(_xlfn.XLOOKUP($O$5,DealsMaster[Deal No.],DealsMaster[Product]),"")</f>
        <v>PMS</v>
      </c>
      <c r="K12" s="64">
        <v>46076</v>
      </c>
      <c r="L12" s="64">
        <v>46080</v>
      </c>
      <c r="M12" s="56">
        <f t="shared" si="1"/>
        <v>4</v>
      </c>
      <c r="N12" s="57">
        <f t="shared" si="2"/>
        <v>2</v>
      </c>
      <c r="O12" s="58" t="str">
        <f t="shared" si="3"/>
        <v>DEMURRAGE</v>
      </c>
      <c r="P12" s="59">
        <f t="shared" si="4"/>
        <v>500</v>
      </c>
    </row>
    <row r="13" spans="1:16" ht="21.95" customHeight="1" x14ac:dyDescent="0.25">
      <c r="A13" s="54">
        <f t="shared" si="0"/>
        <v>187296</v>
      </c>
      <c r="B13" s="55" t="str">
        <f>IFERROR(_xlfn.XLOOKUP($O$5,DealsMaster[Deal No.],DealsMaster[Consignee]),"")</f>
        <v>Rubis Energy Zambia</v>
      </c>
      <c r="C13" s="64">
        <v>46072</v>
      </c>
      <c r="D13" s="70" t="str">
        <f>IFERROR(_xlfn.XLOOKUP($O$5,DealsMaster[Deal No.],DealsMaster[Loading Port]),"")</f>
        <v>Beira</v>
      </c>
      <c r="E13" s="65" t="s">
        <v>109</v>
      </c>
      <c r="F13" s="65" t="s">
        <v>110</v>
      </c>
      <c r="G13" s="66" t="s">
        <v>64</v>
      </c>
      <c r="H13" s="66" t="s">
        <v>129</v>
      </c>
      <c r="I13" s="71" t="str">
        <f>IFERROR(_xlfn.XLOOKUP($O$5,DealsMaster[Deal No.],DealsMaster[Destination]),"")</f>
        <v>Lusaka</v>
      </c>
      <c r="J13" s="71" t="str">
        <f>IFERROR(_xlfn.XLOOKUP($O$5,DealsMaster[Deal No.],DealsMaster[Product]),"")</f>
        <v>PMS</v>
      </c>
      <c r="K13" s="64">
        <v>46076</v>
      </c>
      <c r="L13" s="64">
        <v>46084</v>
      </c>
      <c r="M13" s="56">
        <f t="shared" si="1"/>
        <v>8</v>
      </c>
      <c r="N13" s="57">
        <f t="shared" si="2"/>
        <v>2</v>
      </c>
      <c r="O13" s="58" t="str">
        <f t="shared" si="3"/>
        <v>DEMURRAGE</v>
      </c>
      <c r="P13" s="59">
        <f t="shared" si="4"/>
        <v>1500</v>
      </c>
    </row>
    <row r="14" spans="1:16" ht="21.95" customHeight="1" x14ac:dyDescent="0.25">
      <c r="A14" s="54">
        <f t="shared" si="0"/>
        <v>187296</v>
      </c>
      <c r="B14" s="55" t="str">
        <f>IFERROR(_xlfn.XLOOKUP($O$5,DealsMaster[Deal No.],DealsMaster[Consignee]),"")</f>
        <v>Rubis Energy Zambia</v>
      </c>
      <c r="C14" s="64">
        <v>46072</v>
      </c>
      <c r="D14" s="70" t="str">
        <f>IFERROR(_xlfn.XLOOKUP($O$5,DealsMaster[Deal No.],DealsMaster[Loading Port]),"")</f>
        <v>Beira</v>
      </c>
      <c r="E14" s="65" t="s">
        <v>111</v>
      </c>
      <c r="F14" s="65" t="s">
        <v>112</v>
      </c>
      <c r="G14" s="66" t="s">
        <v>64</v>
      </c>
      <c r="H14" s="66" t="s">
        <v>130</v>
      </c>
      <c r="I14" s="71" t="str">
        <f>IFERROR(_xlfn.XLOOKUP($O$5,DealsMaster[Deal No.],DealsMaster[Destination]),"")</f>
        <v>Lusaka</v>
      </c>
      <c r="J14" s="71" t="str">
        <f>IFERROR(_xlfn.XLOOKUP($O$5,DealsMaster[Deal No.],DealsMaster[Product]),"")</f>
        <v>PMS</v>
      </c>
      <c r="K14" s="64">
        <v>46076</v>
      </c>
      <c r="L14" s="64">
        <v>46087</v>
      </c>
      <c r="M14" s="56">
        <f t="shared" si="1"/>
        <v>11</v>
      </c>
      <c r="N14" s="57">
        <f t="shared" si="2"/>
        <v>2</v>
      </c>
      <c r="O14" s="58" t="str">
        <f t="shared" si="3"/>
        <v>DEMURRAGE</v>
      </c>
      <c r="P14" s="59">
        <f t="shared" si="4"/>
        <v>2250</v>
      </c>
    </row>
    <row r="15" spans="1:16" ht="21.95" customHeight="1" x14ac:dyDescent="0.25">
      <c r="A15" s="54">
        <f t="shared" si="0"/>
        <v>187296</v>
      </c>
      <c r="B15" s="55" t="str">
        <f>IFERROR(_xlfn.XLOOKUP($O$5,DealsMaster[Deal No.],DealsMaster[Consignee]),"")</f>
        <v>Rubis Energy Zambia</v>
      </c>
      <c r="C15" s="64">
        <v>46072</v>
      </c>
      <c r="D15" s="70" t="str">
        <f>IFERROR(_xlfn.XLOOKUP($O$5,DealsMaster[Deal No.],DealsMaster[Loading Port]),"")</f>
        <v>Beira</v>
      </c>
      <c r="E15" s="65" t="s">
        <v>113</v>
      </c>
      <c r="F15" s="65" t="s">
        <v>114</v>
      </c>
      <c r="G15" s="66" t="s">
        <v>64</v>
      </c>
      <c r="H15" s="66" t="s">
        <v>131</v>
      </c>
      <c r="I15" s="71" t="str">
        <f>IFERROR(_xlfn.XLOOKUP($O$5,DealsMaster[Deal No.],DealsMaster[Destination]),"")</f>
        <v>Lusaka</v>
      </c>
      <c r="J15" s="71" t="str">
        <f>IFERROR(_xlfn.XLOOKUP($O$5,DealsMaster[Deal No.],DealsMaster[Product]),"")</f>
        <v>PMS</v>
      </c>
      <c r="K15" s="64">
        <v>46077</v>
      </c>
      <c r="L15" s="64">
        <v>46087</v>
      </c>
      <c r="M15" s="56">
        <f t="shared" si="1"/>
        <v>10</v>
      </c>
      <c r="N15" s="57">
        <f t="shared" si="2"/>
        <v>2</v>
      </c>
      <c r="O15" s="58" t="str">
        <f t="shared" si="3"/>
        <v>DEMURRAGE</v>
      </c>
      <c r="P15" s="59">
        <f t="shared" si="4"/>
        <v>2000</v>
      </c>
    </row>
    <row r="16" spans="1:16" ht="21.95" customHeight="1" x14ac:dyDescent="0.25">
      <c r="A16" s="54">
        <f t="shared" si="0"/>
        <v>187296</v>
      </c>
      <c r="B16" s="55" t="str">
        <f>IFERROR(_xlfn.XLOOKUP($O$5,DealsMaster[Deal No.],DealsMaster[Consignee]),"")</f>
        <v>Rubis Energy Zambia</v>
      </c>
      <c r="C16" s="64">
        <v>46072</v>
      </c>
      <c r="D16" s="70" t="str">
        <f>IFERROR(_xlfn.XLOOKUP($O$5,DealsMaster[Deal No.],DealsMaster[Loading Port]),"")</f>
        <v>Beira</v>
      </c>
      <c r="E16" s="65" t="s">
        <v>115</v>
      </c>
      <c r="F16" s="65" t="s">
        <v>116</v>
      </c>
      <c r="G16" s="66" t="s">
        <v>64</v>
      </c>
      <c r="H16" s="66" t="s">
        <v>132</v>
      </c>
      <c r="I16" s="71" t="str">
        <f>IFERROR(_xlfn.XLOOKUP($O$5,DealsMaster[Deal No.],DealsMaster[Destination]),"")</f>
        <v>Lusaka</v>
      </c>
      <c r="J16" s="71" t="str">
        <f>IFERROR(_xlfn.XLOOKUP($O$5,DealsMaster[Deal No.],DealsMaster[Product]),"")</f>
        <v>PMS</v>
      </c>
      <c r="K16" s="64">
        <v>46076</v>
      </c>
      <c r="L16" s="64">
        <v>46087</v>
      </c>
      <c r="M16" s="56">
        <f t="shared" si="1"/>
        <v>11</v>
      </c>
      <c r="N16" s="57">
        <f t="shared" si="2"/>
        <v>2</v>
      </c>
      <c r="O16" s="58" t="str">
        <f t="shared" si="3"/>
        <v>DEMURRAGE</v>
      </c>
      <c r="P16" s="59">
        <f t="shared" si="4"/>
        <v>2250</v>
      </c>
    </row>
    <row r="17" spans="1:16" ht="21.95" customHeight="1" x14ac:dyDescent="0.25">
      <c r="A17" s="54">
        <f t="shared" si="0"/>
        <v>187296</v>
      </c>
      <c r="B17" s="55" t="str">
        <f>IFERROR(_xlfn.XLOOKUP($O$5,DealsMaster[Deal No.],DealsMaster[Consignee]),"")</f>
        <v>Rubis Energy Zambia</v>
      </c>
      <c r="C17" s="64">
        <v>46072</v>
      </c>
      <c r="D17" s="70" t="str">
        <f>IFERROR(_xlfn.XLOOKUP($O$5,DealsMaster[Deal No.],DealsMaster[Loading Port]),"")</f>
        <v>Beira</v>
      </c>
      <c r="E17" s="65" t="s">
        <v>117</v>
      </c>
      <c r="F17" s="65" t="s">
        <v>118</v>
      </c>
      <c r="G17" s="66" t="s">
        <v>64</v>
      </c>
      <c r="H17" s="66" t="s">
        <v>133</v>
      </c>
      <c r="I17" s="71" t="str">
        <f>IFERROR(_xlfn.XLOOKUP($O$5,DealsMaster[Deal No.],DealsMaster[Destination]),"")</f>
        <v>Lusaka</v>
      </c>
      <c r="J17" s="71" t="str">
        <f>IFERROR(_xlfn.XLOOKUP($O$5,DealsMaster[Deal No.],DealsMaster[Product]),"")</f>
        <v>PMS</v>
      </c>
      <c r="K17" s="64">
        <v>46076</v>
      </c>
      <c r="L17" s="64">
        <v>46086</v>
      </c>
      <c r="M17" s="56">
        <f t="shared" si="1"/>
        <v>10</v>
      </c>
      <c r="N17" s="57">
        <f t="shared" si="2"/>
        <v>2</v>
      </c>
      <c r="O17" s="58" t="str">
        <f t="shared" si="3"/>
        <v>DEMURRAGE</v>
      </c>
      <c r="P17" s="59">
        <f t="shared" si="4"/>
        <v>2000</v>
      </c>
    </row>
    <row r="18" spans="1:16" ht="21.95" customHeight="1" x14ac:dyDescent="0.25">
      <c r="A18" s="54">
        <f t="shared" si="0"/>
        <v>187296</v>
      </c>
      <c r="B18" s="55" t="str">
        <f>IFERROR(_xlfn.XLOOKUP($O$5,DealsMaster[Deal No.],DealsMaster[Consignee]),"")</f>
        <v>Rubis Energy Zambia</v>
      </c>
      <c r="C18" s="64">
        <v>46072</v>
      </c>
      <c r="D18" s="70" t="str">
        <f>IFERROR(_xlfn.XLOOKUP($O$5,DealsMaster[Deal No.],DealsMaster[Loading Port]),"")</f>
        <v>Beira</v>
      </c>
      <c r="E18" s="65" t="s">
        <v>119</v>
      </c>
      <c r="F18" s="65" t="s">
        <v>120</v>
      </c>
      <c r="G18" s="66" t="s">
        <v>64</v>
      </c>
      <c r="H18" s="66" t="s">
        <v>134</v>
      </c>
      <c r="I18" s="71" t="str">
        <f>IFERROR(_xlfn.XLOOKUP($O$5,DealsMaster[Deal No.],DealsMaster[Destination]),"")</f>
        <v>Lusaka</v>
      </c>
      <c r="J18" s="71" t="str">
        <f>IFERROR(_xlfn.XLOOKUP($O$5,DealsMaster[Deal No.],DealsMaster[Product]),"")</f>
        <v>PMS</v>
      </c>
      <c r="K18" s="64">
        <v>46076</v>
      </c>
      <c r="L18" s="64">
        <v>46087</v>
      </c>
      <c r="M18" s="56">
        <f t="shared" si="1"/>
        <v>11</v>
      </c>
      <c r="N18" s="57">
        <f t="shared" si="2"/>
        <v>2</v>
      </c>
      <c r="O18" s="58" t="str">
        <f t="shared" si="3"/>
        <v>DEMURRAGE</v>
      </c>
      <c r="P18" s="59">
        <f t="shared" si="4"/>
        <v>2250</v>
      </c>
    </row>
    <row r="19" spans="1:16" ht="21.95" customHeight="1" x14ac:dyDescent="0.25">
      <c r="A19" s="54">
        <f t="shared" si="0"/>
        <v>187296</v>
      </c>
      <c r="B19" s="55" t="str">
        <f>IFERROR(_xlfn.XLOOKUP($O$5,DealsMaster[Deal No.],DealsMaster[Consignee]),"")</f>
        <v>Rubis Energy Zambia</v>
      </c>
      <c r="C19" s="64">
        <v>46073</v>
      </c>
      <c r="D19" s="70" t="str">
        <f>IFERROR(_xlfn.XLOOKUP($O$5,DealsMaster[Deal No.],DealsMaster[Loading Port]),"")</f>
        <v>Beira</v>
      </c>
      <c r="E19" s="65" t="s">
        <v>121</v>
      </c>
      <c r="F19" s="65" t="s">
        <v>122</v>
      </c>
      <c r="G19" s="66" t="s">
        <v>64</v>
      </c>
      <c r="H19" s="66" t="s">
        <v>135</v>
      </c>
      <c r="I19" s="71" t="str">
        <f>IFERROR(_xlfn.XLOOKUP($O$5,DealsMaster[Deal No.],DealsMaster[Destination]),"")</f>
        <v>Lusaka</v>
      </c>
      <c r="J19" s="71" t="str">
        <f>IFERROR(_xlfn.XLOOKUP($O$5,DealsMaster[Deal No.],DealsMaster[Product]),"")</f>
        <v>PMS</v>
      </c>
      <c r="K19" s="64">
        <v>46077</v>
      </c>
      <c r="L19" s="64">
        <v>46087</v>
      </c>
      <c r="M19" s="56">
        <f t="shared" si="1"/>
        <v>10</v>
      </c>
      <c r="N19" s="57">
        <f t="shared" si="2"/>
        <v>2</v>
      </c>
      <c r="O19" s="58" t="str">
        <f t="shared" si="3"/>
        <v>DEMURRAGE</v>
      </c>
      <c r="P19" s="59">
        <f t="shared" si="4"/>
        <v>2000</v>
      </c>
    </row>
    <row r="20" spans="1:16" ht="21.95" customHeight="1" x14ac:dyDescent="0.25">
      <c r="A20" s="54">
        <f t="shared" si="0"/>
        <v>187296</v>
      </c>
      <c r="B20" s="55" t="str">
        <f>IFERROR(_xlfn.XLOOKUP($O$5,DealsMaster[Deal No.],DealsMaster[Consignee]),"")</f>
        <v>Rubis Energy Zambia</v>
      </c>
      <c r="C20" s="64">
        <v>46073</v>
      </c>
      <c r="D20" s="70" t="str">
        <f>IFERROR(_xlfn.XLOOKUP($O$5,DealsMaster[Deal No.],DealsMaster[Loading Port]),"")</f>
        <v>Beira</v>
      </c>
      <c r="E20" s="65" t="s">
        <v>123</v>
      </c>
      <c r="F20" s="65" t="s">
        <v>124</v>
      </c>
      <c r="G20" s="66" t="s">
        <v>64</v>
      </c>
      <c r="H20" s="66" t="s">
        <v>136</v>
      </c>
      <c r="I20" s="71" t="str">
        <f>IFERROR(_xlfn.XLOOKUP($O$5,DealsMaster[Deal No.],DealsMaster[Destination]),"")</f>
        <v>Lusaka</v>
      </c>
      <c r="J20" s="71" t="str">
        <f>IFERROR(_xlfn.XLOOKUP($O$5,DealsMaster[Deal No.],DealsMaster[Product]),"")</f>
        <v>PMS</v>
      </c>
      <c r="K20" s="64">
        <v>46077</v>
      </c>
      <c r="L20" s="64">
        <v>46090</v>
      </c>
      <c r="M20" s="56">
        <f t="shared" si="1"/>
        <v>13</v>
      </c>
      <c r="N20" s="57">
        <f t="shared" si="2"/>
        <v>2</v>
      </c>
      <c r="O20" s="58" t="str">
        <f t="shared" si="3"/>
        <v>DEMURRAGE</v>
      </c>
      <c r="P20" s="59">
        <f t="shared" si="4"/>
        <v>2750</v>
      </c>
    </row>
    <row r="21" spans="1:16" ht="21.95" customHeight="1" x14ac:dyDescent="0.25">
      <c r="A21" s="54">
        <f t="shared" si="0"/>
        <v>187296</v>
      </c>
      <c r="B21" s="55" t="str">
        <f>IFERROR(_xlfn.XLOOKUP($O$5,DealsMaster[Deal No.],DealsMaster[Consignee]),"")</f>
        <v>Rubis Energy Zambia</v>
      </c>
      <c r="C21" s="64">
        <v>46073</v>
      </c>
      <c r="D21" s="70" t="str">
        <f>IFERROR(_xlfn.XLOOKUP($O$5,DealsMaster[Deal No.],DealsMaster[Loading Port]),"")</f>
        <v>Beira</v>
      </c>
      <c r="E21" s="65" t="s">
        <v>125</v>
      </c>
      <c r="F21" s="65" t="s">
        <v>126</v>
      </c>
      <c r="G21" s="66" t="s">
        <v>64</v>
      </c>
      <c r="H21" s="66" t="s">
        <v>137</v>
      </c>
      <c r="I21" s="71" t="str">
        <f>IFERROR(_xlfn.XLOOKUP($O$5,DealsMaster[Deal No.],DealsMaster[Destination]),"")</f>
        <v>Lusaka</v>
      </c>
      <c r="J21" s="71" t="str">
        <f>IFERROR(_xlfn.XLOOKUP($O$5,DealsMaster[Deal No.],DealsMaster[Product]),"")</f>
        <v>PMS</v>
      </c>
      <c r="K21" s="64">
        <v>46077</v>
      </c>
      <c r="L21" s="64">
        <v>46087</v>
      </c>
      <c r="M21" s="56">
        <f t="shared" si="1"/>
        <v>10</v>
      </c>
      <c r="N21" s="57">
        <f t="shared" si="2"/>
        <v>2</v>
      </c>
      <c r="O21" s="58" t="str">
        <f t="shared" si="3"/>
        <v>DEMURRAGE</v>
      </c>
      <c r="P21" s="59">
        <f t="shared" si="4"/>
        <v>2000</v>
      </c>
    </row>
    <row r="22" spans="1:16" ht="15.75" thickBot="1" x14ac:dyDescent="0.3">
      <c r="A22" s="60" t="s">
        <v>14</v>
      </c>
      <c r="B22" s="61"/>
      <c r="C22" s="62"/>
      <c r="D22" s="62"/>
      <c r="E22" s="62"/>
      <c r="F22" s="62"/>
      <c r="G22" s="61"/>
      <c r="H22" s="61"/>
      <c r="I22" s="61"/>
      <c r="J22" s="61"/>
      <c r="K22" s="62"/>
      <c r="L22" s="62"/>
      <c r="M22" s="62"/>
      <c r="N22" s="62"/>
      <c r="O22" s="62"/>
      <c r="P22" s="63">
        <f>SUBTOTAL(109,P10:P21)</f>
        <v>21500</v>
      </c>
    </row>
    <row r="23" spans="1:16" x14ac:dyDescent="0.25">
      <c r="N23" s="1"/>
    </row>
    <row r="24" spans="1:16" x14ac:dyDescent="0.25">
      <c r="N24" s="1"/>
    </row>
    <row r="25" spans="1:16" x14ac:dyDescent="0.25">
      <c r="N25" s="1"/>
    </row>
    <row r="26" spans="1:16" x14ac:dyDescent="0.25">
      <c r="N26" s="1"/>
    </row>
    <row r="27" spans="1:16" x14ac:dyDescent="0.25">
      <c r="N27" s="1"/>
    </row>
    <row r="28" spans="1:16" x14ac:dyDescent="0.25">
      <c r="N28" s="1"/>
    </row>
    <row r="29" spans="1:16" x14ac:dyDescent="0.25">
      <c r="N29" s="1"/>
    </row>
    <row r="30" spans="1:16" x14ac:dyDescent="0.25">
      <c r="N30" s="1"/>
    </row>
    <row r="31" spans="1:16" x14ac:dyDescent="0.25">
      <c r="N31" s="1"/>
    </row>
    <row r="32" spans="1:16" x14ac:dyDescent="0.25">
      <c r="N32" s="1"/>
    </row>
    <row r="33" spans="14:14" x14ac:dyDescent="0.25">
      <c r="N33" s="1"/>
    </row>
    <row r="34" spans="14:14" x14ac:dyDescent="0.25">
      <c r="N34" s="1"/>
    </row>
    <row r="35" spans="14:14" x14ac:dyDescent="0.25">
      <c r="N35" s="1"/>
    </row>
    <row r="36" spans="14:14" x14ac:dyDescent="0.25">
      <c r="N36" s="1"/>
    </row>
    <row r="37" spans="14:14" x14ac:dyDescent="0.25">
      <c r="N37" s="1"/>
    </row>
    <row r="38" spans="14:14" x14ac:dyDescent="0.25">
      <c r="N38" s="1"/>
    </row>
    <row r="39" spans="14:14" x14ac:dyDescent="0.25">
      <c r="N39" s="1"/>
    </row>
    <row r="40" spans="14:14" x14ac:dyDescent="0.25">
      <c r="N40" s="1"/>
    </row>
    <row r="41" spans="14:14" x14ac:dyDescent="0.25">
      <c r="N41" s="1"/>
    </row>
    <row r="42" spans="14:14" x14ac:dyDescent="0.25">
      <c r="N42" s="1"/>
    </row>
    <row r="43" spans="14:14" x14ac:dyDescent="0.25">
      <c r="N43" s="1"/>
    </row>
    <row r="44" spans="14:14" x14ac:dyDescent="0.25">
      <c r="N44" s="1"/>
    </row>
    <row r="45" spans="14:14" x14ac:dyDescent="0.25">
      <c r="N45" s="1"/>
    </row>
  </sheetData>
  <sheetProtection autoFilter="0"/>
  <mergeCells count="9">
    <mergeCell ref="C5:E7"/>
    <mergeCell ref="F5:H7"/>
    <mergeCell ref="A1:B1"/>
    <mergeCell ref="C1:P1"/>
    <mergeCell ref="A2:P2"/>
    <mergeCell ref="C3:O3"/>
    <mergeCell ref="C4:E4"/>
    <mergeCell ref="F4:H4"/>
    <mergeCell ref="N4:O4"/>
  </mergeCells>
  <dataValidations count="6">
    <dataValidation type="date" allowBlank="1" showInputMessage="1" showErrorMessage="1" errorTitle="Invalid date" error="Please enter a valid date (e.g. 15-Jan-2025). Text entries are not allowed." promptTitle="Offloaded Date" prompt="Enter a date between 2020 and 2030." sqref="L10:L21" xr:uid="{01A5357F-78E3-459B-BA43-AE44C22ED7AE}">
      <formula1>43831</formula1>
      <formula2>47848</formula2>
    </dataValidation>
    <dataValidation type="date" allowBlank="1" showInputMessage="1" showErrorMessage="1" errorTitle="Invalid date" error="Please enter a valid date (e.g. 15-Jan-2025). Text entries are not allowed." promptTitle="Arrival Date" prompt="Enter a date between 2020 and 2030." sqref="K10:K21" xr:uid="{3DC3FD62-146B-418F-B5E4-824B08C01A81}">
      <formula1>43831</formula1>
      <formula2>47848</formula2>
    </dataValidation>
    <dataValidation type="date" allowBlank="1" showInputMessage="1" showErrorMessage="1" errorTitle="Invalid date" error="Please enter a valid date (e.g. 15-Jan-2025). Text entries are not allowed." promptTitle="Date Loaded" prompt="Enter a date between 2020 and 2030." sqref="C10:C21" xr:uid="{5684294D-1996-4DB6-962E-9144DEC692DE}">
      <formula1>43831</formula1>
      <formula2>47848</formula2>
    </dataValidation>
    <dataValidation type="list" allowBlank="1" showInputMessage="1" showErrorMessage="1" errorTitle="Invalid entry" error="Please pick a value from the list." sqref="D10:D21" xr:uid="{ADC0B399-515B-457A-AAB0-DA0397985419}">
      <formula1>"Dar Es Salaam,Beira"</formula1>
    </dataValidation>
    <dataValidation type="list" allowBlank="1" showInputMessage="1" showErrorMessage="1" errorTitle="Invalid entry" error="Please pick a value from the list." sqref="I10:I21" xr:uid="{B52797A7-9B0A-4651-874A-EB305D76B2F4}">
      <formula1>"Lusaka,Lubumbashi,Chipata"</formula1>
    </dataValidation>
    <dataValidation type="list" allowBlank="1" showInputMessage="1" showErrorMessage="1" errorTitle="Invalid entry" error="Please pick a value from the list." sqref="J10:J21" xr:uid="{3465D06E-9E21-4CDE-A144-5DEAE3D380EC}">
      <formula1>"PMS,AGO"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9492B-3FA8-4964-B2D0-DF25F3BA113B}">
  <sheetPr>
    <tabColor rgb="FFF2B233"/>
  </sheetPr>
  <dimension ref="A1:P45"/>
  <sheetViews>
    <sheetView showGridLines="0" zoomScaleNormal="100" workbookViewId="0">
      <pane ySplit="9" topLeftCell="A10" activePane="bottomLeft" state="frozen"/>
      <selection activeCell="M1" sqref="M1"/>
      <selection pane="bottomLeft" activeCell="H28" sqref="H28"/>
    </sheetView>
  </sheetViews>
  <sheetFormatPr defaultRowHeight="15" x14ac:dyDescent="0.25"/>
  <cols>
    <col min="1" max="1" width="21" customWidth="1"/>
    <col min="2" max="2" width="31.42578125" customWidth="1"/>
    <col min="3" max="3" width="19" customWidth="1"/>
    <col min="4" max="4" width="24.7109375" customWidth="1"/>
    <col min="5" max="5" width="18.140625" customWidth="1"/>
    <col min="6" max="6" width="19" customWidth="1"/>
    <col min="7" max="8" width="26.7109375" customWidth="1"/>
    <col min="9" max="9" width="21.85546875" customWidth="1"/>
    <col min="10" max="10" width="15.28515625" customWidth="1"/>
    <col min="11" max="12" width="21.85546875" customWidth="1"/>
    <col min="13" max="13" width="17.140625" customWidth="1"/>
    <col min="14" max="14" width="18.140625" customWidth="1"/>
    <col min="15" max="15" width="21.85546875" customWidth="1"/>
    <col min="16" max="16" width="27.5703125" customWidth="1"/>
  </cols>
  <sheetData>
    <row r="1" spans="1:16" ht="60" customHeight="1" x14ac:dyDescent="0.25">
      <c r="A1" s="88"/>
      <c r="B1" s="89"/>
      <c r="C1" s="90" t="str">
        <f>IF(O5=0,"DEMURRAGE CALCULATION  —  [ENTER DEAL NO. ABOVE]","DEMURRAGE CALCULATION  —  "&amp;TEXT(O5,"0")&amp;" - "&amp;UPPER(IFERROR(_xlfn.XLOOKUP(O5,DealsMaster[Deal No.],DealsMaster[Consignee]),""))&amp;" - "&amp;UPPER(IFERROR(_xlfn.XLOOKUP(O5,DealsMaster[Deal No.],DealsMaster[Route]),"")))</f>
        <v>DEMURRAGE CALCULATION  —  189084 - RUBIS ENERGY ZAMBIA - BEIRA → LUSAKA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</row>
    <row r="2" spans="1:16" ht="6" customHeight="1" x14ac:dyDescent="0.25">
      <c r="A2" s="91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</row>
    <row r="3" spans="1:16" ht="20.100000000000001" customHeight="1" x14ac:dyDescent="0.25">
      <c r="C3" s="92" t="s">
        <v>27</v>
      </c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</row>
    <row r="4" spans="1:16" ht="20.100000000000001" customHeight="1" x14ac:dyDescent="0.25">
      <c r="C4" s="93" t="s">
        <v>28</v>
      </c>
      <c r="D4" s="94"/>
      <c r="E4" s="94"/>
      <c r="F4" s="95" t="s">
        <v>29</v>
      </c>
      <c r="G4" s="94"/>
      <c r="H4" s="94"/>
      <c r="I4" s="49"/>
      <c r="J4" s="49"/>
      <c r="K4" s="49"/>
      <c r="L4" s="49"/>
      <c r="M4" s="49"/>
      <c r="N4" s="93" t="s">
        <v>30</v>
      </c>
      <c r="O4" s="94"/>
    </row>
    <row r="5" spans="1:16" ht="18" customHeight="1" x14ac:dyDescent="0.25">
      <c r="C5" s="78">
        <f>SUM('189084-RUBIS-BEIRA-LSK'!$P$10:$P$21)</f>
        <v>500</v>
      </c>
      <c r="D5" s="79"/>
      <c r="E5" s="79"/>
      <c r="F5" s="83" t="str">
        <f>COUNTIF('189084-RUBIS-BEIRA-LSK'!$O$10:$O$21,"DEMURRAGE")&amp;" / "&amp;COUNTA('189084-RUBIS-BEIRA-LSK'!$A$10:$A$21)</f>
        <v>2 / 12</v>
      </c>
      <c r="G5" s="84"/>
      <c r="H5" s="84"/>
      <c r="I5" s="49"/>
      <c r="J5" s="49"/>
      <c r="K5" s="49"/>
      <c r="L5" s="49"/>
      <c r="M5" s="49"/>
      <c r="N5" s="5" t="s">
        <v>21</v>
      </c>
      <c r="O5" s="75">
        <v>189084</v>
      </c>
    </row>
    <row r="6" spans="1:16" ht="18" customHeight="1" x14ac:dyDescent="0.25">
      <c r="C6" s="80"/>
      <c r="D6" s="79"/>
      <c r="E6" s="79"/>
      <c r="F6" s="85"/>
      <c r="G6" s="84"/>
      <c r="H6" s="84"/>
      <c r="I6" s="49"/>
      <c r="J6" s="49"/>
      <c r="K6" s="49"/>
      <c r="L6" s="49"/>
      <c r="M6" s="49"/>
      <c r="N6" s="5" t="s">
        <v>31</v>
      </c>
      <c r="O6" s="36">
        <f>IFERROR(_xlfn.XLOOKUP($O$5,DealsMaster[Deal No.],DealsMaster[Laytime Allowance (days)]),0)</f>
        <v>2</v>
      </c>
    </row>
    <row r="7" spans="1:16" ht="18" customHeight="1" x14ac:dyDescent="0.25">
      <c r="C7" s="81"/>
      <c r="D7" s="82"/>
      <c r="E7" s="82"/>
      <c r="F7" s="86"/>
      <c r="G7" s="87"/>
      <c r="H7" s="87"/>
      <c r="I7" s="49"/>
      <c r="J7" s="49"/>
      <c r="K7" s="49"/>
      <c r="L7" s="49"/>
      <c r="M7" s="49"/>
      <c r="N7" s="6" t="s">
        <v>32</v>
      </c>
      <c r="O7" s="74">
        <f>IFERROR(_xlfn.XLOOKUP($O$5,DealsMaster[Deal No.],DealsMaster[Demurrage Rate (USD/day)]),0)</f>
        <v>250</v>
      </c>
    </row>
    <row r="8" spans="1:16" ht="15.75" thickBot="1" x14ac:dyDescent="0.3">
      <c r="A8" s="48" t="s">
        <v>53</v>
      </c>
      <c r="B8" s="12" t="s">
        <v>54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6" ht="44.1" customHeight="1" x14ac:dyDescent="0.25">
      <c r="A9" s="50" t="s">
        <v>0</v>
      </c>
      <c r="B9" s="51" t="s">
        <v>1</v>
      </c>
      <c r="C9" s="51" t="s">
        <v>2</v>
      </c>
      <c r="D9" s="51" t="s">
        <v>19</v>
      </c>
      <c r="E9" s="51" t="s">
        <v>3</v>
      </c>
      <c r="F9" s="51" t="s">
        <v>4</v>
      </c>
      <c r="G9" s="51" t="s">
        <v>5</v>
      </c>
      <c r="H9" s="51" t="s">
        <v>6</v>
      </c>
      <c r="I9" s="51" t="s">
        <v>7</v>
      </c>
      <c r="J9" s="51" t="s">
        <v>8</v>
      </c>
      <c r="K9" s="51" t="s">
        <v>9</v>
      </c>
      <c r="L9" s="51" t="s">
        <v>10</v>
      </c>
      <c r="M9" s="51" t="s">
        <v>11</v>
      </c>
      <c r="N9" s="52" t="s">
        <v>25</v>
      </c>
      <c r="O9" s="52" t="s">
        <v>26</v>
      </c>
      <c r="P9" s="53" t="s">
        <v>13</v>
      </c>
    </row>
    <row r="10" spans="1:16" ht="21.95" customHeight="1" x14ac:dyDescent="0.25">
      <c r="A10" s="54">
        <f>$O$5</f>
        <v>189084</v>
      </c>
      <c r="B10" s="55" t="str">
        <f>IFERROR(_xlfn.XLOOKUP($O$5,DealsMaster[Deal No.],DealsMaster[Consignee]),"")</f>
        <v>Rubis Energy Zambia</v>
      </c>
      <c r="C10" s="64">
        <v>46105</v>
      </c>
      <c r="D10" s="70" t="str">
        <f>IFERROR(_xlfn.XLOOKUP($O$5,DealsMaster[Deal No.],DealsMaster[Loading Port]),"")</f>
        <v>Beira</v>
      </c>
      <c r="E10" s="65" t="s">
        <v>139</v>
      </c>
      <c r="F10" s="65" t="s">
        <v>140</v>
      </c>
      <c r="G10" s="66" t="s">
        <v>138</v>
      </c>
      <c r="H10" s="66" t="s">
        <v>162</v>
      </c>
      <c r="I10" s="71" t="str">
        <f>IFERROR(_xlfn.XLOOKUP($O$5,DealsMaster[Deal No.],DealsMaster[Destination]),"")</f>
        <v>Lusaka</v>
      </c>
      <c r="J10" s="71" t="str">
        <f>IFERROR(_xlfn.XLOOKUP($O$5,DealsMaster[Deal No.],DealsMaster[Product]),"")</f>
        <v>PMS</v>
      </c>
      <c r="K10" s="64">
        <v>46110</v>
      </c>
      <c r="L10" s="64">
        <v>46112</v>
      </c>
      <c r="M10" s="56">
        <f>IF(OR(K10="",L10=""),"",L10-K10)</f>
        <v>2</v>
      </c>
      <c r="N10" s="57">
        <f>$O$6</f>
        <v>2</v>
      </c>
      <c r="O10" s="58" t="str">
        <f>IF(AND(C10&lt;&gt;"",K10&lt;&gt;"",K10&lt;C10),"⚠ Arrival &lt; Loaded",IF(AND(K10&lt;&gt;"",L10&lt;&gt;"",L10&lt;K10),"⚠ Offloaded &lt; Arrival",IF(M10="","",IF(M10&gt;N10,"DEMURRAGE","OK"))))</f>
        <v>OK</v>
      </c>
      <c r="P10" s="59">
        <f>IF(M10="","",MAX(0,M10-N10)*$O$7)</f>
        <v>0</v>
      </c>
    </row>
    <row r="11" spans="1:16" ht="21.95" customHeight="1" x14ac:dyDescent="0.25">
      <c r="A11" s="54">
        <f t="shared" ref="A11:A21" si="0">$O$5</f>
        <v>189084</v>
      </c>
      <c r="B11" s="55" t="str">
        <f>IFERROR(_xlfn.XLOOKUP($O$5,DealsMaster[Deal No.],DealsMaster[Consignee]),"")</f>
        <v>Rubis Energy Zambia</v>
      </c>
      <c r="C11" s="64">
        <v>46105</v>
      </c>
      <c r="D11" s="70" t="str">
        <f>IFERROR(_xlfn.XLOOKUP($O$5,DealsMaster[Deal No.],DealsMaster[Loading Port]),"")</f>
        <v>Beira</v>
      </c>
      <c r="E11" s="65" t="s">
        <v>141</v>
      </c>
      <c r="F11" s="65" t="s">
        <v>142</v>
      </c>
      <c r="G11" s="66" t="s">
        <v>138</v>
      </c>
      <c r="H11" s="66" t="s">
        <v>163</v>
      </c>
      <c r="I11" s="71" t="str">
        <f>IFERROR(_xlfn.XLOOKUP($O$5,DealsMaster[Deal No.],DealsMaster[Destination]),"")</f>
        <v>Lusaka</v>
      </c>
      <c r="J11" s="71" t="str">
        <f>IFERROR(_xlfn.XLOOKUP($O$5,DealsMaster[Deal No.],DealsMaster[Product]),"")</f>
        <v>PMS</v>
      </c>
      <c r="K11" s="64">
        <v>46110</v>
      </c>
      <c r="L11" s="64">
        <v>46113</v>
      </c>
      <c r="M11" s="56">
        <f t="shared" ref="M11:M21" si="1">IF(OR(K11="",L11=""),"",L11-K11)</f>
        <v>3</v>
      </c>
      <c r="N11" s="57">
        <f t="shared" ref="N11:N21" si="2">$O$6</f>
        <v>2</v>
      </c>
      <c r="O11" s="58" t="str">
        <f t="shared" ref="O11:O21" si="3">IF(AND(C11&lt;&gt;"",K11&lt;&gt;"",K11&lt;C11),"⚠ Arrival &lt; Loaded",IF(AND(K11&lt;&gt;"",L11&lt;&gt;"",L11&lt;K11),"⚠ Offloaded &lt; Arrival",IF(M11="","",IF(M11&gt;N11,"DEMURRAGE","OK"))))</f>
        <v>DEMURRAGE</v>
      </c>
      <c r="P11" s="59">
        <f t="shared" ref="P11:P21" si="4">IF(M11="","",MAX(0,M11-N11)*$O$7)</f>
        <v>250</v>
      </c>
    </row>
    <row r="12" spans="1:16" ht="21.95" customHeight="1" x14ac:dyDescent="0.25">
      <c r="A12" s="54">
        <f t="shared" si="0"/>
        <v>189084</v>
      </c>
      <c r="B12" s="55" t="str">
        <f>IFERROR(_xlfn.XLOOKUP($O$5,DealsMaster[Deal No.],DealsMaster[Consignee]),"")</f>
        <v>Rubis Energy Zambia</v>
      </c>
      <c r="C12" s="64">
        <v>46105</v>
      </c>
      <c r="D12" s="70" t="str">
        <f>IFERROR(_xlfn.XLOOKUP($O$5,DealsMaster[Deal No.],DealsMaster[Loading Port]),"")</f>
        <v>Beira</v>
      </c>
      <c r="E12" s="65" t="s">
        <v>143</v>
      </c>
      <c r="F12" s="65" t="s">
        <v>144</v>
      </c>
      <c r="G12" s="66" t="s">
        <v>138</v>
      </c>
      <c r="H12" s="66" t="s">
        <v>164</v>
      </c>
      <c r="I12" s="71" t="str">
        <f>IFERROR(_xlfn.XLOOKUP($O$5,DealsMaster[Deal No.],DealsMaster[Destination]),"")</f>
        <v>Lusaka</v>
      </c>
      <c r="J12" s="71" t="str">
        <f>IFERROR(_xlfn.XLOOKUP($O$5,DealsMaster[Deal No.],DealsMaster[Product]),"")</f>
        <v>PMS</v>
      </c>
      <c r="K12" s="64">
        <v>46110</v>
      </c>
      <c r="L12" s="64">
        <v>46113</v>
      </c>
      <c r="M12" s="56">
        <f t="shared" si="1"/>
        <v>3</v>
      </c>
      <c r="N12" s="57">
        <f t="shared" si="2"/>
        <v>2</v>
      </c>
      <c r="O12" s="58" t="str">
        <f t="shared" si="3"/>
        <v>DEMURRAGE</v>
      </c>
      <c r="P12" s="59">
        <f t="shared" si="4"/>
        <v>250</v>
      </c>
    </row>
    <row r="13" spans="1:16" ht="21.95" customHeight="1" x14ac:dyDescent="0.25">
      <c r="A13" s="54">
        <f t="shared" si="0"/>
        <v>189084</v>
      </c>
      <c r="B13" s="55" t="str">
        <f>IFERROR(_xlfn.XLOOKUP($O$5,DealsMaster[Deal No.],DealsMaster[Consignee]),"")</f>
        <v>Rubis Energy Zambia</v>
      </c>
      <c r="C13" s="64">
        <v>46105</v>
      </c>
      <c r="D13" s="70" t="str">
        <f>IFERROR(_xlfn.XLOOKUP($O$5,DealsMaster[Deal No.],DealsMaster[Loading Port]),"")</f>
        <v>Beira</v>
      </c>
      <c r="E13" s="65" t="s">
        <v>145</v>
      </c>
      <c r="F13" s="65" t="s">
        <v>146</v>
      </c>
      <c r="G13" s="66" t="s">
        <v>138</v>
      </c>
      <c r="H13" s="66" t="s">
        <v>165</v>
      </c>
      <c r="I13" s="71" t="str">
        <f>IFERROR(_xlfn.XLOOKUP($O$5,DealsMaster[Deal No.],DealsMaster[Destination]),"")</f>
        <v>Lusaka</v>
      </c>
      <c r="J13" s="71" t="str">
        <f>IFERROR(_xlfn.XLOOKUP($O$5,DealsMaster[Deal No.],DealsMaster[Product]),"")</f>
        <v>PMS</v>
      </c>
      <c r="K13" s="64">
        <v>46111</v>
      </c>
      <c r="L13" s="64">
        <v>46112</v>
      </c>
      <c r="M13" s="56">
        <f t="shared" si="1"/>
        <v>1</v>
      </c>
      <c r="N13" s="57">
        <f t="shared" si="2"/>
        <v>2</v>
      </c>
      <c r="O13" s="58" t="str">
        <f t="shared" si="3"/>
        <v>OK</v>
      </c>
      <c r="P13" s="59">
        <f t="shared" si="4"/>
        <v>0</v>
      </c>
    </row>
    <row r="14" spans="1:16" ht="21.95" customHeight="1" x14ac:dyDescent="0.25">
      <c r="A14" s="54">
        <f t="shared" si="0"/>
        <v>189084</v>
      </c>
      <c r="B14" s="55" t="str">
        <f>IFERROR(_xlfn.XLOOKUP($O$5,DealsMaster[Deal No.],DealsMaster[Consignee]),"")</f>
        <v>Rubis Energy Zambia</v>
      </c>
      <c r="C14" s="64">
        <v>46107</v>
      </c>
      <c r="D14" s="70" t="str">
        <f>IFERROR(_xlfn.XLOOKUP($O$5,DealsMaster[Deal No.],DealsMaster[Loading Port]),"")</f>
        <v>Beira</v>
      </c>
      <c r="E14" s="65" t="s">
        <v>147</v>
      </c>
      <c r="F14" s="65" t="s">
        <v>148</v>
      </c>
      <c r="G14" s="66" t="s">
        <v>138</v>
      </c>
      <c r="H14" s="66" t="s">
        <v>166</v>
      </c>
      <c r="I14" s="71" t="str">
        <f>IFERROR(_xlfn.XLOOKUP($O$5,DealsMaster[Deal No.],DealsMaster[Destination]),"")</f>
        <v>Lusaka</v>
      </c>
      <c r="J14" s="71" t="str">
        <f>IFERROR(_xlfn.XLOOKUP($O$5,DealsMaster[Deal No.],DealsMaster[Product]),"")</f>
        <v>PMS</v>
      </c>
      <c r="K14" s="64">
        <v>46111</v>
      </c>
      <c r="L14" s="64">
        <v>46113</v>
      </c>
      <c r="M14" s="56">
        <f t="shared" si="1"/>
        <v>2</v>
      </c>
      <c r="N14" s="57">
        <f t="shared" si="2"/>
        <v>2</v>
      </c>
      <c r="O14" s="58" t="str">
        <f t="shared" si="3"/>
        <v>OK</v>
      </c>
      <c r="P14" s="59">
        <f t="shared" si="4"/>
        <v>0</v>
      </c>
    </row>
    <row r="15" spans="1:16" ht="21.95" customHeight="1" x14ac:dyDescent="0.25">
      <c r="A15" s="54">
        <f t="shared" si="0"/>
        <v>189084</v>
      </c>
      <c r="B15" s="55" t="str">
        <f>IFERROR(_xlfn.XLOOKUP($O$5,DealsMaster[Deal No.],DealsMaster[Consignee]),"")</f>
        <v>Rubis Energy Zambia</v>
      </c>
      <c r="C15" s="64">
        <v>46106</v>
      </c>
      <c r="D15" s="70" t="str">
        <f>IFERROR(_xlfn.XLOOKUP($O$5,DealsMaster[Deal No.],DealsMaster[Loading Port]),"")</f>
        <v>Beira</v>
      </c>
      <c r="E15" s="65" t="s">
        <v>149</v>
      </c>
      <c r="F15" s="65" t="s">
        <v>150</v>
      </c>
      <c r="G15" s="66" t="s">
        <v>138</v>
      </c>
      <c r="H15" s="66" t="s">
        <v>167</v>
      </c>
      <c r="I15" s="71" t="str">
        <f>IFERROR(_xlfn.XLOOKUP($O$5,DealsMaster[Deal No.],DealsMaster[Destination]),"")</f>
        <v>Lusaka</v>
      </c>
      <c r="J15" s="71" t="str">
        <f>IFERROR(_xlfn.XLOOKUP($O$5,DealsMaster[Deal No.],DealsMaster[Product]),"")</f>
        <v>PMS</v>
      </c>
      <c r="K15" s="64">
        <v>46112</v>
      </c>
      <c r="L15" s="64">
        <v>46113</v>
      </c>
      <c r="M15" s="56">
        <f t="shared" si="1"/>
        <v>1</v>
      </c>
      <c r="N15" s="57">
        <f t="shared" si="2"/>
        <v>2</v>
      </c>
      <c r="O15" s="58" t="str">
        <f t="shared" si="3"/>
        <v>OK</v>
      </c>
      <c r="P15" s="59">
        <f t="shared" si="4"/>
        <v>0</v>
      </c>
    </row>
    <row r="16" spans="1:16" ht="21.95" customHeight="1" x14ac:dyDescent="0.25">
      <c r="A16" s="54">
        <f t="shared" si="0"/>
        <v>189084</v>
      </c>
      <c r="B16" s="55" t="str">
        <f>IFERROR(_xlfn.XLOOKUP($O$5,DealsMaster[Deal No.],DealsMaster[Consignee]),"")</f>
        <v>Rubis Energy Zambia</v>
      </c>
      <c r="C16" s="64">
        <v>46108</v>
      </c>
      <c r="D16" s="70" t="str">
        <f>IFERROR(_xlfn.XLOOKUP($O$5,DealsMaster[Deal No.],DealsMaster[Loading Port]),"")</f>
        <v>Beira</v>
      </c>
      <c r="E16" s="65" t="s">
        <v>151</v>
      </c>
      <c r="F16" s="65" t="s">
        <v>152</v>
      </c>
      <c r="G16" s="66" t="s">
        <v>138</v>
      </c>
      <c r="H16" s="66" t="s">
        <v>168</v>
      </c>
      <c r="I16" s="71" t="str">
        <f>IFERROR(_xlfn.XLOOKUP($O$5,DealsMaster[Deal No.],DealsMaster[Destination]),"")</f>
        <v>Lusaka</v>
      </c>
      <c r="J16" s="71" t="str">
        <f>IFERROR(_xlfn.XLOOKUP($O$5,DealsMaster[Deal No.],DealsMaster[Product]),"")</f>
        <v>PMS</v>
      </c>
      <c r="K16" s="64">
        <v>46114</v>
      </c>
      <c r="L16" s="64">
        <v>46114</v>
      </c>
      <c r="M16" s="56">
        <f t="shared" si="1"/>
        <v>0</v>
      </c>
      <c r="N16" s="57">
        <f t="shared" si="2"/>
        <v>2</v>
      </c>
      <c r="O16" s="58" t="str">
        <f t="shared" si="3"/>
        <v>OK</v>
      </c>
      <c r="P16" s="59">
        <f t="shared" si="4"/>
        <v>0</v>
      </c>
    </row>
    <row r="17" spans="1:16" ht="21.95" customHeight="1" x14ac:dyDescent="0.25">
      <c r="A17" s="54">
        <f t="shared" si="0"/>
        <v>189084</v>
      </c>
      <c r="B17" s="55" t="str">
        <f>IFERROR(_xlfn.XLOOKUP($O$5,DealsMaster[Deal No.],DealsMaster[Consignee]),"")</f>
        <v>Rubis Energy Zambia</v>
      </c>
      <c r="C17" s="64">
        <v>46109</v>
      </c>
      <c r="D17" s="70" t="str">
        <f>IFERROR(_xlfn.XLOOKUP($O$5,DealsMaster[Deal No.],DealsMaster[Loading Port]),"")</f>
        <v>Beira</v>
      </c>
      <c r="E17" s="65" t="s">
        <v>153</v>
      </c>
      <c r="F17" s="65" t="s">
        <v>154</v>
      </c>
      <c r="G17" s="66" t="s">
        <v>138</v>
      </c>
      <c r="H17" s="66" t="s">
        <v>169</v>
      </c>
      <c r="I17" s="71" t="str">
        <f>IFERROR(_xlfn.XLOOKUP($O$5,DealsMaster[Deal No.],DealsMaster[Destination]),"")</f>
        <v>Lusaka</v>
      </c>
      <c r="J17" s="71" t="str">
        <f>IFERROR(_xlfn.XLOOKUP($O$5,DealsMaster[Deal No.],DealsMaster[Product]),"")</f>
        <v>PMS</v>
      </c>
      <c r="K17" s="64">
        <v>46114</v>
      </c>
      <c r="L17" s="64">
        <v>46114</v>
      </c>
      <c r="M17" s="56">
        <f t="shared" si="1"/>
        <v>0</v>
      </c>
      <c r="N17" s="57">
        <f t="shared" si="2"/>
        <v>2</v>
      </c>
      <c r="O17" s="58" t="str">
        <f t="shared" si="3"/>
        <v>OK</v>
      </c>
      <c r="P17" s="59">
        <f t="shared" si="4"/>
        <v>0</v>
      </c>
    </row>
    <row r="18" spans="1:16" ht="21.95" customHeight="1" x14ac:dyDescent="0.25">
      <c r="A18" s="54">
        <f t="shared" si="0"/>
        <v>189084</v>
      </c>
      <c r="B18" s="55" t="str">
        <f>IFERROR(_xlfn.XLOOKUP($O$5,DealsMaster[Deal No.],DealsMaster[Consignee]),"")</f>
        <v>Rubis Energy Zambia</v>
      </c>
      <c r="C18" s="64">
        <v>46109</v>
      </c>
      <c r="D18" s="70" t="str">
        <f>IFERROR(_xlfn.XLOOKUP($O$5,DealsMaster[Deal No.],DealsMaster[Loading Port]),"")</f>
        <v>Beira</v>
      </c>
      <c r="E18" s="65" t="s">
        <v>155</v>
      </c>
      <c r="F18" s="65" t="s">
        <v>156</v>
      </c>
      <c r="G18" s="66" t="s">
        <v>138</v>
      </c>
      <c r="H18" s="66" t="s">
        <v>170</v>
      </c>
      <c r="I18" s="71" t="str">
        <f>IFERROR(_xlfn.XLOOKUP($O$5,DealsMaster[Deal No.],DealsMaster[Destination]),"")</f>
        <v>Lusaka</v>
      </c>
      <c r="J18" s="71" t="str">
        <f>IFERROR(_xlfn.XLOOKUP($O$5,DealsMaster[Deal No.],DealsMaster[Product]),"")</f>
        <v>PMS</v>
      </c>
      <c r="K18" s="64">
        <v>46114</v>
      </c>
      <c r="L18" s="64">
        <v>46114</v>
      </c>
      <c r="M18" s="56">
        <f t="shared" si="1"/>
        <v>0</v>
      </c>
      <c r="N18" s="57">
        <f t="shared" si="2"/>
        <v>2</v>
      </c>
      <c r="O18" s="58" t="str">
        <f t="shared" si="3"/>
        <v>OK</v>
      </c>
      <c r="P18" s="59">
        <f t="shared" si="4"/>
        <v>0</v>
      </c>
    </row>
    <row r="19" spans="1:16" ht="21.95" customHeight="1" x14ac:dyDescent="0.25">
      <c r="A19" s="54">
        <f t="shared" si="0"/>
        <v>189084</v>
      </c>
      <c r="B19" s="55" t="str">
        <f>IFERROR(_xlfn.XLOOKUP($O$5,DealsMaster[Deal No.],DealsMaster[Consignee]),"")</f>
        <v>Rubis Energy Zambia</v>
      </c>
      <c r="C19" s="64">
        <v>46110</v>
      </c>
      <c r="D19" s="70" t="str">
        <f>IFERROR(_xlfn.XLOOKUP($O$5,DealsMaster[Deal No.],DealsMaster[Loading Port]),"")</f>
        <v>Beira</v>
      </c>
      <c r="E19" s="65" t="s">
        <v>157</v>
      </c>
      <c r="F19" s="65" t="s">
        <v>158</v>
      </c>
      <c r="G19" s="66" t="s">
        <v>138</v>
      </c>
      <c r="H19" s="66" t="s">
        <v>171</v>
      </c>
      <c r="I19" s="71" t="str">
        <f>IFERROR(_xlfn.XLOOKUP($O$5,DealsMaster[Deal No.],DealsMaster[Destination]),"")</f>
        <v>Lusaka</v>
      </c>
      <c r="J19" s="71" t="str">
        <f>IFERROR(_xlfn.XLOOKUP($O$5,DealsMaster[Deal No.],DealsMaster[Product]),"")</f>
        <v>PMS</v>
      </c>
      <c r="K19" s="64">
        <v>46114</v>
      </c>
      <c r="L19" s="64">
        <v>46114</v>
      </c>
      <c r="M19" s="56">
        <f t="shared" si="1"/>
        <v>0</v>
      </c>
      <c r="N19" s="57">
        <f t="shared" si="2"/>
        <v>2</v>
      </c>
      <c r="O19" s="58" t="str">
        <f t="shared" si="3"/>
        <v>OK</v>
      </c>
      <c r="P19" s="59">
        <f t="shared" si="4"/>
        <v>0</v>
      </c>
    </row>
    <row r="20" spans="1:16" ht="21.95" customHeight="1" x14ac:dyDescent="0.25">
      <c r="A20" s="54">
        <f t="shared" si="0"/>
        <v>189084</v>
      </c>
      <c r="B20" s="55" t="str">
        <f>IFERROR(_xlfn.XLOOKUP($O$5,DealsMaster[Deal No.],DealsMaster[Consignee]),"")</f>
        <v>Rubis Energy Zambia</v>
      </c>
      <c r="C20" s="64">
        <v>46110</v>
      </c>
      <c r="D20" s="70" t="str">
        <f>IFERROR(_xlfn.XLOOKUP($O$5,DealsMaster[Deal No.],DealsMaster[Loading Port]),"")</f>
        <v>Beira</v>
      </c>
      <c r="E20" s="65" t="s">
        <v>113</v>
      </c>
      <c r="F20" s="65" t="s">
        <v>159</v>
      </c>
      <c r="G20" s="66" t="s">
        <v>138</v>
      </c>
      <c r="H20" s="66" t="s">
        <v>172</v>
      </c>
      <c r="I20" s="71" t="str">
        <f>IFERROR(_xlfn.XLOOKUP($O$5,DealsMaster[Deal No.],DealsMaster[Destination]),"")</f>
        <v>Lusaka</v>
      </c>
      <c r="J20" s="71" t="str">
        <f>IFERROR(_xlfn.XLOOKUP($O$5,DealsMaster[Deal No.],DealsMaster[Product]),"")</f>
        <v>PMS</v>
      </c>
      <c r="K20" s="64">
        <v>46114</v>
      </c>
      <c r="L20" s="64">
        <v>46114</v>
      </c>
      <c r="M20" s="56">
        <f t="shared" si="1"/>
        <v>0</v>
      </c>
      <c r="N20" s="57">
        <f t="shared" si="2"/>
        <v>2</v>
      </c>
      <c r="O20" s="58" t="str">
        <f t="shared" si="3"/>
        <v>OK</v>
      </c>
      <c r="P20" s="59">
        <f t="shared" si="4"/>
        <v>0</v>
      </c>
    </row>
    <row r="21" spans="1:16" ht="21.95" customHeight="1" x14ac:dyDescent="0.25">
      <c r="A21" s="54">
        <f t="shared" si="0"/>
        <v>189084</v>
      </c>
      <c r="B21" s="55" t="str">
        <f>IFERROR(_xlfn.XLOOKUP($O$5,DealsMaster[Deal No.],DealsMaster[Consignee]),"")</f>
        <v>Rubis Energy Zambia</v>
      </c>
      <c r="C21" s="64">
        <v>46108</v>
      </c>
      <c r="D21" s="70" t="str">
        <f>IFERROR(_xlfn.XLOOKUP($O$5,DealsMaster[Deal No.],DealsMaster[Loading Port]),"")</f>
        <v>Beira</v>
      </c>
      <c r="E21" s="65" t="s">
        <v>160</v>
      </c>
      <c r="F21" s="65" t="s">
        <v>161</v>
      </c>
      <c r="G21" s="66" t="s">
        <v>138</v>
      </c>
      <c r="H21" s="66" t="s">
        <v>173</v>
      </c>
      <c r="I21" s="71" t="str">
        <f>IFERROR(_xlfn.XLOOKUP($O$5,DealsMaster[Deal No.],DealsMaster[Destination]),"")</f>
        <v>Lusaka</v>
      </c>
      <c r="J21" s="71" t="str">
        <f>IFERROR(_xlfn.XLOOKUP($O$5,DealsMaster[Deal No.],DealsMaster[Product]),"")</f>
        <v>PMS</v>
      </c>
      <c r="K21" s="64">
        <v>46115</v>
      </c>
      <c r="L21" s="64">
        <v>46116</v>
      </c>
      <c r="M21" s="56">
        <f t="shared" si="1"/>
        <v>1</v>
      </c>
      <c r="N21" s="57">
        <f t="shared" si="2"/>
        <v>2</v>
      </c>
      <c r="O21" s="58" t="str">
        <f t="shared" si="3"/>
        <v>OK</v>
      </c>
      <c r="P21" s="59">
        <f t="shared" si="4"/>
        <v>0</v>
      </c>
    </row>
    <row r="22" spans="1:16" ht="15.75" thickBot="1" x14ac:dyDescent="0.3">
      <c r="A22" s="60" t="s">
        <v>14</v>
      </c>
      <c r="B22" s="61"/>
      <c r="C22" s="62"/>
      <c r="D22" s="62"/>
      <c r="E22" s="62"/>
      <c r="F22" s="62"/>
      <c r="G22" s="61"/>
      <c r="H22" s="61"/>
      <c r="I22" s="61"/>
      <c r="J22" s="61"/>
      <c r="K22" s="62"/>
      <c r="L22" s="62"/>
      <c r="M22" s="62"/>
      <c r="N22" s="62"/>
      <c r="O22" s="62"/>
      <c r="P22" s="63">
        <f>SUBTOTAL(109,P10:P21)</f>
        <v>500</v>
      </c>
    </row>
    <row r="23" spans="1:16" x14ac:dyDescent="0.25">
      <c r="N23" s="1"/>
    </row>
    <row r="24" spans="1:16" x14ac:dyDescent="0.25">
      <c r="N24" s="1"/>
    </row>
    <row r="25" spans="1:16" x14ac:dyDescent="0.25">
      <c r="N25" s="1"/>
    </row>
    <row r="26" spans="1:16" x14ac:dyDescent="0.25">
      <c r="N26" s="1"/>
    </row>
    <row r="27" spans="1:16" x14ac:dyDescent="0.25">
      <c r="N27" s="1"/>
    </row>
    <row r="28" spans="1:16" x14ac:dyDescent="0.25">
      <c r="N28" s="1"/>
    </row>
    <row r="29" spans="1:16" x14ac:dyDescent="0.25">
      <c r="N29" s="1"/>
    </row>
    <row r="30" spans="1:16" x14ac:dyDescent="0.25">
      <c r="N30" s="1"/>
    </row>
    <row r="31" spans="1:16" x14ac:dyDescent="0.25">
      <c r="N31" s="1"/>
    </row>
    <row r="32" spans="1:16" x14ac:dyDescent="0.25">
      <c r="N32" s="1"/>
    </row>
    <row r="33" spans="14:14" x14ac:dyDescent="0.25">
      <c r="N33" s="1"/>
    </row>
    <row r="34" spans="14:14" x14ac:dyDescent="0.25">
      <c r="N34" s="1"/>
    </row>
    <row r="35" spans="14:14" x14ac:dyDescent="0.25">
      <c r="N35" s="1"/>
    </row>
    <row r="36" spans="14:14" x14ac:dyDescent="0.25">
      <c r="N36" s="1"/>
    </row>
    <row r="37" spans="14:14" x14ac:dyDescent="0.25">
      <c r="N37" s="1"/>
    </row>
    <row r="38" spans="14:14" x14ac:dyDescent="0.25">
      <c r="N38" s="1"/>
    </row>
    <row r="39" spans="14:14" x14ac:dyDescent="0.25">
      <c r="N39" s="1"/>
    </row>
    <row r="40" spans="14:14" x14ac:dyDescent="0.25">
      <c r="N40" s="1"/>
    </row>
    <row r="41" spans="14:14" x14ac:dyDescent="0.25">
      <c r="N41" s="1"/>
    </row>
    <row r="42" spans="14:14" x14ac:dyDescent="0.25">
      <c r="N42" s="1"/>
    </row>
    <row r="43" spans="14:14" x14ac:dyDescent="0.25">
      <c r="N43" s="1"/>
    </row>
    <row r="44" spans="14:14" x14ac:dyDescent="0.25">
      <c r="N44" s="1"/>
    </row>
    <row r="45" spans="14:14" x14ac:dyDescent="0.25">
      <c r="N45" s="1"/>
    </row>
  </sheetData>
  <sheetProtection autoFilter="0"/>
  <mergeCells count="9">
    <mergeCell ref="C5:E7"/>
    <mergeCell ref="F5:H7"/>
    <mergeCell ref="A1:B1"/>
    <mergeCell ref="C1:P1"/>
    <mergeCell ref="A2:P2"/>
    <mergeCell ref="C3:O3"/>
    <mergeCell ref="C4:E4"/>
    <mergeCell ref="F4:H4"/>
    <mergeCell ref="N4:O4"/>
  </mergeCells>
  <dataValidations count="6">
    <dataValidation type="date" allowBlank="1" showInputMessage="1" showErrorMessage="1" errorTitle="Invalid date" error="Please enter a valid date (e.g. 15-Jan-2025). Text entries are not allowed." promptTitle="Offloaded Date" prompt="Enter a date between 2020 and 2030." sqref="L10:L21" xr:uid="{D9DA622D-698F-4E2E-B4A2-C4A7EFD2EE36}">
      <formula1>43831</formula1>
      <formula2>47848</formula2>
    </dataValidation>
    <dataValidation type="date" allowBlank="1" showInputMessage="1" showErrorMessage="1" errorTitle="Invalid date" error="Please enter a valid date (e.g. 15-Jan-2025). Text entries are not allowed." promptTitle="Arrival Date" prompt="Enter a date between 2020 and 2030." sqref="K10:K21" xr:uid="{43091E17-9DB7-47AA-906F-1B65C6823473}">
      <formula1>43831</formula1>
      <formula2>47848</formula2>
    </dataValidation>
    <dataValidation type="date" allowBlank="1" showInputMessage="1" showErrorMessage="1" errorTitle="Invalid date" error="Please enter a valid date (e.g. 15-Jan-2025). Text entries are not allowed." promptTitle="Date Loaded" prompt="Enter a date between 2020 and 2030." sqref="C10:C21" xr:uid="{F18323E0-99DA-461B-974C-E5ED9119715C}">
      <formula1>43831</formula1>
      <formula2>47848</formula2>
    </dataValidation>
    <dataValidation type="list" allowBlank="1" showInputMessage="1" showErrorMessage="1" errorTitle="Invalid entry" error="Please pick a value from the list." sqref="D10:D21" xr:uid="{4A024027-A207-493E-9056-CC30EC6A4635}">
      <formula1>"Dar Es Salaam,Beira"</formula1>
    </dataValidation>
    <dataValidation type="list" allowBlank="1" showInputMessage="1" showErrorMessage="1" errorTitle="Invalid entry" error="Please pick a value from the list." sqref="I10:I21" xr:uid="{1EDAF36B-CD00-4A23-B4D0-07FA317C43C4}">
      <formula1>"Lusaka,Lubumbashi,Chipata"</formula1>
    </dataValidation>
    <dataValidation type="list" allowBlank="1" showInputMessage="1" showErrorMessage="1" errorTitle="Invalid entry" error="Please pick a value from the list." sqref="J10:J21" xr:uid="{38A17A79-259B-437A-B3FA-7BF588825DE0}">
      <formula1>"PMS,AGO"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B0C23-1690-4901-B075-15FCAB67C8FE}">
  <sheetPr>
    <tabColor rgb="FFF2B233"/>
  </sheetPr>
  <dimension ref="A1:P55"/>
  <sheetViews>
    <sheetView showGridLines="0" zoomScaleNormal="100" workbookViewId="0">
      <pane ySplit="9" topLeftCell="A15" activePane="bottomLeft" state="frozen"/>
      <selection activeCell="M1" sqref="M1"/>
      <selection pane="bottomLeft" activeCell="C22" sqref="C22"/>
    </sheetView>
  </sheetViews>
  <sheetFormatPr defaultRowHeight="15" x14ac:dyDescent="0.25"/>
  <cols>
    <col min="1" max="1" width="21" customWidth="1"/>
    <col min="2" max="2" width="31.42578125" customWidth="1"/>
    <col min="3" max="3" width="19" customWidth="1"/>
    <col min="4" max="4" width="24.7109375" customWidth="1"/>
    <col min="5" max="5" width="18.140625" customWidth="1"/>
    <col min="6" max="6" width="19" customWidth="1"/>
    <col min="7" max="8" width="26.7109375" customWidth="1"/>
    <col min="9" max="9" width="21.85546875" customWidth="1"/>
    <col min="10" max="10" width="15.28515625" customWidth="1"/>
    <col min="11" max="12" width="21.85546875" customWidth="1"/>
    <col min="13" max="13" width="17.140625" customWidth="1"/>
    <col min="14" max="14" width="18.140625" customWidth="1"/>
    <col min="15" max="15" width="21.85546875" customWidth="1"/>
    <col min="16" max="16" width="27.5703125" customWidth="1"/>
  </cols>
  <sheetData>
    <row r="1" spans="1:16" ht="60" customHeight="1" x14ac:dyDescent="0.25">
      <c r="A1" s="88"/>
      <c r="B1" s="89"/>
      <c r="C1" s="90" t="str">
        <f>IF(O5=0,"DEMURRAGE CALCULATION  —  [ENTER DEAL NO. ABOVE]","DEMURRAGE CALCULATION  —  "&amp;TEXT(O5,"0")&amp;" - "&amp;UPPER(IFERROR(_xlfn.XLOOKUP(O5,DealsMaster[Deal No.],DealsMaster[Consignee]),""))&amp;" - "&amp;UPPER(IFERROR(_xlfn.XLOOKUP(O5,DealsMaster[Deal No.],DealsMaster[Route]),"")))</f>
        <v>DEMURRAGE CALCULATION  —  190261 - LAKE PETROLEUM ZAMBIA - BEIRA → LUSAKA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</row>
    <row r="2" spans="1:16" ht="6" customHeight="1" x14ac:dyDescent="0.25">
      <c r="A2" s="91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</row>
    <row r="3" spans="1:16" ht="20.100000000000001" customHeight="1" x14ac:dyDescent="0.25">
      <c r="C3" s="92" t="s">
        <v>27</v>
      </c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</row>
    <row r="4" spans="1:16" ht="20.100000000000001" customHeight="1" x14ac:dyDescent="0.25">
      <c r="C4" s="93" t="s">
        <v>28</v>
      </c>
      <c r="D4" s="94"/>
      <c r="E4" s="94"/>
      <c r="F4" s="95" t="s">
        <v>29</v>
      </c>
      <c r="G4" s="94"/>
      <c r="H4" s="94"/>
      <c r="I4" s="49"/>
      <c r="J4" s="49"/>
      <c r="K4" s="49"/>
      <c r="L4" s="49"/>
      <c r="M4" s="49"/>
      <c r="N4" s="93" t="s">
        <v>30</v>
      </c>
      <c r="O4" s="94"/>
    </row>
    <row r="5" spans="1:16" ht="18" customHeight="1" x14ac:dyDescent="0.25">
      <c r="C5" s="78">
        <f>SUM('190261-LAKE-BEIRA-LSK'!$P$10:$P$31)</f>
        <v>0</v>
      </c>
      <c r="D5" s="79"/>
      <c r="E5" s="79"/>
      <c r="F5" s="83" t="str">
        <f>COUNTIF('190261-LAKE-BEIRA-LSK'!$O$10:$O$31,"DEMURRAGE")&amp;" / "&amp;COUNTA('190261-LAKE-BEIRA-LSK'!$A$10:$A$31)</f>
        <v>0 / 22</v>
      </c>
      <c r="G5" s="84"/>
      <c r="H5" s="84"/>
      <c r="I5" s="49"/>
      <c r="J5" s="49"/>
      <c r="K5" s="49"/>
      <c r="L5" s="49"/>
      <c r="M5" s="49"/>
      <c r="N5" s="5" t="s">
        <v>21</v>
      </c>
      <c r="O5" s="75">
        <v>190261</v>
      </c>
    </row>
    <row r="6" spans="1:16" ht="18" customHeight="1" x14ac:dyDescent="0.25">
      <c r="C6" s="80"/>
      <c r="D6" s="79"/>
      <c r="E6" s="79"/>
      <c r="F6" s="85"/>
      <c r="G6" s="84"/>
      <c r="H6" s="84"/>
      <c r="I6" s="49"/>
      <c r="J6" s="49"/>
      <c r="K6" s="49"/>
      <c r="L6" s="49"/>
      <c r="M6" s="49"/>
      <c r="N6" s="5" t="s">
        <v>31</v>
      </c>
      <c r="O6" s="36">
        <f>IFERROR(_xlfn.XLOOKUP($O$5,DealsMaster[Deal No.],DealsMaster[Laytime Allowance (days)]),0)</f>
        <v>2</v>
      </c>
    </row>
    <row r="7" spans="1:16" ht="18" customHeight="1" x14ac:dyDescent="0.25">
      <c r="C7" s="81"/>
      <c r="D7" s="82"/>
      <c r="E7" s="82"/>
      <c r="F7" s="86"/>
      <c r="G7" s="87"/>
      <c r="H7" s="87"/>
      <c r="I7" s="49"/>
      <c r="J7" s="49"/>
      <c r="K7" s="49"/>
      <c r="L7" s="49"/>
      <c r="M7" s="49"/>
      <c r="N7" s="6" t="s">
        <v>32</v>
      </c>
      <c r="O7" s="74">
        <f>IFERROR(_xlfn.XLOOKUP($O$5,DealsMaster[Deal No.],DealsMaster[Demurrage Rate (USD/day)]),0)</f>
        <v>250</v>
      </c>
    </row>
    <row r="8" spans="1:16" ht="15.75" thickBot="1" x14ac:dyDescent="0.3">
      <c r="A8" s="48" t="s">
        <v>53</v>
      </c>
      <c r="B8" s="12" t="s">
        <v>54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6" ht="44.1" customHeight="1" x14ac:dyDescent="0.25">
      <c r="A9" s="50" t="s">
        <v>0</v>
      </c>
      <c r="B9" s="51" t="s">
        <v>1</v>
      </c>
      <c r="C9" s="51" t="s">
        <v>2</v>
      </c>
      <c r="D9" s="51" t="s">
        <v>19</v>
      </c>
      <c r="E9" s="51" t="s">
        <v>3</v>
      </c>
      <c r="F9" s="51" t="s">
        <v>4</v>
      </c>
      <c r="G9" s="51" t="s">
        <v>5</v>
      </c>
      <c r="H9" s="51" t="s">
        <v>6</v>
      </c>
      <c r="I9" s="51" t="s">
        <v>7</v>
      </c>
      <c r="J9" s="51" t="s">
        <v>8</v>
      </c>
      <c r="K9" s="51" t="s">
        <v>9</v>
      </c>
      <c r="L9" s="51" t="s">
        <v>10</v>
      </c>
      <c r="M9" s="51" t="s">
        <v>11</v>
      </c>
      <c r="N9" s="52" t="s">
        <v>25</v>
      </c>
      <c r="O9" s="52" t="s">
        <v>26</v>
      </c>
      <c r="P9" s="53" t="s">
        <v>13</v>
      </c>
    </row>
    <row r="10" spans="1:16" ht="21.95" customHeight="1" x14ac:dyDescent="0.25">
      <c r="A10" s="54">
        <f>$O$5</f>
        <v>190261</v>
      </c>
      <c r="B10" s="55" t="str">
        <f>IFERROR(_xlfn.XLOOKUP($O$5,DealsMaster[Deal No.],DealsMaster[Consignee]),"")</f>
        <v>Lake Petroleum Zambia</v>
      </c>
      <c r="C10" s="64">
        <v>46149</v>
      </c>
      <c r="D10" s="70" t="str">
        <f>IFERROR(_xlfn.XLOOKUP($O$5,DealsMaster[Deal No.],DealsMaster[Loading Port]),"")</f>
        <v>Beira</v>
      </c>
      <c r="E10" s="65" t="s">
        <v>211</v>
      </c>
      <c r="F10" s="65" t="s">
        <v>212</v>
      </c>
      <c r="G10" s="66" t="s">
        <v>229</v>
      </c>
      <c r="H10" s="66" t="s">
        <v>230</v>
      </c>
      <c r="I10" s="71" t="str">
        <f>IFERROR(_xlfn.XLOOKUP($O$5,DealsMaster[Deal No.],DealsMaster[Destination]),"")</f>
        <v>Lusaka</v>
      </c>
      <c r="J10" s="71" t="str">
        <f>IFERROR(_xlfn.XLOOKUP($O$5,DealsMaster[Deal No.],DealsMaster[Product]),"")</f>
        <v>PMS</v>
      </c>
      <c r="K10" s="64">
        <v>46152</v>
      </c>
      <c r="L10" s="64"/>
      <c r="M10" s="56" t="str">
        <f>IF(OR(K10="",L10=""),"",L10-K10)</f>
        <v/>
      </c>
      <c r="N10" s="57">
        <f>$O$6</f>
        <v>2</v>
      </c>
      <c r="O10" s="58" t="str">
        <f>IF(AND(C10&lt;&gt;"",K10&lt;&gt;"",K10&lt;C10),"⚠ Arrival &lt; Loaded",IF(AND(K10&lt;&gt;"",L10&lt;&gt;"",L10&lt;K10),"⚠ Offloaded &lt; Arrival",IF(M10="","",IF(M10&gt;N10,"DEMURRAGE","OK"))))</f>
        <v/>
      </c>
      <c r="P10" s="59" t="str">
        <f>IF(M10="","",MAX(0,M10-N10)*$O$7)</f>
        <v/>
      </c>
    </row>
    <row r="11" spans="1:16" ht="21.95" customHeight="1" x14ac:dyDescent="0.25">
      <c r="A11" s="54">
        <f t="shared" ref="A11:A31" si="0">$O$5</f>
        <v>190261</v>
      </c>
      <c r="B11" s="55" t="str">
        <f>IFERROR(_xlfn.XLOOKUP($O$5,DealsMaster[Deal No.],DealsMaster[Consignee]),"")</f>
        <v>Lake Petroleum Zambia</v>
      </c>
      <c r="C11" s="64">
        <v>46147</v>
      </c>
      <c r="D11" s="70" t="str">
        <f>IFERROR(_xlfn.XLOOKUP($O$5,DealsMaster[Deal No.],DealsMaster[Loading Port]),"")</f>
        <v>Beira</v>
      </c>
      <c r="E11" s="65" t="s">
        <v>207</v>
      </c>
      <c r="F11" s="65" t="s">
        <v>208</v>
      </c>
      <c r="G11" s="66" t="s">
        <v>229</v>
      </c>
      <c r="H11" s="66" t="s">
        <v>231</v>
      </c>
      <c r="I11" s="71" t="str">
        <f>IFERROR(_xlfn.XLOOKUP($O$5,DealsMaster[Deal No.],DealsMaster[Destination]),"")</f>
        <v>Lusaka</v>
      </c>
      <c r="J11" s="71" t="str">
        <f>IFERROR(_xlfn.XLOOKUP($O$5,DealsMaster[Deal No.],DealsMaster[Product]),"")</f>
        <v>PMS</v>
      </c>
      <c r="K11" s="64">
        <v>46152</v>
      </c>
      <c r="L11" s="64"/>
      <c r="M11" s="56" t="str">
        <f t="shared" ref="M11:M31" si="1">IF(OR(K11="",L11=""),"",L11-K11)</f>
        <v/>
      </c>
      <c r="N11" s="57">
        <f t="shared" ref="N11:N31" si="2">$O$6</f>
        <v>2</v>
      </c>
      <c r="O11" s="58" t="str">
        <f t="shared" ref="O11:O31" si="3">IF(AND(C11&lt;&gt;"",K11&lt;&gt;"",K11&lt;C11),"⚠ Arrival &lt; Loaded",IF(AND(K11&lt;&gt;"",L11&lt;&gt;"",L11&lt;K11),"⚠ Offloaded &lt; Arrival",IF(M11="","",IF(M11&gt;N11,"DEMURRAGE","OK"))))</f>
        <v/>
      </c>
      <c r="P11" s="59" t="str">
        <f t="shared" ref="P11:P31" si="4">IF(M11="","",MAX(0,M11-N11)*$O$7)</f>
        <v/>
      </c>
    </row>
    <row r="12" spans="1:16" ht="21.95" customHeight="1" x14ac:dyDescent="0.25">
      <c r="A12" s="54">
        <f t="shared" si="0"/>
        <v>190261</v>
      </c>
      <c r="B12" s="55" t="str">
        <f>IFERROR(_xlfn.XLOOKUP($O$5,DealsMaster[Deal No.],DealsMaster[Consignee]),"")</f>
        <v>Lake Petroleum Zambia</v>
      </c>
      <c r="C12" s="64">
        <v>46151</v>
      </c>
      <c r="D12" s="70" t="str">
        <f>IFERROR(_xlfn.XLOOKUP($O$5,DealsMaster[Deal No.],DealsMaster[Loading Port]),"")</f>
        <v>Beira</v>
      </c>
      <c r="E12" s="65" t="s">
        <v>213</v>
      </c>
      <c r="F12" s="65" t="s">
        <v>214</v>
      </c>
      <c r="G12" s="66" t="s">
        <v>229</v>
      </c>
      <c r="H12" s="66" t="s">
        <v>232</v>
      </c>
      <c r="I12" s="71" t="str">
        <f>IFERROR(_xlfn.XLOOKUP($O$5,DealsMaster[Deal No.],DealsMaster[Destination]),"")</f>
        <v>Lusaka</v>
      </c>
      <c r="J12" s="71" t="str">
        <f>IFERROR(_xlfn.XLOOKUP($O$5,DealsMaster[Deal No.],DealsMaster[Product]),"")</f>
        <v>PMS</v>
      </c>
      <c r="K12" s="64"/>
      <c r="L12" s="64"/>
      <c r="M12" s="56" t="str">
        <f t="shared" si="1"/>
        <v/>
      </c>
      <c r="N12" s="57">
        <f t="shared" si="2"/>
        <v>2</v>
      </c>
      <c r="O12" s="58" t="str">
        <f t="shared" si="3"/>
        <v/>
      </c>
      <c r="P12" s="59" t="str">
        <f t="shared" si="4"/>
        <v/>
      </c>
    </row>
    <row r="13" spans="1:16" ht="21.95" customHeight="1" x14ac:dyDescent="0.25">
      <c r="A13" s="54">
        <f t="shared" si="0"/>
        <v>190261</v>
      </c>
      <c r="B13" s="55" t="str">
        <f>IFERROR(_xlfn.XLOOKUP($O$5,DealsMaster[Deal No.],DealsMaster[Consignee]),"")</f>
        <v>Lake Petroleum Zambia</v>
      </c>
      <c r="C13" s="64">
        <v>46149</v>
      </c>
      <c r="D13" s="70" t="str">
        <f>IFERROR(_xlfn.XLOOKUP($O$5,DealsMaster[Deal No.],DealsMaster[Loading Port]),"")</f>
        <v>Beira</v>
      </c>
      <c r="E13" s="65" t="s">
        <v>215</v>
      </c>
      <c r="F13" s="65" t="s">
        <v>216</v>
      </c>
      <c r="G13" s="66" t="s">
        <v>229</v>
      </c>
      <c r="H13" s="66" t="s">
        <v>233</v>
      </c>
      <c r="I13" s="71" t="str">
        <f>IFERROR(_xlfn.XLOOKUP($O$5,DealsMaster[Deal No.],DealsMaster[Destination]),"")</f>
        <v>Lusaka</v>
      </c>
      <c r="J13" s="71" t="str">
        <f>IFERROR(_xlfn.XLOOKUP($O$5,DealsMaster[Deal No.],DealsMaster[Product]),"")</f>
        <v>PMS</v>
      </c>
      <c r="K13" s="64">
        <v>46152</v>
      </c>
      <c r="L13" s="64"/>
      <c r="M13" s="56" t="str">
        <f t="shared" si="1"/>
        <v/>
      </c>
      <c r="N13" s="57">
        <f t="shared" si="2"/>
        <v>2</v>
      </c>
      <c r="O13" s="58" t="str">
        <f t="shared" si="3"/>
        <v/>
      </c>
      <c r="P13" s="59" t="str">
        <f t="shared" si="4"/>
        <v/>
      </c>
    </row>
    <row r="14" spans="1:16" ht="21.95" customHeight="1" x14ac:dyDescent="0.25">
      <c r="A14" s="54">
        <f t="shared" si="0"/>
        <v>190261</v>
      </c>
      <c r="B14" s="55" t="str">
        <f>IFERROR(_xlfn.XLOOKUP($O$5,DealsMaster[Deal No.],DealsMaster[Consignee]),"")</f>
        <v>Lake Petroleum Zambia</v>
      </c>
      <c r="C14" s="64">
        <v>46147</v>
      </c>
      <c r="D14" s="70" t="str">
        <f>IFERROR(_xlfn.XLOOKUP($O$5,DealsMaster[Deal No.],DealsMaster[Loading Port]),"")</f>
        <v>Beira</v>
      </c>
      <c r="E14" s="65" t="s">
        <v>217</v>
      </c>
      <c r="F14" s="65" t="s">
        <v>218</v>
      </c>
      <c r="G14" s="66" t="s">
        <v>229</v>
      </c>
      <c r="H14" s="66" t="s">
        <v>234</v>
      </c>
      <c r="I14" s="71" t="str">
        <f>IFERROR(_xlfn.XLOOKUP($O$5,DealsMaster[Deal No.],DealsMaster[Destination]),"")</f>
        <v>Lusaka</v>
      </c>
      <c r="J14" s="71" t="str">
        <f>IFERROR(_xlfn.XLOOKUP($O$5,DealsMaster[Deal No.],DealsMaster[Product]),"")</f>
        <v>PMS</v>
      </c>
      <c r="K14" s="64">
        <v>46151</v>
      </c>
      <c r="L14" s="64"/>
      <c r="M14" s="56" t="str">
        <f t="shared" si="1"/>
        <v/>
      </c>
      <c r="N14" s="57">
        <f t="shared" si="2"/>
        <v>2</v>
      </c>
      <c r="O14" s="58" t="str">
        <f t="shared" si="3"/>
        <v/>
      </c>
      <c r="P14" s="59" t="str">
        <f t="shared" si="4"/>
        <v/>
      </c>
    </row>
    <row r="15" spans="1:16" ht="21.95" customHeight="1" x14ac:dyDescent="0.25">
      <c r="A15" s="54">
        <f t="shared" si="0"/>
        <v>190261</v>
      </c>
      <c r="B15" s="55" t="str">
        <f>IFERROR(_xlfn.XLOOKUP($O$5,DealsMaster[Deal No.],DealsMaster[Consignee]),"")</f>
        <v>Lake Petroleum Zambia</v>
      </c>
      <c r="C15" s="64">
        <v>46149</v>
      </c>
      <c r="D15" s="70" t="str">
        <f>IFERROR(_xlfn.XLOOKUP($O$5,DealsMaster[Deal No.],DealsMaster[Loading Port]),"")</f>
        <v>Beira</v>
      </c>
      <c r="E15" s="65" t="s">
        <v>219</v>
      </c>
      <c r="F15" s="65" t="s">
        <v>220</v>
      </c>
      <c r="G15" s="66" t="s">
        <v>229</v>
      </c>
      <c r="H15" s="66" t="s">
        <v>235</v>
      </c>
      <c r="I15" s="71" t="str">
        <f>IFERROR(_xlfn.XLOOKUP($O$5,DealsMaster[Deal No.],DealsMaster[Destination]),"")</f>
        <v>Lusaka</v>
      </c>
      <c r="J15" s="71" t="str">
        <f>IFERROR(_xlfn.XLOOKUP($O$5,DealsMaster[Deal No.],DealsMaster[Product]),"")</f>
        <v>PMS</v>
      </c>
      <c r="K15" s="64">
        <v>46152</v>
      </c>
      <c r="L15" s="64"/>
      <c r="M15" s="56" t="str">
        <f t="shared" si="1"/>
        <v/>
      </c>
      <c r="N15" s="57">
        <f t="shared" si="2"/>
        <v>2</v>
      </c>
      <c r="O15" s="58" t="str">
        <f t="shared" si="3"/>
        <v/>
      </c>
      <c r="P15" s="59" t="str">
        <f t="shared" si="4"/>
        <v/>
      </c>
    </row>
    <row r="16" spans="1:16" ht="21.95" customHeight="1" x14ac:dyDescent="0.25">
      <c r="A16" s="54">
        <f t="shared" si="0"/>
        <v>190261</v>
      </c>
      <c r="B16" s="55" t="str">
        <f>IFERROR(_xlfn.XLOOKUP($O$5,DealsMaster[Deal No.],DealsMaster[Consignee]),"")</f>
        <v>Lake Petroleum Zambia</v>
      </c>
      <c r="C16" s="64">
        <v>46147</v>
      </c>
      <c r="D16" s="70" t="str">
        <f>IFERROR(_xlfn.XLOOKUP($O$5,DealsMaster[Deal No.],DealsMaster[Loading Port]),"")</f>
        <v>Beira</v>
      </c>
      <c r="E16" s="65" t="s">
        <v>221</v>
      </c>
      <c r="F16" s="65" t="s">
        <v>222</v>
      </c>
      <c r="G16" s="66" t="s">
        <v>229</v>
      </c>
      <c r="H16" s="66" t="s">
        <v>236</v>
      </c>
      <c r="I16" s="71" t="str">
        <f>IFERROR(_xlfn.XLOOKUP($O$5,DealsMaster[Deal No.],DealsMaster[Destination]),"")</f>
        <v>Lusaka</v>
      </c>
      <c r="J16" s="71" t="str">
        <f>IFERROR(_xlfn.XLOOKUP($O$5,DealsMaster[Deal No.],DealsMaster[Product]),"")</f>
        <v>PMS</v>
      </c>
      <c r="K16" s="64">
        <v>46151</v>
      </c>
      <c r="L16" s="64"/>
      <c r="M16" s="56" t="str">
        <f t="shared" si="1"/>
        <v/>
      </c>
      <c r="N16" s="57">
        <f t="shared" si="2"/>
        <v>2</v>
      </c>
      <c r="O16" s="58" t="str">
        <f t="shared" si="3"/>
        <v/>
      </c>
      <c r="P16" s="59" t="str">
        <f t="shared" si="4"/>
        <v/>
      </c>
    </row>
    <row r="17" spans="1:16" ht="21.95" customHeight="1" x14ac:dyDescent="0.25">
      <c r="A17" s="54">
        <f t="shared" si="0"/>
        <v>190261</v>
      </c>
      <c r="B17" s="55" t="str">
        <f>IFERROR(_xlfn.XLOOKUP($O$5,DealsMaster[Deal No.],DealsMaster[Consignee]),"")</f>
        <v>Lake Petroleum Zambia</v>
      </c>
      <c r="C17" s="64">
        <v>46148</v>
      </c>
      <c r="D17" s="70" t="str">
        <f>IFERROR(_xlfn.XLOOKUP($O$5,DealsMaster[Deal No.],DealsMaster[Loading Port]),"")</f>
        <v>Beira</v>
      </c>
      <c r="E17" s="65" t="s">
        <v>223</v>
      </c>
      <c r="F17" s="65" t="s">
        <v>224</v>
      </c>
      <c r="G17" s="66" t="s">
        <v>229</v>
      </c>
      <c r="H17" s="66" t="s">
        <v>237</v>
      </c>
      <c r="I17" s="71" t="str">
        <f>IFERROR(_xlfn.XLOOKUP($O$5,DealsMaster[Deal No.],DealsMaster[Destination]),"")</f>
        <v>Lusaka</v>
      </c>
      <c r="J17" s="71" t="str">
        <f>IFERROR(_xlfn.XLOOKUP($O$5,DealsMaster[Deal No.],DealsMaster[Product]),"")</f>
        <v>PMS</v>
      </c>
      <c r="K17" s="64">
        <v>46151</v>
      </c>
      <c r="L17" s="64"/>
      <c r="M17" s="56" t="str">
        <f t="shared" si="1"/>
        <v/>
      </c>
      <c r="N17" s="57">
        <f t="shared" si="2"/>
        <v>2</v>
      </c>
      <c r="O17" s="58" t="str">
        <f t="shared" si="3"/>
        <v/>
      </c>
      <c r="P17" s="59" t="str">
        <f t="shared" si="4"/>
        <v/>
      </c>
    </row>
    <row r="18" spans="1:16" ht="21.95" customHeight="1" x14ac:dyDescent="0.25">
      <c r="A18" s="54">
        <f t="shared" si="0"/>
        <v>190261</v>
      </c>
      <c r="B18" s="55" t="str">
        <f>IFERROR(_xlfn.XLOOKUP($O$5,DealsMaster[Deal No.],DealsMaster[Consignee]),"")</f>
        <v>Lake Petroleum Zambia</v>
      </c>
      <c r="C18" s="64">
        <v>46149</v>
      </c>
      <c r="D18" s="70" t="str">
        <f>IFERROR(_xlfn.XLOOKUP($O$5,DealsMaster[Deal No.],DealsMaster[Loading Port]),"")</f>
        <v>Beira</v>
      </c>
      <c r="E18" s="65" t="s">
        <v>225</v>
      </c>
      <c r="F18" s="65" t="s">
        <v>226</v>
      </c>
      <c r="G18" s="66" t="s">
        <v>229</v>
      </c>
      <c r="H18" s="66" t="s">
        <v>238</v>
      </c>
      <c r="I18" s="71" t="str">
        <f>IFERROR(_xlfn.XLOOKUP($O$5,DealsMaster[Deal No.],DealsMaster[Destination]),"")</f>
        <v>Lusaka</v>
      </c>
      <c r="J18" s="71" t="str">
        <f>IFERROR(_xlfn.XLOOKUP($O$5,DealsMaster[Deal No.],DealsMaster[Product]),"")</f>
        <v>PMS</v>
      </c>
      <c r="K18" s="64">
        <v>46152</v>
      </c>
      <c r="L18" s="64"/>
      <c r="M18" s="56" t="str">
        <f t="shared" si="1"/>
        <v/>
      </c>
      <c r="N18" s="57">
        <f t="shared" si="2"/>
        <v>2</v>
      </c>
      <c r="O18" s="58" t="str">
        <f t="shared" si="3"/>
        <v/>
      </c>
      <c r="P18" s="59" t="str">
        <f t="shared" si="4"/>
        <v/>
      </c>
    </row>
    <row r="19" spans="1:16" ht="21.95" customHeight="1" x14ac:dyDescent="0.25">
      <c r="A19" s="54">
        <f t="shared" si="0"/>
        <v>190261</v>
      </c>
      <c r="B19" s="55" t="str">
        <f>IFERROR(_xlfn.XLOOKUP($O$5,DealsMaster[Deal No.],DealsMaster[Consignee]),"")</f>
        <v>Lake Petroleum Zambia</v>
      </c>
      <c r="C19" s="64">
        <v>46147</v>
      </c>
      <c r="D19" s="70" t="str">
        <f>IFERROR(_xlfn.XLOOKUP($O$5,DealsMaster[Deal No.],DealsMaster[Loading Port]),"")</f>
        <v>Beira</v>
      </c>
      <c r="E19" s="65" t="s">
        <v>227</v>
      </c>
      <c r="F19" s="65" t="s">
        <v>228</v>
      </c>
      <c r="G19" s="66" t="s">
        <v>229</v>
      </c>
      <c r="H19" s="66" t="s">
        <v>239</v>
      </c>
      <c r="I19" s="71" t="str">
        <f>IFERROR(_xlfn.XLOOKUP($O$5,DealsMaster[Deal No.],DealsMaster[Destination]),"")</f>
        <v>Lusaka</v>
      </c>
      <c r="J19" s="71" t="str">
        <f>IFERROR(_xlfn.XLOOKUP($O$5,DealsMaster[Deal No.],DealsMaster[Product]),"")</f>
        <v>PMS</v>
      </c>
      <c r="K19" s="64">
        <v>46151</v>
      </c>
      <c r="L19" s="64"/>
      <c r="M19" s="56" t="str">
        <f t="shared" si="1"/>
        <v/>
      </c>
      <c r="N19" s="57">
        <f t="shared" si="2"/>
        <v>2</v>
      </c>
      <c r="O19" s="58" t="str">
        <f t="shared" si="3"/>
        <v/>
      </c>
      <c r="P19" s="59" t="str">
        <f t="shared" si="4"/>
        <v/>
      </c>
    </row>
    <row r="20" spans="1:16" ht="21.95" customHeight="1" x14ac:dyDescent="0.25">
      <c r="A20" s="54">
        <f t="shared" si="0"/>
        <v>190261</v>
      </c>
      <c r="B20" s="55" t="str">
        <f>IFERROR(_xlfn.XLOOKUP($O$5,DealsMaster[Deal No.],DealsMaster[Consignee]),"")</f>
        <v>Lake Petroleum Zambia</v>
      </c>
      <c r="C20" s="64"/>
      <c r="D20" s="70" t="str">
        <f>IFERROR(_xlfn.XLOOKUP($O$5,DealsMaster[Deal No.],DealsMaster[Loading Port]),"")</f>
        <v>Beira</v>
      </c>
      <c r="E20" s="65"/>
      <c r="F20" s="65"/>
      <c r="G20" s="66"/>
      <c r="H20" s="66"/>
      <c r="I20" s="71" t="str">
        <f>IFERROR(_xlfn.XLOOKUP($O$5,DealsMaster[Deal No.],DealsMaster[Destination]),"")</f>
        <v>Lusaka</v>
      </c>
      <c r="J20" s="71" t="str">
        <f>IFERROR(_xlfn.XLOOKUP($O$5,DealsMaster[Deal No.],DealsMaster[Product]),"")</f>
        <v>PMS</v>
      </c>
      <c r="K20" s="64"/>
      <c r="L20" s="64"/>
      <c r="M20" s="56" t="str">
        <f t="shared" si="1"/>
        <v/>
      </c>
      <c r="N20" s="57">
        <f t="shared" si="2"/>
        <v>2</v>
      </c>
      <c r="O20" s="58" t="str">
        <f t="shared" si="3"/>
        <v/>
      </c>
      <c r="P20" s="59" t="str">
        <f t="shared" si="4"/>
        <v/>
      </c>
    </row>
    <row r="21" spans="1:16" ht="21.95" customHeight="1" x14ac:dyDescent="0.25">
      <c r="A21" s="54">
        <f t="shared" si="0"/>
        <v>190261</v>
      </c>
      <c r="B21" s="55" t="str">
        <f>IFERROR(_xlfn.XLOOKUP($O$5,DealsMaster[Deal No.],DealsMaster[Consignee]),"")</f>
        <v>Lake Petroleum Zambia</v>
      </c>
      <c r="C21" s="64"/>
      <c r="D21" s="70" t="str">
        <f>IFERROR(_xlfn.XLOOKUP($O$5,DealsMaster[Deal No.],DealsMaster[Loading Port]),"")</f>
        <v>Beira</v>
      </c>
      <c r="E21" s="65"/>
      <c r="F21" s="65"/>
      <c r="G21" s="66"/>
      <c r="H21" s="66"/>
      <c r="I21" s="71" t="str">
        <f>IFERROR(_xlfn.XLOOKUP($O$5,DealsMaster[Deal No.],DealsMaster[Destination]),"")</f>
        <v>Lusaka</v>
      </c>
      <c r="J21" s="71" t="str">
        <f>IFERROR(_xlfn.XLOOKUP($O$5,DealsMaster[Deal No.],DealsMaster[Product]),"")</f>
        <v>PMS</v>
      </c>
      <c r="K21" s="64"/>
      <c r="L21" s="64"/>
      <c r="M21" s="56" t="str">
        <f t="shared" si="1"/>
        <v/>
      </c>
      <c r="N21" s="57">
        <f t="shared" si="2"/>
        <v>2</v>
      </c>
      <c r="O21" s="58" t="str">
        <f t="shared" si="3"/>
        <v/>
      </c>
      <c r="P21" s="59" t="str">
        <f t="shared" si="4"/>
        <v/>
      </c>
    </row>
    <row r="22" spans="1:16" ht="21.95" customHeight="1" x14ac:dyDescent="0.25">
      <c r="A22" s="54">
        <f t="shared" si="0"/>
        <v>190261</v>
      </c>
      <c r="B22" s="55" t="str">
        <f>IFERROR(_xlfn.XLOOKUP($O$5,DealsMaster[Deal No.],DealsMaster[Consignee]),"")</f>
        <v>Lake Petroleum Zambia</v>
      </c>
      <c r="C22" s="64"/>
      <c r="D22" s="70" t="str">
        <f>IFERROR(_xlfn.XLOOKUP($O$5,DealsMaster[Deal No.],DealsMaster[Loading Port]),"")</f>
        <v>Beira</v>
      </c>
      <c r="E22" s="65"/>
      <c r="F22" s="65"/>
      <c r="G22" s="66"/>
      <c r="H22" s="66"/>
      <c r="I22" s="71" t="str">
        <f>IFERROR(_xlfn.XLOOKUP($O$5,DealsMaster[Deal No.],DealsMaster[Destination]),"")</f>
        <v>Lusaka</v>
      </c>
      <c r="J22" s="71" t="str">
        <f>IFERROR(_xlfn.XLOOKUP($O$5,DealsMaster[Deal No.],DealsMaster[Product]),"")</f>
        <v>PMS</v>
      </c>
      <c r="K22" s="64"/>
      <c r="L22" s="64"/>
      <c r="M22" s="56" t="str">
        <f t="shared" si="1"/>
        <v/>
      </c>
      <c r="N22" s="57">
        <f t="shared" si="2"/>
        <v>2</v>
      </c>
      <c r="O22" s="58" t="str">
        <f t="shared" si="3"/>
        <v/>
      </c>
      <c r="P22" s="59" t="str">
        <f t="shared" si="4"/>
        <v/>
      </c>
    </row>
    <row r="23" spans="1:16" ht="21.95" customHeight="1" x14ac:dyDescent="0.25">
      <c r="A23" s="54">
        <f t="shared" si="0"/>
        <v>190261</v>
      </c>
      <c r="B23" s="55" t="str">
        <f>IFERROR(_xlfn.XLOOKUP($O$5,DealsMaster[Deal No.],DealsMaster[Consignee]),"")</f>
        <v>Lake Petroleum Zambia</v>
      </c>
      <c r="C23" s="64"/>
      <c r="D23" s="70" t="str">
        <f>IFERROR(_xlfn.XLOOKUP($O$5,DealsMaster[Deal No.],DealsMaster[Loading Port]),"")</f>
        <v>Beira</v>
      </c>
      <c r="E23" s="65"/>
      <c r="F23" s="65"/>
      <c r="G23" s="66"/>
      <c r="H23" s="66"/>
      <c r="I23" s="71" t="str">
        <f>IFERROR(_xlfn.XLOOKUP($O$5,DealsMaster[Deal No.],DealsMaster[Destination]),"")</f>
        <v>Lusaka</v>
      </c>
      <c r="J23" s="71" t="str">
        <f>IFERROR(_xlfn.XLOOKUP($O$5,DealsMaster[Deal No.],DealsMaster[Product]),"")</f>
        <v>PMS</v>
      </c>
      <c r="K23" s="64"/>
      <c r="L23" s="64"/>
      <c r="M23" s="56" t="str">
        <f t="shared" si="1"/>
        <v/>
      </c>
      <c r="N23" s="57">
        <f t="shared" si="2"/>
        <v>2</v>
      </c>
      <c r="O23" s="58" t="str">
        <f t="shared" si="3"/>
        <v/>
      </c>
      <c r="P23" s="59" t="str">
        <f t="shared" si="4"/>
        <v/>
      </c>
    </row>
    <row r="24" spans="1:16" ht="21.95" customHeight="1" x14ac:dyDescent="0.25">
      <c r="A24" s="54">
        <f t="shared" si="0"/>
        <v>190261</v>
      </c>
      <c r="B24" s="55" t="str">
        <f>IFERROR(_xlfn.XLOOKUP($O$5,DealsMaster[Deal No.],DealsMaster[Consignee]),"")</f>
        <v>Lake Petroleum Zambia</v>
      </c>
      <c r="C24" s="64"/>
      <c r="D24" s="70" t="str">
        <f>IFERROR(_xlfn.XLOOKUP($O$5,DealsMaster[Deal No.],DealsMaster[Loading Port]),"")</f>
        <v>Beira</v>
      </c>
      <c r="E24" s="65"/>
      <c r="F24" s="65"/>
      <c r="G24" s="66"/>
      <c r="H24" s="66"/>
      <c r="I24" s="71" t="str">
        <f>IFERROR(_xlfn.XLOOKUP($O$5,DealsMaster[Deal No.],DealsMaster[Destination]),"")</f>
        <v>Lusaka</v>
      </c>
      <c r="J24" s="71" t="str">
        <f>IFERROR(_xlfn.XLOOKUP($O$5,DealsMaster[Deal No.],DealsMaster[Product]),"")</f>
        <v>PMS</v>
      </c>
      <c r="K24" s="64"/>
      <c r="L24" s="64"/>
      <c r="M24" s="56" t="str">
        <f t="shared" si="1"/>
        <v/>
      </c>
      <c r="N24" s="57">
        <f t="shared" si="2"/>
        <v>2</v>
      </c>
      <c r="O24" s="58" t="str">
        <f t="shared" si="3"/>
        <v/>
      </c>
      <c r="P24" s="59" t="str">
        <f t="shared" si="4"/>
        <v/>
      </c>
    </row>
    <row r="25" spans="1:16" ht="21.95" customHeight="1" x14ac:dyDescent="0.25">
      <c r="A25" s="54">
        <f t="shared" si="0"/>
        <v>190261</v>
      </c>
      <c r="B25" s="55" t="str">
        <f>IFERROR(_xlfn.XLOOKUP($O$5,DealsMaster[Deal No.],DealsMaster[Consignee]),"")</f>
        <v>Lake Petroleum Zambia</v>
      </c>
      <c r="C25" s="64"/>
      <c r="D25" s="70" t="str">
        <f>IFERROR(_xlfn.XLOOKUP($O$5,DealsMaster[Deal No.],DealsMaster[Loading Port]),"")</f>
        <v>Beira</v>
      </c>
      <c r="E25" s="65"/>
      <c r="F25" s="65"/>
      <c r="G25" s="66"/>
      <c r="H25" s="66"/>
      <c r="I25" s="71" t="str">
        <f>IFERROR(_xlfn.XLOOKUP($O$5,DealsMaster[Deal No.],DealsMaster[Destination]),"")</f>
        <v>Lusaka</v>
      </c>
      <c r="J25" s="71" t="str">
        <f>IFERROR(_xlfn.XLOOKUP($O$5,DealsMaster[Deal No.],DealsMaster[Product]),"")</f>
        <v>PMS</v>
      </c>
      <c r="K25" s="64"/>
      <c r="L25" s="64"/>
      <c r="M25" s="56" t="str">
        <f t="shared" si="1"/>
        <v/>
      </c>
      <c r="N25" s="57">
        <f t="shared" si="2"/>
        <v>2</v>
      </c>
      <c r="O25" s="58" t="str">
        <f t="shared" si="3"/>
        <v/>
      </c>
      <c r="P25" s="59" t="str">
        <f t="shared" si="4"/>
        <v/>
      </c>
    </row>
    <row r="26" spans="1:16" ht="21.95" customHeight="1" x14ac:dyDescent="0.25">
      <c r="A26" s="54">
        <f t="shared" si="0"/>
        <v>190261</v>
      </c>
      <c r="B26" s="55" t="str">
        <f>IFERROR(_xlfn.XLOOKUP($O$5,DealsMaster[Deal No.],DealsMaster[Consignee]),"")</f>
        <v>Lake Petroleum Zambia</v>
      </c>
      <c r="C26" s="64"/>
      <c r="D26" s="70" t="str">
        <f>IFERROR(_xlfn.XLOOKUP($O$5,DealsMaster[Deal No.],DealsMaster[Loading Port]),"")</f>
        <v>Beira</v>
      </c>
      <c r="E26" s="65"/>
      <c r="F26" s="65"/>
      <c r="G26" s="66"/>
      <c r="H26" s="66"/>
      <c r="I26" s="71" t="str">
        <f>IFERROR(_xlfn.XLOOKUP($O$5,DealsMaster[Deal No.],DealsMaster[Destination]),"")</f>
        <v>Lusaka</v>
      </c>
      <c r="J26" s="71" t="str">
        <f>IFERROR(_xlfn.XLOOKUP($O$5,DealsMaster[Deal No.],DealsMaster[Product]),"")</f>
        <v>PMS</v>
      </c>
      <c r="K26" s="64"/>
      <c r="L26" s="64"/>
      <c r="M26" s="56" t="str">
        <f t="shared" si="1"/>
        <v/>
      </c>
      <c r="N26" s="57">
        <f t="shared" si="2"/>
        <v>2</v>
      </c>
      <c r="O26" s="58" t="str">
        <f t="shared" si="3"/>
        <v/>
      </c>
      <c r="P26" s="59" t="str">
        <f t="shared" si="4"/>
        <v/>
      </c>
    </row>
    <row r="27" spans="1:16" ht="21.95" customHeight="1" x14ac:dyDescent="0.25">
      <c r="A27" s="54">
        <f t="shared" si="0"/>
        <v>190261</v>
      </c>
      <c r="B27" s="55" t="str">
        <f>IFERROR(_xlfn.XLOOKUP($O$5,DealsMaster[Deal No.],DealsMaster[Consignee]),"")</f>
        <v>Lake Petroleum Zambia</v>
      </c>
      <c r="C27" s="64"/>
      <c r="D27" s="70" t="str">
        <f>IFERROR(_xlfn.XLOOKUP($O$5,DealsMaster[Deal No.],DealsMaster[Loading Port]),"")</f>
        <v>Beira</v>
      </c>
      <c r="E27" s="65"/>
      <c r="F27" s="65"/>
      <c r="G27" s="66"/>
      <c r="H27" s="66"/>
      <c r="I27" s="71" t="str">
        <f>IFERROR(_xlfn.XLOOKUP($O$5,DealsMaster[Deal No.],DealsMaster[Destination]),"")</f>
        <v>Lusaka</v>
      </c>
      <c r="J27" s="71" t="str">
        <f>IFERROR(_xlfn.XLOOKUP($O$5,DealsMaster[Deal No.],DealsMaster[Product]),"")</f>
        <v>PMS</v>
      </c>
      <c r="K27" s="64"/>
      <c r="L27" s="64"/>
      <c r="M27" s="56" t="str">
        <f t="shared" si="1"/>
        <v/>
      </c>
      <c r="N27" s="57">
        <f t="shared" si="2"/>
        <v>2</v>
      </c>
      <c r="O27" s="58" t="str">
        <f t="shared" si="3"/>
        <v/>
      </c>
      <c r="P27" s="59" t="str">
        <f t="shared" si="4"/>
        <v/>
      </c>
    </row>
    <row r="28" spans="1:16" ht="21.95" customHeight="1" x14ac:dyDescent="0.25">
      <c r="A28" s="54">
        <f t="shared" si="0"/>
        <v>190261</v>
      </c>
      <c r="B28" s="55" t="str">
        <f>IFERROR(_xlfn.XLOOKUP($O$5,DealsMaster[Deal No.],DealsMaster[Consignee]),"")</f>
        <v>Lake Petroleum Zambia</v>
      </c>
      <c r="C28" s="64"/>
      <c r="D28" s="70" t="str">
        <f>IFERROR(_xlfn.XLOOKUP($O$5,DealsMaster[Deal No.],DealsMaster[Loading Port]),"")</f>
        <v>Beira</v>
      </c>
      <c r="E28" s="65"/>
      <c r="F28" s="65"/>
      <c r="G28" s="66"/>
      <c r="H28" s="66"/>
      <c r="I28" s="71" t="str">
        <f>IFERROR(_xlfn.XLOOKUP($O$5,DealsMaster[Deal No.],DealsMaster[Destination]),"")</f>
        <v>Lusaka</v>
      </c>
      <c r="J28" s="71" t="str">
        <f>IFERROR(_xlfn.XLOOKUP($O$5,DealsMaster[Deal No.],DealsMaster[Product]),"")</f>
        <v>PMS</v>
      </c>
      <c r="K28" s="64"/>
      <c r="L28" s="64"/>
      <c r="M28" s="56" t="str">
        <f t="shared" si="1"/>
        <v/>
      </c>
      <c r="N28" s="57">
        <f t="shared" si="2"/>
        <v>2</v>
      </c>
      <c r="O28" s="58" t="str">
        <f t="shared" si="3"/>
        <v/>
      </c>
      <c r="P28" s="59" t="str">
        <f t="shared" si="4"/>
        <v/>
      </c>
    </row>
    <row r="29" spans="1:16" ht="21.95" customHeight="1" x14ac:dyDescent="0.25">
      <c r="A29" s="54">
        <f t="shared" si="0"/>
        <v>190261</v>
      </c>
      <c r="B29" s="55" t="str">
        <f>IFERROR(_xlfn.XLOOKUP($O$5,DealsMaster[Deal No.],DealsMaster[Consignee]),"")</f>
        <v>Lake Petroleum Zambia</v>
      </c>
      <c r="C29" s="64"/>
      <c r="D29" s="70" t="str">
        <f>IFERROR(_xlfn.XLOOKUP($O$5,DealsMaster[Deal No.],DealsMaster[Loading Port]),"")</f>
        <v>Beira</v>
      </c>
      <c r="E29" s="65"/>
      <c r="F29" s="65"/>
      <c r="G29" s="66"/>
      <c r="H29" s="66"/>
      <c r="I29" s="71" t="str">
        <f>IFERROR(_xlfn.XLOOKUP($O$5,DealsMaster[Deal No.],DealsMaster[Destination]),"")</f>
        <v>Lusaka</v>
      </c>
      <c r="J29" s="71" t="str">
        <f>IFERROR(_xlfn.XLOOKUP($O$5,DealsMaster[Deal No.],DealsMaster[Product]),"")</f>
        <v>PMS</v>
      </c>
      <c r="K29" s="64"/>
      <c r="L29" s="64"/>
      <c r="M29" s="56" t="str">
        <f t="shared" si="1"/>
        <v/>
      </c>
      <c r="N29" s="57">
        <f t="shared" si="2"/>
        <v>2</v>
      </c>
      <c r="O29" s="58" t="str">
        <f t="shared" si="3"/>
        <v/>
      </c>
      <c r="P29" s="59" t="str">
        <f t="shared" si="4"/>
        <v/>
      </c>
    </row>
    <row r="30" spans="1:16" ht="21.95" customHeight="1" x14ac:dyDescent="0.25">
      <c r="A30" s="54">
        <f t="shared" si="0"/>
        <v>190261</v>
      </c>
      <c r="B30" s="55" t="str">
        <f>IFERROR(_xlfn.XLOOKUP($O$5,DealsMaster[Deal No.],DealsMaster[Consignee]),"")</f>
        <v>Lake Petroleum Zambia</v>
      </c>
      <c r="C30" s="64"/>
      <c r="D30" s="70" t="str">
        <f>IFERROR(_xlfn.XLOOKUP($O$5,DealsMaster[Deal No.],DealsMaster[Loading Port]),"")</f>
        <v>Beira</v>
      </c>
      <c r="E30" s="65"/>
      <c r="F30" s="65"/>
      <c r="G30" s="66"/>
      <c r="H30" s="66"/>
      <c r="I30" s="71" t="str">
        <f>IFERROR(_xlfn.XLOOKUP($O$5,DealsMaster[Deal No.],DealsMaster[Destination]),"")</f>
        <v>Lusaka</v>
      </c>
      <c r="J30" s="71" t="str">
        <f>IFERROR(_xlfn.XLOOKUP($O$5,DealsMaster[Deal No.],DealsMaster[Product]),"")</f>
        <v>PMS</v>
      </c>
      <c r="K30" s="64"/>
      <c r="L30" s="64"/>
      <c r="M30" s="56" t="str">
        <f t="shared" si="1"/>
        <v/>
      </c>
      <c r="N30" s="57">
        <f t="shared" si="2"/>
        <v>2</v>
      </c>
      <c r="O30" s="58" t="str">
        <f t="shared" si="3"/>
        <v/>
      </c>
      <c r="P30" s="59" t="str">
        <f t="shared" si="4"/>
        <v/>
      </c>
    </row>
    <row r="31" spans="1:16" ht="21.95" customHeight="1" x14ac:dyDescent="0.25">
      <c r="A31" s="54">
        <f t="shared" si="0"/>
        <v>190261</v>
      </c>
      <c r="B31" s="55" t="str">
        <f>IFERROR(_xlfn.XLOOKUP($O$5,DealsMaster[Deal No.],DealsMaster[Consignee]),"")</f>
        <v>Lake Petroleum Zambia</v>
      </c>
      <c r="C31" s="64"/>
      <c r="D31" s="70" t="str">
        <f>IFERROR(_xlfn.XLOOKUP($O$5,DealsMaster[Deal No.],DealsMaster[Loading Port]),"")</f>
        <v>Beira</v>
      </c>
      <c r="E31" s="65"/>
      <c r="F31" s="65"/>
      <c r="G31" s="66"/>
      <c r="H31" s="66"/>
      <c r="I31" s="71" t="str">
        <f>IFERROR(_xlfn.XLOOKUP($O$5,DealsMaster[Deal No.],DealsMaster[Destination]),"")</f>
        <v>Lusaka</v>
      </c>
      <c r="J31" s="71" t="str">
        <f>IFERROR(_xlfn.XLOOKUP($O$5,DealsMaster[Deal No.],DealsMaster[Product]),"")</f>
        <v>PMS</v>
      </c>
      <c r="K31" s="64"/>
      <c r="L31" s="64"/>
      <c r="M31" s="56" t="str">
        <f t="shared" si="1"/>
        <v/>
      </c>
      <c r="N31" s="57">
        <f t="shared" si="2"/>
        <v>2</v>
      </c>
      <c r="O31" s="58" t="str">
        <f t="shared" si="3"/>
        <v/>
      </c>
      <c r="P31" s="59" t="str">
        <f t="shared" si="4"/>
        <v/>
      </c>
    </row>
    <row r="32" spans="1:16" ht="15.75" thickBot="1" x14ac:dyDescent="0.3">
      <c r="A32" s="60" t="s">
        <v>14</v>
      </c>
      <c r="B32" s="61"/>
      <c r="C32" s="62"/>
      <c r="D32" s="62"/>
      <c r="E32" s="62"/>
      <c r="F32" s="62"/>
      <c r="G32" s="61"/>
      <c r="H32" s="61"/>
      <c r="I32" s="61"/>
      <c r="J32" s="61"/>
      <c r="K32" s="62"/>
      <c r="L32" s="62"/>
      <c r="M32" s="62"/>
      <c r="N32" s="62"/>
      <c r="O32" s="62"/>
      <c r="P32" s="63">
        <f>SUBTOTAL(109,P10:P31)</f>
        <v>0</v>
      </c>
    </row>
    <row r="33" spans="14:14" x14ac:dyDescent="0.25">
      <c r="N33" s="1"/>
    </row>
    <row r="34" spans="14:14" x14ac:dyDescent="0.25">
      <c r="N34" s="1"/>
    </row>
    <row r="35" spans="14:14" x14ac:dyDescent="0.25">
      <c r="N35" s="1"/>
    </row>
    <row r="36" spans="14:14" x14ac:dyDescent="0.25">
      <c r="N36" s="1"/>
    </row>
    <row r="37" spans="14:14" x14ac:dyDescent="0.25">
      <c r="N37" s="1"/>
    </row>
    <row r="38" spans="14:14" x14ac:dyDescent="0.25">
      <c r="N38" s="1"/>
    </row>
    <row r="39" spans="14:14" x14ac:dyDescent="0.25">
      <c r="N39" s="1"/>
    </row>
    <row r="40" spans="14:14" x14ac:dyDescent="0.25">
      <c r="N40" s="1"/>
    </row>
    <row r="41" spans="14:14" x14ac:dyDescent="0.25">
      <c r="N41" s="1"/>
    </row>
    <row r="42" spans="14:14" x14ac:dyDescent="0.25">
      <c r="N42" s="1"/>
    </row>
    <row r="43" spans="14:14" x14ac:dyDescent="0.25">
      <c r="N43" s="1"/>
    </row>
    <row r="44" spans="14:14" x14ac:dyDescent="0.25">
      <c r="N44" s="1"/>
    </row>
    <row r="45" spans="14:14" x14ac:dyDescent="0.25">
      <c r="N45" s="1"/>
    </row>
    <row r="46" spans="14:14" x14ac:dyDescent="0.25">
      <c r="N46" s="1"/>
    </row>
    <row r="47" spans="14:14" x14ac:dyDescent="0.25">
      <c r="N47" s="1"/>
    </row>
    <row r="48" spans="14:14" x14ac:dyDescent="0.25">
      <c r="N48" s="1"/>
    </row>
    <row r="49" spans="14:14" x14ac:dyDescent="0.25">
      <c r="N49" s="1"/>
    </row>
    <row r="50" spans="14:14" x14ac:dyDescent="0.25">
      <c r="N50" s="1"/>
    </row>
    <row r="51" spans="14:14" x14ac:dyDescent="0.25">
      <c r="N51" s="1"/>
    </row>
    <row r="52" spans="14:14" x14ac:dyDescent="0.25">
      <c r="N52" s="1"/>
    </row>
    <row r="53" spans="14:14" x14ac:dyDescent="0.25">
      <c r="N53" s="1"/>
    </row>
    <row r="54" spans="14:14" x14ac:dyDescent="0.25">
      <c r="N54" s="1"/>
    </row>
    <row r="55" spans="14:14" x14ac:dyDescent="0.25">
      <c r="N55" s="1"/>
    </row>
  </sheetData>
  <sheetProtection autoFilter="0"/>
  <mergeCells count="9">
    <mergeCell ref="C5:E7"/>
    <mergeCell ref="F5:H7"/>
    <mergeCell ref="A1:B1"/>
    <mergeCell ref="C1:P1"/>
    <mergeCell ref="A2:P2"/>
    <mergeCell ref="C3:O3"/>
    <mergeCell ref="C4:E4"/>
    <mergeCell ref="F4:H4"/>
    <mergeCell ref="N4:O4"/>
  </mergeCells>
  <dataValidations count="6">
    <dataValidation type="date" allowBlank="1" showInputMessage="1" showErrorMessage="1" errorTitle="Invalid date" error="Please enter a valid date (e.g. 15-Jan-2025). Text entries are not allowed." promptTitle="Offloaded Date" prompt="Enter a date between 2020 and 2030." sqref="L10:L31" xr:uid="{D4B452D1-7E06-4FDD-90FD-A1D7B41917E8}">
      <formula1>43831</formula1>
      <formula2>47848</formula2>
    </dataValidation>
    <dataValidation type="date" allowBlank="1" showInputMessage="1" showErrorMessage="1" errorTitle="Invalid date" error="Please enter a valid date (e.g. 15-Jan-2025). Text entries are not allowed." promptTitle="Arrival Date" prompt="Enter a date between 2020 and 2030." sqref="K10:K31" xr:uid="{310035FC-5144-4C46-AA9C-A32D8C529872}">
      <formula1>43831</formula1>
      <formula2>47848</formula2>
    </dataValidation>
    <dataValidation type="date" allowBlank="1" showInputMessage="1" showErrorMessage="1" errorTitle="Invalid date" error="Please enter a valid date (e.g. 15-Jan-2025). Text entries are not allowed." promptTitle="Date Loaded" prompt="Enter a date between 2020 and 2030." sqref="C10:C31" xr:uid="{2D50C0C5-EF06-4C05-8F00-4E5DE42984C1}">
      <formula1>43831</formula1>
      <formula2>47848</formula2>
    </dataValidation>
    <dataValidation type="list" allowBlank="1" showInputMessage="1" showErrorMessage="1" errorTitle="Invalid entry" error="Please pick a value from the list." sqref="D10:D31" xr:uid="{536A5602-A8C9-4FF2-A370-4B4C35F15BFF}">
      <formula1>"Dar Es Salaam,Beira"</formula1>
    </dataValidation>
    <dataValidation type="list" allowBlank="1" showInputMessage="1" showErrorMessage="1" errorTitle="Invalid entry" error="Please pick a value from the list." sqref="I10:I31" xr:uid="{81B4A625-7D06-4921-9080-6CD40FCF96BB}">
      <formula1>"Lusaka,Lubumbashi,Chipata"</formula1>
    </dataValidation>
    <dataValidation type="list" allowBlank="1" showInputMessage="1" showErrorMessage="1" errorTitle="Invalid entry" error="Please pick a value from the list." sqref="J10:J31" xr:uid="{DD58DD08-CD00-48A1-B8C3-8F89D0D67146}">
      <formula1>"PMS,AGO"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B8289-D285-45A7-8316-6D81AD391B74}">
  <sheetPr>
    <tabColor rgb="FFF2B233"/>
  </sheetPr>
  <dimension ref="A1:P62"/>
  <sheetViews>
    <sheetView showGridLines="0" tabSelected="1" zoomScaleNormal="100" workbookViewId="0">
      <pane ySplit="9" topLeftCell="A26" activePane="bottomLeft" state="frozen"/>
      <selection activeCell="M1" sqref="M1"/>
      <selection pane="bottomLeft" activeCell="G32" sqref="G32"/>
    </sheetView>
  </sheetViews>
  <sheetFormatPr defaultRowHeight="15" x14ac:dyDescent="0.25"/>
  <cols>
    <col min="1" max="1" width="21" customWidth="1"/>
    <col min="2" max="2" width="31.42578125" customWidth="1"/>
    <col min="3" max="3" width="19" customWidth="1"/>
    <col min="4" max="4" width="24.7109375" customWidth="1"/>
    <col min="5" max="5" width="18.140625" customWidth="1"/>
    <col min="6" max="6" width="19" customWidth="1"/>
    <col min="7" max="8" width="26.7109375" customWidth="1"/>
    <col min="9" max="9" width="21.85546875" customWidth="1"/>
    <col min="10" max="10" width="15.28515625" customWidth="1"/>
    <col min="11" max="12" width="21.85546875" customWidth="1"/>
    <col min="13" max="13" width="17.140625" customWidth="1"/>
    <col min="14" max="14" width="18.140625" customWidth="1"/>
    <col min="15" max="15" width="21.85546875" customWidth="1"/>
    <col min="16" max="16" width="27.5703125" customWidth="1"/>
  </cols>
  <sheetData>
    <row r="1" spans="1:16" ht="60" customHeight="1" x14ac:dyDescent="0.25">
      <c r="A1" s="88"/>
      <c r="B1" s="89"/>
      <c r="C1" s="90" t="str">
        <f>IF(O5=0,"DEMURRAGE CALCULATION  —  [ENTER DEAL NO. ABOVE]","DEMURRAGE CALCULATION  —  "&amp;TEXT(O5,"0")&amp;" - "&amp;UPPER(IFERROR(_xlfn.XLOOKUP(O5,DealsMaster[Deal No.],DealsMaster[Consignee]),""))&amp;" - "&amp;UPPER(IFERROR(_xlfn.XLOOKUP(O5,DealsMaster[Deal No.],DealsMaster[Route]),"")))</f>
        <v>DEMURRAGE CALCULATION  —  190664 - RUBIS ENERGY ZAMBIA - BEIRA → LUSAKA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</row>
    <row r="2" spans="1:16" ht="6" customHeight="1" x14ac:dyDescent="0.25">
      <c r="A2" s="91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</row>
    <row r="3" spans="1:16" ht="20.100000000000001" customHeight="1" x14ac:dyDescent="0.25">
      <c r="C3" s="92" t="s">
        <v>27</v>
      </c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</row>
    <row r="4" spans="1:16" ht="20.100000000000001" customHeight="1" x14ac:dyDescent="0.25">
      <c r="C4" s="93" t="s">
        <v>28</v>
      </c>
      <c r="D4" s="94"/>
      <c r="E4" s="94"/>
      <c r="F4" s="95" t="s">
        <v>29</v>
      </c>
      <c r="G4" s="94"/>
      <c r="H4" s="94"/>
      <c r="I4" s="49"/>
      <c r="J4" s="49"/>
      <c r="K4" s="49"/>
      <c r="L4" s="49"/>
      <c r="M4" s="49"/>
      <c r="N4" s="93" t="s">
        <v>30</v>
      </c>
      <c r="O4" s="94"/>
    </row>
    <row r="5" spans="1:16" ht="18" customHeight="1" x14ac:dyDescent="0.25">
      <c r="C5" s="78">
        <f>SUM('190664-RUBIS-BEIRA-LSK'!$P$10:$P$38)</f>
        <v>24250</v>
      </c>
      <c r="D5" s="79"/>
      <c r="E5" s="79"/>
      <c r="F5" s="83" t="str">
        <f>COUNTIF('190664-RUBIS-BEIRA-LSK'!$O$10:$O$38,"DEMURRAGE")&amp;" / "&amp;COUNTA('190664-RUBIS-BEIRA-LSK'!$A$10:$A$38)</f>
        <v>18 / 29</v>
      </c>
      <c r="G5" s="84"/>
      <c r="H5" s="84"/>
      <c r="I5" s="49"/>
      <c r="J5" s="49"/>
      <c r="K5" s="49"/>
      <c r="L5" s="49"/>
      <c r="M5" s="49"/>
      <c r="N5" s="5" t="s">
        <v>21</v>
      </c>
      <c r="O5" s="75">
        <v>190664</v>
      </c>
    </row>
    <row r="6" spans="1:16" ht="18" customHeight="1" x14ac:dyDescent="0.25">
      <c r="C6" s="80"/>
      <c r="D6" s="79"/>
      <c r="E6" s="79"/>
      <c r="F6" s="85"/>
      <c r="G6" s="84"/>
      <c r="H6" s="84"/>
      <c r="I6" s="49"/>
      <c r="J6" s="49"/>
      <c r="K6" s="49"/>
      <c r="L6" s="49"/>
      <c r="M6" s="49"/>
      <c r="N6" s="5" t="s">
        <v>31</v>
      </c>
      <c r="O6" s="36">
        <f>IFERROR(_xlfn.XLOOKUP($O$5,DealsMaster[Deal No.],DealsMaster[Laytime Allowance (days)]),0)</f>
        <v>2</v>
      </c>
    </row>
    <row r="7" spans="1:16" ht="18" customHeight="1" x14ac:dyDescent="0.25">
      <c r="C7" s="81"/>
      <c r="D7" s="82"/>
      <c r="E7" s="82"/>
      <c r="F7" s="86"/>
      <c r="G7" s="87"/>
      <c r="H7" s="87"/>
      <c r="I7" s="49"/>
      <c r="J7" s="49"/>
      <c r="K7" s="49"/>
      <c r="L7" s="49"/>
      <c r="M7" s="49"/>
      <c r="N7" s="6" t="s">
        <v>32</v>
      </c>
      <c r="O7" s="74">
        <f>IFERROR(_xlfn.XLOOKUP($O$5,DealsMaster[Deal No.],DealsMaster[Demurrage Rate (USD/day)]),0)</f>
        <v>250</v>
      </c>
    </row>
    <row r="8" spans="1:16" ht="15.75" thickBot="1" x14ac:dyDescent="0.3">
      <c r="A8" s="48" t="s">
        <v>53</v>
      </c>
      <c r="B8" s="12" t="s">
        <v>54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6" ht="44.1" customHeight="1" x14ac:dyDescent="0.25">
      <c r="A9" s="50" t="s">
        <v>0</v>
      </c>
      <c r="B9" s="51" t="s">
        <v>1</v>
      </c>
      <c r="C9" s="51" t="s">
        <v>2</v>
      </c>
      <c r="D9" s="51" t="s">
        <v>19</v>
      </c>
      <c r="E9" s="51" t="s">
        <v>3</v>
      </c>
      <c r="F9" s="51" t="s">
        <v>4</v>
      </c>
      <c r="G9" s="51" t="s">
        <v>5</v>
      </c>
      <c r="H9" s="51" t="s">
        <v>6</v>
      </c>
      <c r="I9" s="51" t="s">
        <v>7</v>
      </c>
      <c r="J9" s="51" t="s">
        <v>8</v>
      </c>
      <c r="K9" s="51" t="s">
        <v>9</v>
      </c>
      <c r="L9" s="51" t="s">
        <v>10</v>
      </c>
      <c r="M9" s="51" t="s">
        <v>11</v>
      </c>
      <c r="N9" s="52" t="s">
        <v>25</v>
      </c>
      <c r="O9" s="52" t="s">
        <v>26</v>
      </c>
      <c r="P9" s="53" t="s">
        <v>13</v>
      </c>
    </row>
    <row r="10" spans="1:16" ht="21.95" customHeight="1" x14ac:dyDescent="0.25">
      <c r="A10" s="54">
        <f>$O$5</f>
        <v>190664</v>
      </c>
      <c r="B10" s="55" t="str">
        <f>IFERROR(_xlfn.XLOOKUP($O$5,DealsMaster[Deal No.],DealsMaster[Consignee]),"")</f>
        <v>Rubis Energy Zambia</v>
      </c>
      <c r="C10" s="64">
        <v>46133</v>
      </c>
      <c r="D10" s="70" t="str">
        <f>IFERROR(_xlfn.XLOOKUP($O$5,DealsMaster[Deal No.],DealsMaster[Loading Port]),"")</f>
        <v>Beira</v>
      </c>
      <c r="E10" s="65" t="s">
        <v>356</v>
      </c>
      <c r="F10" s="65" t="s">
        <v>357</v>
      </c>
      <c r="G10" s="66" t="s">
        <v>64</v>
      </c>
      <c r="H10" s="66" t="s">
        <v>341</v>
      </c>
      <c r="I10" s="71" t="str">
        <f>IFERROR(_xlfn.XLOOKUP($O$5,DealsMaster[Deal No.],DealsMaster[Destination]),"")</f>
        <v>Lusaka</v>
      </c>
      <c r="J10" s="71" t="str">
        <f>IFERROR(_xlfn.XLOOKUP($O$5,DealsMaster[Deal No.],DealsMaster[Product]),"")</f>
        <v>PMS</v>
      </c>
      <c r="K10" s="64">
        <v>46138</v>
      </c>
      <c r="L10" s="64">
        <v>46151</v>
      </c>
      <c r="M10" s="56">
        <f>IF(OR(K10="",L10=""),"",L10-K10)</f>
        <v>13</v>
      </c>
      <c r="N10" s="57">
        <f>$O$6</f>
        <v>2</v>
      </c>
      <c r="O10" s="58" t="str">
        <f>IF(AND(C10&lt;&gt;"",K10&lt;&gt;"",K10&lt;C10),"⚠ Arrival &lt; Loaded",IF(AND(K10&lt;&gt;"",L10&lt;&gt;"",L10&lt;K10),"⚠ Offloaded &lt; Arrival",IF(M10="","",IF(M10&gt;N10,"DEMURRAGE","OK"))))</f>
        <v>DEMURRAGE</v>
      </c>
      <c r="P10" s="59">
        <f>IF(M10="","",MAX(0,M10-N10)*$O$7)</f>
        <v>2750</v>
      </c>
    </row>
    <row r="11" spans="1:16" ht="21.95" customHeight="1" x14ac:dyDescent="0.25">
      <c r="A11" s="54">
        <f t="shared" ref="A11:A38" si="0">$O$5</f>
        <v>190664</v>
      </c>
      <c r="B11" s="55" t="str">
        <f>IFERROR(_xlfn.XLOOKUP($O$5,DealsMaster[Deal No.],DealsMaster[Consignee]),"")</f>
        <v>Rubis Energy Zambia</v>
      </c>
      <c r="C11" s="64">
        <v>46132</v>
      </c>
      <c r="D11" s="70" t="str">
        <f>IFERROR(_xlfn.XLOOKUP($O$5,DealsMaster[Deal No.],DealsMaster[Loading Port]),"")</f>
        <v>Beira</v>
      </c>
      <c r="E11" s="65" t="s">
        <v>358</v>
      </c>
      <c r="F11" s="65" t="s">
        <v>359</v>
      </c>
      <c r="G11" s="66" t="s">
        <v>64</v>
      </c>
      <c r="H11" s="66" t="s">
        <v>342</v>
      </c>
      <c r="I11" s="71" t="str">
        <f>IFERROR(_xlfn.XLOOKUP($O$5,DealsMaster[Deal No.],DealsMaster[Destination]),"")</f>
        <v>Lusaka</v>
      </c>
      <c r="J11" s="71" t="str">
        <f>IFERROR(_xlfn.XLOOKUP($O$5,DealsMaster[Deal No.],DealsMaster[Product]),"")</f>
        <v>PMS</v>
      </c>
      <c r="K11" s="64">
        <v>46138</v>
      </c>
      <c r="L11" s="64">
        <v>46151</v>
      </c>
      <c r="M11" s="56">
        <f t="shared" ref="M11:M38" si="1">IF(OR(K11="",L11=""),"",L11-K11)</f>
        <v>13</v>
      </c>
      <c r="N11" s="57">
        <f t="shared" ref="N11:N38" si="2">$O$6</f>
        <v>2</v>
      </c>
      <c r="O11" s="58" t="str">
        <f t="shared" ref="O11:O38" si="3">IF(AND(C11&lt;&gt;"",K11&lt;&gt;"",K11&lt;C11),"⚠ Arrival &lt; Loaded",IF(AND(K11&lt;&gt;"",L11&lt;&gt;"",L11&lt;K11),"⚠ Offloaded &lt; Arrival",IF(M11="","",IF(M11&gt;N11,"DEMURRAGE","OK"))))</f>
        <v>DEMURRAGE</v>
      </c>
      <c r="P11" s="59">
        <f t="shared" ref="P11:P38" si="4">IF(M11="","",MAX(0,M11-N11)*$O$7)</f>
        <v>2750</v>
      </c>
    </row>
    <row r="12" spans="1:16" ht="21.95" customHeight="1" x14ac:dyDescent="0.25">
      <c r="A12" s="54">
        <f t="shared" si="0"/>
        <v>190664</v>
      </c>
      <c r="B12" s="55" t="str">
        <f>IFERROR(_xlfn.XLOOKUP($O$5,DealsMaster[Deal No.],DealsMaster[Consignee]),"")</f>
        <v>Rubis Energy Zambia</v>
      </c>
      <c r="C12" s="64">
        <v>46133</v>
      </c>
      <c r="D12" s="70" t="str">
        <f>IFERROR(_xlfn.XLOOKUP($O$5,DealsMaster[Deal No.],DealsMaster[Loading Port]),"")</f>
        <v>Beira</v>
      </c>
      <c r="E12" s="65" t="s">
        <v>258</v>
      </c>
      <c r="F12" s="65" t="s">
        <v>259</v>
      </c>
      <c r="G12" s="66" t="s">
        <v>64</v>
      </c>
      <c r="H12" s="66" t="s">
        <v>271</v>
      </c>
      <c r="I12" s="71" t="str">
        <f>IFERROR(_xlfn.XLOOKUP($O$5,DealsMaster[Deal No.],DealsMaster[Destination]),"")</f>
        <v>Lusaka</v>
      </c>
      <c r="J12" s="71" t="str">
        <f>IFERROR(_xlfn.XLOOKUP($O$5,DealsMaster[Deal No.],DealsMaster[Product]),"")</f>
        <v>PMS</v>
      </c>
      <c r="K12" s="64">
        <v>46138</v>
      </c>
      <c r="L12" s="64">
        <v>46143</v>
      </c>
      <c r="M12" s="56">
        <f t="shared" si="1"/>
        <v>5</v>
      </c>
      <c r="N12" s="57">
        <f t="shared" si="2"/>
        <v>2</v>
      </c>
      <c r="O12" s="58" t="str">
        <f t="shared" si="3"/>
        <v>DEMURRAGE</v>
      </c>
      <c r="P12" s="59">
        <f t="shared" si="4"/>
        <v>750</v>
      </c>
    </row>
    <row r="13" spans="1:16" ht="21.95" customHeight="1" x14ac:dyDescent="0.25">
      <c r="A13" s="54">
        <f t="shared" si="0"/>
        <v>190664</v>
      </c>
      <c r="B13" s="55" t="str">
        <f>IFERROR(_xlfn.XLOOKUP($O$5,DealsMaster[Deal No.],DealsMaster[Consignee]),"")</f>
        <v>Rubis Energy Zambia</v>
      </c>
      <c r="C13" s="64">
        <v>46133</v>
      </c>
      <c r="D13" s="70" t="str">
        <f>IFERROR(_xlfn.XLOOKUP($O$5,DealsMaster[Deal No.],DealsMaster[Loading Port]),"")</f>
        <v>Beira</v>
      </c>
      <c r="E13" s="65" t="s">
        <v>256</v>
      </c>
      <c r="F13" s="65" t="s">
        <v>257</v>
      </c>
      <c r="G13" s="66" t="s">
        <v>64</v>
      </c>
      <c r="H13" s="66" t="s">
        <v>270</v>
      </c>
      <c r="I13" s="71" t="str">
        <f>IFERROR(_xlfn.XLOOKUP($O$5,DealsMaster[Deal No.],DealsMaster[Destination]),"")</f>
        <v>Lusaka</v>
      </c>
      <c r="J13" s="71" t="str">
        <f>IFERROR(_xlfn.XLOOKUP($O$5,DealsMaster[Deal No.],DealsMaster[Product]),"")</f>
        <v>PMS</v>
      </c>
      <c r="K13" s="64">
        <v>46138</v>
      </c>
      <c r="L13" s="64">
        <v>46143</v>
      </c>
      <c r="M13" s="56">
        <f t="shared" si="1"/>
        <v>5</v>
      </c>
      <c r="N13" s="57">
        <f t="shared" si="2"/>
        <v>2</v>
      </c>
      <c r="O13" s="58" t="str">
        <f t="shared" si="3"/>
        <v>DEMURRAGE</v>
      </c>
      <c r="P13" s="59">
        <f t="shared" si="4"/>
        <v>750</v>
      </c>
    </row>
    <row r="14" spans="1:16" ht="21.95" customHeight="1" x14ac:dyDescent="0.25">
      <c r="A14" s="54">
        <f t="shared" si="0"/>
        <v>190664</v>
      </c>
      <c r="B14" s="55" t="str">
        <f>IFERROR(_xlfn.XLOOKUP($O$5,DealsMaster[Deal No.],DealsMaster[Consignee]),"")</f>
        <v>Rubis Energy Zambia</v>
      </c>
      <c r="C14" s="64">
        <v>46133</v>
      </c>
      <c r="D14" s="70" t="str">
        <f>IFERROR(_xlfn.XLOOKUP($O$5,DealsMaster[Deal No.],DealsMaster[Loading Port]),"")</f>
        <v>Beira</v>
      </c>
      <c r="E14" s="65" t="s">
        <v>252</v>
      </c>
      <c r="F14" s="65" t="s">
        <v>253</v>
      </c>
      <c r="G14" s="66" t="s">
        <v>64</v>
      </c>
      <c r="H14" s="66" t="s">
        <v>268</v>
      </c>
      <c r="I14" s="71" t="str">
        <f>IFERROR(_xlfn.XLOOKUP($O$5,DealsMaster[Deal No.],DealsMaster[Destination]),"")</f>
        <v>Lusaka</v>
      </c>
      <c r="J14" s="71" t="str">
        <f>IFERROR(_xlfn.XLOOKUP($O$5,DealsMaster[Deal No.],DealsMaster[Product]),"")</f>
        <v>PMS</v>
      </c>
      <c r="K14" s="64">
        <v>46138</v>
      </c>
      <c r="L14" s="64">
        <v>46143</v>
      </c>
      <c r="M14" s="56">
        <f t="shared" si="1"/>
        <v>5</v>
      </c>
      <c r="N14" s="57">
        <f t="shared" si="2"/>
        <v>2</v>
      </c>
      <c r="O14" s="58" t="str">
        <f t="shared" si="3"/>
        <v>DEMURRAGE</v>
      </c>
      <c r="P14" s="59">
        <f t="shared" si="4"/>
        <v>750</v>
      </c>
    </row>
    <row r="15" spans="1:16" ht="21.95" customHeight="1" x14ac:dyDescent="0.25">
      <c r="A15" s="54">
        <f t="shared" si="0"/>
        <v>190664</v>
      </c>
      <c r="B15" s="55" t="str">
        <f>IFERROR(_xlfn.XLOOKUP($O$5,DealsMaster[Deal No.],DealsMaster[Consignee]),"")</f>
        <v>Rubis Energy Zambia</v>
      </c>
      <c r="C15" s="64">
        <v>46133</v>
      </c>
      <c r="D15" s="70" t="str">
        <f>IFERROR(_xlfn.XLOOKUP($O$5,DealsMaster[Deal No.],DealsMaster[Loading Port]),"")</f>
        <v>Beira</v>
      </c>
      <c r="E15" s="65" t="s">
        <v>254</v>
      </c>
      <c r="F15" s="65" t="s">
        <v>255</v>
      </c>
      <c r="G15" s="66" t="s">
        <v>64</v>
      </c>
      <c r="H15" s="66" t="s">
        <v>269</v>
      </c>
      <c r="I15" s="71" t="str">
        <f>IFERROR(_xlfn.XLOOKUP($O$5,DealsMaster[Deal No.],DealsMaster[Destination]),"")</f>
        <v>Lusaka</v>
      </c>
      <c r="J15" s="71" t="str">
        <f>IFERROR(_xlfn.XLOOKUP($O$5,DealsMaster[Deal No.],DealsMaster[Product]),"")</f>
        <v>PMS</v>
      </c>
      <c r="K15" s="64">
        <v>46138</v>
      </c>
      <c r="L15" s="64">
        <v>46143</v>
      </c>
      <c r="M15" s="56">
        <f t="shared" si="1"/>
        <v>5</v>
      </c>
      <c r="N15" s="57">
        <f t="shared" si="2"/>
        <v>2</v>
      </c>
      <c r="O15" s="58" t="str">
        <f t="shared" si="3"/>
        <v>DEMURRAGE</v>
      </c>
      <c r="P15" s="59">
        <f t="shared" si="4"/>
        <v>750</v>
      </c>
    </row>
    <row r="16" spans="1:16" ht="21.95" customHeight="1" x14ac:dyDescent="0.25">
      <c r="A16" s="54">
        <f t="shared" si="0"/>
        <v>190664</v>
      </c>
      <c r="B16" s="55" t="str">
        <f>IFERROR(_xlfn.XLOOKUP($O$5,DealsMaster[Deal No.],DealsMaster[Consignee]),"")</f>
        <v>Rubis Energy Zambia</v>
      </c>
      <c r="C16" s="64">
        <v>46133</v>
      </c>
      <c r="D16" s="70" t="str">
        <f>IFERROR(_xlfn.XLOOKUP($O$5,DealsMaster[Deal No.],DealsMaster[Loading Port]),"")</f>
        <v>Beira</v>
      </c>
      <c r="E16" s="65" t="s">
        <v>250</v>
      </c>
      <c r="F16" s="65" t="s">
        <v>251</v>
      </c>
      <c r="G16" s="66" t="s">
        <v>64</v>
      </c>
      <c r="H16" s="66" t="s">
        <v>267</v>
      </c>
      <c r="I16" s="71" t="str">
        <f>IFERROR(_xlfn.XLOOKUP($O$5,DealsMaster[Deal No.],DealsMaster[Destination]),"")</f>
        <v>Lusaka</v>
      </c>
      <c r="J16" s="71" t="str">
        <f>IFERROR(_xlfn.XLOOKUP($O$5,DealsMaster[Deal No.],DealsMaster[Product]),"")</f>
        <v>PMS</v>
      </c>
      <c r="K16" s="64">
        <v>46138</v>
      </c>
      <c r="L16" s="64">
        <v>46143</v>
      </c>
      <c r="M16" s="56">
        <f t="shared" si="1"/>
        <v>5</v>
      </c>
      <c r="N16" s="57">
        <f t="shared" si="2"/>
        <v>2</v>
      </c>
      <c r="O16" s="58" t="str">
        <f t="shared" si="3"/>
        <v>DEMURRAGE</v>
      </c>
      <c r="P16" s="59">
        <f t="shared" si="4"/>
        <v>750</v>
      </c>
    </row>
    <row r="17" spans="1:16" ht="21.95" customHeight="1" x14ac:dyDescent="0.25">
      <c r="A17" s="54">
        <f t="shared" si="0"/>
        <v>190664</v>
      </c>
      <c r="B17" s="55" t="str">
        <f>IFERROR(_xlfn.XLOOKUP($O$5,DealsMaster[Deal No.],DealsMaster[Consignee]),"")</f>
        <v>Rubis Energy Zambia</v>
      </c>
      <c r="C17" s="64">
        <v>46133</v>
      </c>
      <c r="D17" s="70" t="str">
        <f>IFERROR(_xlfn.XLOOKUP($O$5,DealsMaster[Deal No.],DealsMaster[Loading Port]),"")</f>
        <v>Beira</v>
      </c>
      <c r="E17" s="65" t="s">
        <v>242</v>
      </c>
      <c r="F17" s="65" t="s">
        <v>243</v>
      </c>
      <c r="G17" s="66" t="s">
        <v>64</v>
      </c>
      <c r="H17" s="66" t="s">
        <v>265</v>
      </c>
      <c r="I17" s="71" t="str">
        <f>IFERROR(_xlfn.XLOOKUP($O$5,DealsMaster[Deal No.],DealsMaster[Destination]),"")</f>
        <v>Lusaka</v>
      </c>
      <c r="J17" s="71" t="str">
        <f>IFERROR(_xlfn.XLOOKUP($O$5,DealsMaster[Deal No.],DealsMaster[Product]),"")</f>
        <v>PMS</v>
      </c>
      <c r="K17" s="64">
        <v>46139</v>
      </c>
      <c r="L17" s="64">
        <v>46146</v>
      </c>
      <c r="M17" s="56">
        <f t="shared" si="1"/>
        <v>7</v>
      </c>
      <c r="N17" s="57">
        <f t="shared" si="2"/>
        <v>2</v>
      </c>
      <c r="O17" s="58" t="str">
        <f t="shared" si="3"/>
        <v>DEMURRAGE</v>
      </c>
      <c r="P17" s="59">
        <f t="shared" si="4"/>
        <v>1250</v>
      </c>
    </row>
    <row r="18" spans="1:16" ht="21.95" customHeight="1" x14ac:dyDescent="0.25">
      <c r="A18" s="54">
        <f t="shared" si="0"/>
        <v>190664</v>
      </c>
      <c r="B18" s="55" t="str">
        <f>IFERROR(_xlfn.XLOOKUP($O$5,DealsMaster[Deal No.],DealsMaster[Consignee]),"")</f>
        <v>Rubis Energy Zambia</v>
      </c>
      <c r="C18" s="64">
        <v>46133</v>
      </c>
      <c r="D18" s="70" t="str">
        <f>IFERROR(_xlfn.XLOOKUP($O$5,DealsMaster[Deal No.],DealsMaster[Loading Port]),"")</f>
        <v>Beira</v>
      </c>
      <c r="E18" s="65" t="s">
        <v>240</v>
      </c>
      <c r="F18" s="65" t="s">
        <v>241</v>
      </c>
      <c r="G18" s="66" t="s">
        <v>64</v>
      </c>
      <c r="H18" s="66" t="s">
        <v>264</v>
      </c>
      <c r="I18" s="71" t="str">
        <f>IFERROR(_xlfn.XLOOKUP($O$5,DealsMaster[Deal No.],DealsMaster[Destination]),"")</f>
        <v>Lusaka</v>
      </c>
      <c r="J18" s="71" t="str">
        <f>IFERROR(_xlfn.XLOOKUP($O$5,DealsMaster[Deal No.],DealsMaster[Product]),"")</f>
        <v>PMS</v>
      </c>
      <c r="K18" s="64">
        <v>46138</v>
      </c>
      <c r="L18" s="64">
        <v>46146</v>
      </c>
      <c r="M18" s="56">
        <f t="shared" si="1"/>
        <v>8</v>
      </c>
      <c r="N18" s="57">
        <f t="shared" si="2"/>
        <v>2</v>
      </c>
      <c r="O18" s="58" t="str">
        <f t="shared" si="3"/>
        <v>DEMURRAGE</v>
      </c>
      <c r="P18" s="59">
        <f t="shared" si="4"/>
        <v>1500</v>
      </c>
    </row>
    <row r="19" spans="1:16" ht="21.95" customHeight="1" x14ac:dyDescent="0.25">
      <c r="A19" s="54">
        <f t="shared" si="0"/>
        <v>190664</v>
      </c>
      <c r="B19" s="55" t="str">
        <f>IFERROR(_xlfn.XLOOKUP($O$5,DealsMaster[Deal No.],DealsMaster[Consignee]),"")</f>
        <v>Rubis Energy Zambia</v>
      </c>
      <c r="C19" s="64">
        <v>46133</v>
      </c>
      <c r="D19" s="70" t="str">
        <f>IFERROR(_xlfn.XLOOKUP($O$5,DealsMaster[Deal No.],DealsMaster[Loading Port]),"")</f>
        <v>Beira</v>
      </c>
      <c r="E19" s="65" t="s">
        <v>260</v>
      </c>
      <c r="F19" s="65" t="s">
        <v>261</v>
      </c>
      <c r="G19" s="66" t="s">
        <v>64</v>
      </c>
      <c r="H19" s="66" t="s">
        <v>272</v>
      </c>
      <c r="I19" s="71" t="str">
        <f>IFERROR(_xlfn.XLOOKUP($O$5,DealsMaster[Deal No.],DealsMaster[Destination]),"")</f>
        <v>Lusaka</v>
      </c>
      <c r="J19" s="71" t="str">
        <f>IFERROR(_xlfn.XLOOKUP($O$5,DealsMaster[Deal No.],DealsMaster[Product]),"")</f>
        <v>PMS</v>
      </c>
      <c r="K19" s="64">
        <v>46139</v>
      </c>
      <c r="L19" s="64">
        <v>46143</v>
      </c>
      <c r="M19" s="56">
        <f t="shared" si="1"/>
        <v>4</v>
      </c>
      <c r="N19" s="57">
        <f t="shared" si="2"/>
        <v>2</v>
      </c>
      <c r="O19" s="58" t="str">
        <f t="shared" si="3"/>
        <v>DEMURRAGE</v>
      </c>
      <c r="P19" s="59">
        <f t="shared" si="4"/>
        <v>500</v>
      </c>
    </row>
    <row r="20" spans="1:16" ht="21.95" customHeight="1" x14ac:dyDescent="0.25">
      <c r="A20" s="54">
        <f t="shared" si="0"/>
        <v>190664</v>
      </c>
      <c r="B20" s="55" t="str">
        <f>IFERROR(_xlfn.XLOOKUP($O$5,DealsMaster[Deal No.],DealsMaster[Consignee]),"")</f>
        <v>Rubis Energy Zambia</v>
      </c>
      <c r="C20" s="64">
        <v>46133</v>
      </c>
      <c r="D20" s="70" t="str">
        <f>IFERROR(_xlfn.XLOOKUP($O$5,DealsMaster[Deal No.],DealsMaster[Loading Port]),"")</f>
        <v>Beira</v>
      </c>
      <c r="E20" s="65" t="s">
        <v>248</v>
      </c>
      <c r="F20" s="65" t="s">
        <v>249</v>
      </c>
      <c r="G20" s="66" t="s">
        <v>64</v>
      </c>
      <c r="H20" s="66" t="s">
        <v>65</v>
      </c>
      <c r="I20" s="71" t="str">
        <f>IFERROR(_xlfn.XLOOKUP($O$5,DealsMaster[Deal No.],DealsMaster[Destination]),"")</f>
        <v>Lusaka</v>
      </c>
      <c r="J20" s="71" t="str">
        <f>IFERROR(_xlfn.XLOOKUP($O$5,DealsMaster[Deal No.],DealsMaster[Product]),"")</f>
        <v>PMS</v>
      </c>
      <c r="K20" s="64">
        <v>46138</v>
      </c>
      <c r="L20" s="64">
        <v>46143</v>
      </c>
      <c r="M20" s="56">
        <f t="shared" si="1"/>
        <v>5</v>
      </c>
      <c r="N20" s="57">
        <f t="shared" si="2"/>
        <v>2</v>
      </c>
      <c r="O20" s="58" t="str">
        <f t="shared" si="3"/>
        <v>DEMURRAGE</v>
      </c>
      <c r="P20" s="59">
        <f t="shared" si="4"/>
        <v>750</v>
      </c>
    </row>
    <row r="21" spans="1:16" ht="21.95" customHeight="1" x14ac:dyDescent="0.25">
      <c r="A21" s="54">
        <f t="shared" si="0"/>
        <v>190664</v>
      </c>
      <c r="B21" s="55" t="str">
        <f>IFERROR(_xlfn.XLOOKUP($O$5,DealsMaster[Deal No.],DealsMaster[Consignee]),"")</f>
        <v>Rubis Energy Zambia</v>
      </c>
      <c r="C21" s="64">
        <v>46132</v>
      </c>
      <c r="D21" s="70" t="str">
        <f>IFERROR(_xlfn.XLOOKUP($O$5,DealsMaster[Deal No.],DealsMaster[Loading Port]),"")</f>
        <v>Beira</v>
      </c>
      <c r="E21" s="65" t="s">
        <v>360</v>
      </c>
      <c r="F21" s="65" t="s">
        <v>361</v>
      </c>
      <c r="G21" s="66" t="s">
        <v>64</v>
      </c>
      <c r="H21" s="66" t="s">
        <v>343</v>
      </c>
      <c r="I21" s="71" t="str">
        <f>IFERROR(_xlfn.XLOOKUP($O$5,DealsMaster[Deal No.],DealsMaster[Destination]),"")</f>
        <v>Lusaka</v>
      </c>
      <c r="J21" s="71" t="str">
        <f>IFERROR(_xlfn.XLOOKUP($O$5,DealsMaster[Deal No.],DealsMaster[Product]),"")</f>
        <v>PMS</v>
      </c>
      <c r="K21" s="64">
        <v>46138</v>
      </c>
      <c r="L21" s="64">
        <v>46146</v>
      </c>
      <c r="M21" s="56">
        <f t="shared" si="1"/>
        <v>8</v>
      </c>
      <c r="N21" s="57">
        <f t="shared" si="2"/>
        <v>2</v>
      </c>
      <c r="O21" s="58" t="str">
        <f t="shared" si="3"/>
        <v>DEMURRAGE</v>
      </c>
      <c r="P21" s="59">
        <f t="shared" si="4"/>
        <v>1500</v>
      </c>
    </row>
    <row r="22" spans="1:16" ht="21.95" customHeight="1" x14ac:dyDescent="0.25">
      <c r="A22" s="54">
        <f t="shared" si="0"/>
        <v>190664</v>
      </c>
      <c r="B22" s="55" t="str">
        <f>IFERROR(_xlfn.XLOOKUP($O$5,DealsMaster[Deal No.],DealsMaster[Consignee]),"")</f>
        <v>Rubis Energy Zambia</v>
      </c>
      <c r="C22" s="64">
        <v>46133</v>
      </c>
      <c r="D22" s="70" t="str">
        <f>IFERROR(_xlfn.XLOOKUP($O$5,DealsMaster[Deal No.],DealsMaster[Loading Port]),"")</f>
        <v>Beira</v>
      </c>
      <c r="E22" s="65" t="s">
        <v>246</v>
      </c>
      <c r="F22" s="65" t="s">
        <v>247</v>
      </c>
      <c r="G22" s="66" t="s">
        <v>64</v>
      </c>
      <c r="H22" s="66" t="s">
        <v>266</v>
      </c>
      <c r="I22" s="71" t="str">
        <f>IFERROR(_xlfn.XLOOKUP($O$5,DealsMaster[Deal No.],DealsMaster[Destination]),"")</f>
        <v>Lusaka</v>
      </c>
      <c r="J22" s="71" t="str">
        <f>IFERROR(_xlfn.XLOOKUP($O$5,DealsMaster[Deal No.],DealsMaster[Product]),"")</f>
        <v>PMS</v>
      </c>
      <c r="K22" s="64">
        <v>46139</v>
      </c>
      <c r="L22" s="64">
        <v>46147</v>
      </c>
      <c r="M22" s="56">
        <f t="shared" ref="M22:M34" si="5">IF(OR(K22="",L22=""),"",L22-K22)</f>
        <v>8</v>
      </c>
      <c r="N22" s="57">
        <f t="shared" si="2"/>
        <v>2</v>
      </c>
      <c r="O22" s="58" t="str">
        <f t="shared" ref="O22:O34" si="6">IF(AND(C22&lt;&gt;"",K22&lt;&gt;"",K22&lt;C22),"⚠ Arrival &lt; Loaded",IF(AND(K22&lt;&gt;"",L22&lt;&gt;"",L22&lt;K22),"⚠ Offloaded &lt; Arrival",IF(M22="","",IF(M22&gt;N22,"DEMURRAGE","OK"))))</f>
        <v>DEMURRAGE</v>
      </c>
      <c r="P22" s="59">
        <f t="shared" si="4"/>
        <v>1500</v>
      </c>
    </row>
    <row r="23" spans="1:16" ht="21.95" customHeight="1" x14ac:dyDescent="0.25">
      <c r="A23" s="54">
        <f t="shared" si="0"/>
        <v>190664</v>
      </c>
      <c r="B23" s="55" t="str">
        <f>IFERROR(_xlfn.XLOOKUP($O$5,DealsMaster[Deal No.],DealsMaster[Consignee]),"")</f>
        <v>Rubis Energy Zambia</v>
      </c>
      <c r="C23" s="64">
        <v>46132</v>
      </c>
      <c r="D23" s="70" t="str">
        <f>IFERROR(_xlfn.XLOOKUP($O$5,DealsMaster[Deal No.],DealsMaster[Loading Port]),"")</f>
        <v>Beira</v>
      </c>
      <c r="E23" s="65" t="s">
        <v>362</v>
      </c>
      <c r="F23" s="65" t="s">
        <v>363</v>
      </c>
      <c r="G23" s="66" t="s">
        <v>64</v>
      </c>
      <c r="H23" s="66" t="s">
        <v>344</v>
      </c>
      <c r="I23" s="71" t="str">
        <f>IFERROR(_xlfn.XLOOKUP($O$5,DealsMaster[Deal No.],DealsMaster[Destination]),"")</f>
        <v>Lusaka</v>
      </c>
      <c r="J23" s="71" t="str">
        <f>IFERROR(_xlfn.XLOOKUP($O$5,DealsMaster[Deal No.],DealsMaster[Product]),"")</f>
        <v>PMS</v>
      </c>
      <c r="K23" s="64">
        <v>46138</v>
      </c>
      <c r="L23" s="64">
        <v>46150</v>
      </c>
      <c r="M23" s="56">
        <f t="shared" si="5"/>
        <v>12</v>
      </c>
      <c r="N23" s="57">
        <f t="shared" si="2"/>
        <v>2</v>
      </c>
      <c r="O23" s="58" t="str">
        <f t="shared" si="6"/>
        <v>DEMURRAGE</v>
      </c>
      <c r="P23" s="59">
        <f t="shared" si="4"/>
        <v>2500</v>
      </c>
    </row>
    <row r="24" spans="1:16" ht="21.95" customHeight="1" x14ac:dyDescent="0.25">
      <c r="A24" s="54">
        <f t="shared" si="0"/>
        <v>190664</v>
      </c>
      <c r="B24" s="55" t="str">
        <f>IFERROR(_xlfn.XLOOKUP($O$5,DealsMaster[Deal No.],DealsMaster[Consignee]),"")</f>
        <v>Rubis Energy Zambia</v>
      </c>
      <c r="C24" s="64">
        <v>46132</v>
      </c>
      <c r="D24" s="70" t="str">
        <f>IFERROR(_xlfn.XLOOKUP($O$5,DealsMaster[Deal No.],DealsMaster[Loading Port]),"")</f>
        <v>Beira</v>
      </c>
      <c r="E24" s="65" t="s">
        <v>364</v>
      </c>
      <c r="F24" s="65" t="s">
        <v>365</v>
      </c>
      <c r="G24" s="66" t="s">
        <v>64</v>
      </c>
      <c r="H24" s="66" t="s">
        <v>345</v>
      </c>
      <c r="I24" s="71" t="str">
        <f>IFERROR(_xlfn.XLOOKUP($O$5,DealsMaster[Deal No.],DealsMaster[Destination]),"")</f>
        <v>Lusaka</v>
      </c>
      <c r="J24" s="71" t="str">
        <f>IFERROR(_xlfn.XLOOKUP($O$5,DealsMaster[Deal No.],DealsMaster[Product]),"")</f>
        <v>PMS</v>
      </c>
      <c r="K24" s="64">
        <v>46138</v>
      </c>
      <c r="L24" s="64">
        <v>46150</v>
      </c>
      <c r="M24" s="56">
        <f t="shared" si="5"/>
        <v>12</v>
      </c>
      <c r="N24" s="57">
        <f t="shared" si="2"/>
        <v>2</v>
      </c>
      <c r="O24" s="58" t="str">
        <f t="shared" si="6"/>
        <v>DEMURRAGE</v>
      </c>
      <c r="P24" s="59">
        <f t="shared" si="4"/>
        <v>2500</v>
      </c>
    </row>
    <row r="25" spans="1:16" ht="21.95" customHeight="1" x14ac:dyDescent="0.25">
      <c r="A25" s="54">
        <f t="shared" si="0"/>
        <v>190664</v>
      </c>
      <c r="B25" s="55" t="str">
        <f>IFERROR(_xlfn.XLOOKUP($O$5,DealsMaster[Deal No.],DealsMaster[Consignee]),"")</f>
        <v>Rubis Energy Zambia</v>
      </c>
      <c r="C25" s="64">
        <v>46132</v>
      </c>
      <c r="D25" s="70" t="str">
        <f>IFERROR(_xlfn.XLOOKUP($O$5,DealsMaster[Deal No.],DealsMaster[Loading Port]),"")</f>
        <v>Beira</v>
      </c>
      <c r="E25" s="65" t="s">
        <v>262</v>
      </c>
      <c r="F25" s="65" t="s">
        <v>263</v>
      </c>
      <c r="G25" s="66" t="s">
        <v>64</v>
      </c>
      <c r="H25" s="66" t="s">
        <v>67</v>
      </c>
      <c r="I25" s="71" t="str">
        <f>IFERROR(_xlfn.XLOOKUP($O$5,DealsMaster[Deal No.],DealsMaster[Destination]),"")</f>
        <v>Lusaka</v>
      </c>
      <c r="J25" s="71" t="str">
        <f>IFERROR(_xlfn.XLOOKUP($O$5,DealsMaster[Deal No.],DealsMaster[Product]),"")</f>
        <v>PMS</v>
      </c>
      <c r="K25" s="64">
        <v>46138</v>
      </c>
      <c r="L25" s="64">
        <v>46143</v>
      </c>
      <c r="M25" s="56">
        <f t="shared" si="5"/>
        <v>5</v>
      </c>
      <c r="N25" s="57">
        <f t="shared" si="2"/>
        <v>2</v>
      </c>
      <c r="O25" s="58" t="str">
        <f t="shared" si="6"/>
        <v>DEMURRAGE</v>
      </c>
      <c r="P25" s="59">
        <f t="shared" si="4"/>
        <v>750</v>
      </c>
    </row>
    <row r="26" spans="1:16" ht="21.95" customHeight="1" x14ac:dyDescent="0.25">
      <c r="A26" s="54">
        <f t="shared" si="0"/>
        <v>190664</v>
      </c>
      <c r="B26" s="55" t="str">
        <f>IFERROR(_xlfn.XLOOKUP($O$5,DealsMaster[Deal No.],DealsMaster[Consignee]),"")</f>
        <v>Rubis Energy Zambia</v>
      </c>
      <c r="C26" s="64">
        <v>46133</v>
      </c>
      <c r="D26" s="70" t="str">
        <f>IFERROR(_xlfn.XLOOKUP($O$5,DealsMaster[Deal No.],DealsMaster[Loading Port]),"")</f>
        <v>Beira</v>
      </c>
      <c r="E26" s="65" t="s">
        <v>244</v>
      </c>
      <c r="F26" s="65" t="s">
        <v>245</v>
      </c>
      <c r="G26" s="66" t="s">
        <v>64</v>
      </c>
      <c r="H26" s="66" t="s">
        <v>346</v>
      </c>
      <c r="I26" s="71" t="str">
        <f>IFERROR(_xlfn.XLOOKUP($O$5,DealsMaster[Deal No.],DealsMaster[Destination]),"")</f>
        <v>Lusaka</v>
      </c>
      <c r="J26" s="71" t="str">
        <f>IFERROR(_xlfn.XLOOKUP($O$5,DealsMaster[Deal No.],DealsMaster[Product]),"")</f>
        <v>PMS</v>
      </c>
      <c r="K26" s="64">
        <v>46139</v>
      </c>
      <c r="L26" s="64">
        <v>46146</v>
      </c>
      <c r="M26" s="56">
        <f t="shared" si="5"/>
        <v>7</v>
      </c>
      <c r="N26" s="57">
        <f t="shared" si="2"/>
        <v>2</v>
      </c>
      <c r="O26" s="58" t="str">
        <f t="shared" si="6"/>
        <v>DEMURRAGE</v>
      </c>
      <c r="P26" s="59">
        <f t="shared" si="4"/>
        <v>1250</v>
      </c>
    </row>
    <row r="27" spans="1:16" ht="21.95" customHeight="1" x14ac:dyDescent="0.25">
      <c r="A27" s="54">
        <f t="shared" si="0"/>
        <v>190664</v>
      </c>
      <c r="B27" s="55" t="str">
        <f>IFERROR(_xlfn.XLOOKUP($O$5,DealsMaster[Deal No.],DealsMaster[Consignee]),"")</f>
        <v>Rubis Energy Zambia</v>
      </c>
      <c r="C27" s="64">
        <v>46137</v>
      </c>
      <c r="D27" s="70" t="str">
        <f>IFERROR(_xlfn.XLOOKUP($O$5,DealsMaster[Deal No.],DealsMaster[Loading Port]),"")</f>
        <v>Beira</v>
      </c>
      <c r="E27" s="65" t="s">
        <v>155</v>
      </c>
      <c r="F27" s="65" t="s">
        <v>156</v>
      </c>
      <c r="G27" s="66" t="s">
        <v>64</v>
      </c>
      <c r="H27" s="66" t="s">
        <v>347</v>
      </c>
      <c r="I27" s="71" t="str">
        <f>IFERROR(_xlfn.XLOOKUP($O$5,DealsMaster[Deal No.],DealsMaster[Destination]),"")</f>
        <v>Lusaka</v>
      </c>
      <c r="J27" s="71" t="str">
        <f>IFERROR(_xlfn.XLOOKUP($O$5,DealsMaster[Deal No.],DealsMaster[Product]),"")</f>
        <v>PMS</v>
      </c>
      <c r="K27" s="64">
        <v>46142</v>
      </c>
      <c r="L27" s="64">
        <v>46148</v>
      </c>
      <c r="M27" s="56">
        <f t="shared" si="5"/>
        <v>6</v>
      </c>
      <c r="N27" s="57">
        <f t="shared" si="2"/>
        <v>2</v>
      </c>
      <c r="O27" s="58" t="str">
        <f t="shared" si="6"/>
        <v>DEMURRAGE</v>
      </c>
      <c r="P27" s="59">
        <f t="shared" si="4"/>
        <v>1000</v>
      </c>
    </row>
    <row r="28" spans="1:16" ht="21.95" customHeight="1" x14ac:dyDescent="0.25">
      <c r="A28" s="54">
        <f t="shared" si="0"/>
        <v>190664</v>
      </c>
      <c r="B28" s="55" t="str">
        <f>IFERROR(_xlfn.XLOOKUP($O$5,DealsMaster[Deal No.],DealsMaster[Consignee]),"")</f>
        <v>Rubis Energy Zambia</v>
      </c>
      <c r="C28" s="64">
        <v>46134</v>
      </c>
      <c r="D28" s="70" t="str">
        <f>IFERROR(_xlfn.XLOOKUP($O$5,DealsMaster[Deal No.],DealsMaster[Loading Port]),"")</f>
        <v>Beira</v>
      </c>
      <c r="E28" s="65" t="s">
        <v>366</v>
      </c>
      <c r="F28" s="65" t="s">
        <v>367</v>
      </c>
      <c r="G28" s="66" t="s">
        <v>64</v>
      </c>
      <c r="H28" s="66" t="s">
        <v>348</v>
      </c>
      <c r="I28" s="71" t="str">
        <f>IFERROR(_xlfn.XLOOKUP($O$5,DealsMaster[Deal No.],DealsMaster[Destination]),"")</f>
        <v>Lusaka</v>
      </c>
      <c r="J28" s="71" t="str">
        <f>IFERROR(_xlfn.XLOOKUP($O$5,DealsMaster[Deal No.],DealsMaster[Product]),"")</f>
        <v>PMS</v>
      </c>
      <c r="K28" s="64">
        <v>46140</v>
      </c>
      <c r="L28" s="64">
        <v>46142</v>
      </c>
      <c r="M28" s="56">
        <f t="shared" si="5"/>
        <v>2</v>
      </c>
      <c r="N28" s="57">
        <f t="shared" si="2"/>
        <v>2</v>
      </c>
      <c r="O28" s="58" t="str">
        <f t="shared" si="6"/>
        <v>OK</v>
      </c>
      <c r="P28" s="59">
        <f t="shared" si="4"/>
        <v>0</v>
      </c>
    </row>
    <row r="29" spans="1:16" ht="21.95" customHeight="1" x14ac:dyDescent="0.25">
      <c r="A29" s="54">
        <f t="shared" si="0"/>
        <v>190664</v>
      </c>
      <c r="B29" s="55" t="str">
        <f>IFERROR(_xlfn.XLOOKUP($O$5,DealsMaster[Deal No.],DealsMaster[Consignee]),"")</f>
        <v>Rubis Energy Zambia</v>
      </c>
      <c r="C29" s="64">
        <v>46143</v>
      </c>
      <c r="D29" s="70" t="str">
        <f>IFERROR(_xlfn.XLOOKUP($O$5,DealsMaster[Deal No.],DealsMaster[Loading Port]),"")</f>
        <v>Beira</v>
      </c>
      <c r="E29" s="65" t="s">
        <v>368</v>
      </c>
      <c r="F29" s="65" t="s">
        <v>369</v>
      </c>
      <c r="G29" s="66" t="s">
        <v>64</v>
      </c>
      <c r="H29" s="66" t="s">
        <v>349</v>
      </c>
      <c r="I29" s="71" t="str">
        <f>IFERROR(_xlfn.XLOOKUP($O$5,DealsMaster[Deal No.],DealsMaster[Destination]),"")</f>
        <v>Lusaka</v>
      </c>
      <c r="J29" s="71" t="str">
        <f>IFERROR(_xlfn.XLOOKUP($O$5,DealsMaster[Deal No.],DealsMaster[Product]),"")</f>
        <v>PMS</v>
      </c>
      <c r="K29" s="64">
        <v>46148</v>
      </c>
      <c r="L29" s="64">
        <v>46148</v>
      </c>
      <c r="M29" s="56">
        <f t="shared" si="5"/>
        <v>0</v>
      </c>
      <c r="N29" s="57">
        <f t="shared" si="2"/>
        <v>2</v>
      </c>
      <c r="O29" s="58" t="str">
        <f t="shared" si="6"/>
        <v>OK</v>
      </c>
      <c r="P29" s="59">
        <f t="shared" si="4"/>
        <v>0</v>
      </c>
    </row>
    <row r="30" spans="1:16" ht="21.95" customHeight="1" x14ac:dyDescent="0.25">
      <c r="A30" s="54">
        <f t="shared" si="0"/>
        <v>190664</v>
      </c>
      <c r="B30" s="55" t="str">
        <f>IFERROR(_xlfn.XLOOKUP($O$5,DealsMaster[Deal No.],DealsMaster[Consignee]),"")</f>
        <v>Rubis Energy Zambia</v>
      </c>
      <c r="C30" s="64">
        <v>46134</v>
      </c>
      <c r="D30" s="70" t="str">
        <f>IFERROR(_xlfn.XLOOKUP($O$5,DealsMaster[Deal No.],DealsMaster[Loading Port]),"")</f>
        <v>Beira</v>
      </c>
      <c r="E30" s="65" t="s">
        <v>370</v>
      </c>
      <c r="F30" s="65" t="s">
        <v>371</v>
      </c>
      <c r="G30" s="66" t="s">
        <v>64</v>
      </c>
      <c r="H30" s="66" t="s">
        <v>350</v>
      </c>
      <c r="I30" s="71" t="str">
        <f>IFERROR(_xlfn.XLOOKUP($O$5,DealsMaster[Deal No.],DealsMaster[Destination]),"")</f>
        <v>Lusaka</v>
      </c>
      <c r="J30" s="71" t="str">
        <f>IFERROR(_xlfn.XLOOKUP($O$5,DealsMaster[Deal No.],DealsMaster[Product]),"")</f>
        <v>PMS</v>
      </c>
      <c r="K30" s="64">
        <v>46140</v>
      </c>
      <c r="L30" s="64">
        <v>46142</v>
      </c>
      <c r="M30" s="56">
        <f t="shared" si="5"/>
        <v>2</v>
      </c>
      <c r="N30" s="57">
        <f t="shared" si="2"/>
        <v>2</v>
      </c>
      <c r="O30" s="58" t="str">
        <f t="shared" si="6"/>
        <v>OK</v>
      </c>
      <c r="P30" s="59">
        <f t="shared" si="4"/>
        <v>0</v>
      </c>
    </row>
    <row r="31" spans="1:16" ht="21.95" customHeight="1" x14ac:dyDescent="0.25">
      <c r="A31" s="54">
        <f t="shared" si="0"/>
        <v>190664</v>
      </c>
      <c r="B31" s="55" t="str">
        <f>IFERROR(_xlfn.XLOOKUP($O$5,DealsMaster[Deal No.],DealsMaster[Consignee]),"")</f>
        <v>Rubis Energy Zambia</v>
      </c>
      <c r="C31" s="64">
        <v>46141</v>
      </c>
      <c r="D31" s="70" t="str">
        <f>IFERROR(_xlfn.XLOOKUP($O$5,DealsMaster[Deal No.],DealsMaster[Loading Port]),"")</f>
        <v>Beira</v>
      </c>
      <c r="E31" s="65" t="s">
        <v>372</v>
      </c>
      <c r="F31" s="65" t="s">
        <v>373</v>
      </c>
      <c r="G31" s="66" t="s">
        <v>64</v>
      </c>
      <c r="H31" s="66" t="s">
        <v>351</v>
      </c>
      <c r="I31" s="71" t="str">
        <f>IFERROR(_xlfn.XLOOKUP($O$5,DealsMaster[Deal No.],DealsMaster[Destination]),"")</f>
        <v>Lusaka</v>
      </c>
      <c r="J31" s="71" t="str">
        <f>IFERROR(_xlfn.XLOOKUP($O$5,DealsMaster[Deal No.],DealsMaster[Product]),"")</f>
        <v>PMS</v>
      </c>
      <c r="K31" s="64">
        <v>46145</v>
      </c>
      <c r="L31" s="64">
        <v>46146</v>
      </c>
      <c r="M31" s="56">
        <f t="shared" si="5"/>
        <v>1</v>
      </c>
      <c r="N31" s="57">
        <f t="shared" si="2"/>
        <v>2</v>
      </c>
      <c r="O31" s="58" t="str">
        <f t="shared" si="6"/>
        <v>OK</v>
      </c>
      <c r="P31" s="59">
        <f t="shared" si="4"/>
        <v>0</v>
      </c>
    </row>
    <row r="32" spans="1:16" ht="21.95" customHeight="1" x14ac:dyDescent="0.25">
      <c r="A32" s="54">
        <f t="shared" si="0"/>
        <v>190664</v>
      </c>
      <c r="B32" s="55" t="str">
        <f>IFERROR(_xlfn.XLOOKUP($O$5,DealsMaster[Deal No.],DealsMaster[Consignee]),"")</f>
        <v>Rubis Energy Zambia</v>
      </c>
      <c r="C32" s="64">
        <v>46141</v>
      </c>
      <c r="D32" s="70" t="str">
        <f>IFERROR(_xlfn.XLOOKUP($O$5,DealsMaster[Deal No.],DealsMaster[Loading Port]),"")</f>
        <v>Beira</v>
      </c>
      <c r="E32" s="65" t="s">
        <v>374</v>
      </c>
      <c r="F32" s="65" t="s">
        <v>375</v>
      </c>
      <c r="G32" s="66" t="s">
        <v>64</v>
      </c>
      <c r="H32" s="66" t="s">
        <v>352</v>
      </c>
      <c r="I32" s="71" t="str">
        <f>IFERROR(_xlfn.XLOOKUP($O$5,DealsMaster[Deal No.],DealsMaster[Destination]),"")</f>
        <v>Lusaka</v>
      </c>
      <c r="J32" s="71" t="str">
        <f>IFERROR(_xlfn.XLOOKUP($O$5,DealsMaster[Deal No.],DealsMaster[Product]),"")</f>
        <v>PMS</v>
      </c>
      <c r="K32" s="64">
        <v>46145</v>
      </c>
      <c r="L32" s="64">
        <v>46146</v>
      </c>
      <c r="M32" s="56">
        <f t="shared" si="5"/>
        <v>1</v>
      </c>
      <c r="N32" s="57">
        <f t="shared" si="2"/>
        <v>2</v>
      </c>
      <c r="O32" s="58" t="str">
        <f t="shared" si="6"/>
        <v>OK</v>
      </c>
      <c r="P32" s="59">
        <f t="shared" si="4"/>
        <v>0</v>
      </c>
    </row>
    <row r="33" spans="1:16" ht="21.95" customHeight="1" x14ac:dyDescent="0.25">
      <c r="A33" s="54">
        <f t="shared" si="0"/>
        <v>190664</v>
      </c>
      <c r="B33" s="55" t="str">
        <f>IFERROR(_xlfn.XLOOKUP($O$5,DealsMaster[Deal No.],DealsMaster[Consignee]),"")</f>
        <v>Rubis Energy Zambia</v>
      </c>
      <c r="C33" s="64">
        <v>46141</v>
      </c>
      <c r="D33" s="70" t="str">
        <f>IFERROR(_xlfn.XLOOKUP($O$5,DealsMaster[Deal No.],DealsMaster[Loading Port]),"")</f>
        <v>Beira</v>
      </c>
      <c r="E33" s="65" t="s">
        <v>119</v>
      </c>
      <c r="F33" s="65" t="s">
        <v>120</v>
      </c>
      <c r="G33" s="66" t="s">
        <v>64</v>
      </c>
      <c r="H33" s="66" t="s">
        <v>134</v>
      </c>
      <c r="I33" s="71" t="str">
        <f>IFERROR(_xlfn.XLOOKUP($O$5,DealsMaster[Deal No.],DealsMaster[Destination]),"")</f>
        <v>Lusaka</v>
      </c>
      <c r="J33" s="71" t="str">
        <f>IFERROR(_xlfn.XLOOKUP($O$5,DealsMaster[Deal No.],DealsMaster[Product]),"")</f>
        <v>PMS</v>
      </c>
      <c r="K33" s="64">
        <v>46145</v>
      </c>
      <c r="L33" s="64">
        <v>46146</v>
      </c>
      <c r="M33" s="56">
        <f t="shared" si="5"/>
        <v>1</v>
      </c>
      <c r="N33" s="57">
        <f t="shared" si="2"/>
        <v>2</v>
      </c>
      <c r="O33" s="58" t="str">
        <f t="shared" si="6"/>
        <v>OK</v>
      </c>
      <c r="P33" s="59">
        <f t="shared" si="4"/>
        <v>0</v>
      </c>
    </row>
    <row r="34" spans="1:16" ht="21.95" customHeight="1" x14ac:dyDescent="0.25">
      <c r="A34" s="54">
        <f t="shared" si="0"/>
        <v>190664</v>
      </c>
      <c r="B34" s="55" t="str">
        <f>IFERROR(_xlfn.XLOOKUP($O$5,DealsMaster[Deal No.],DealsMaster[Consignee]),"")</f>
        <v>Rubis Energy Zambia</v>
      </c>
      <c r="C34" s="64">
        <v>46141</v>
      </c>
      <c r="D34" s="70" t="str">
        <f>IFERROR(_xlfn.XLOOKUP($O$5,DealsMaster[Deal No.],DealsMaster[Loading Port]),"")</f>
        <v>Beira</v>
      </c>
      <c r="E34" s="65" t="s">
        <v>111</v>
      </c>
      <c r="F34" s="65" t="s">
        <v>112</v>
      </c>
      <c r="G34" s="66" t="s">
        <v>64</v>
      </c>
      <c r="H34" s="66" t="s">
        <v>130</v>
      </c>
      <c r="I34" s="71" t="str">
        <f>IFERROR(_xlfn.XLOOKUP($O$5,DealsMaster[Deal No.],DealsMaster[Destination]),"")</f>
        <v>Lusaka</v>
      </c>
      <c r="J34" s="71" t="str">
        <f>IFERROR(_xlfn.XLOOKUP($O$5,DealsMaster[Deal No.],DealsMaster[Product]),"")</f>
        <v>PMS</v>
      </c>
      <c r="K34" s="64">
        <v>46145</v>
      </c>
      <c r="L34" s="64">
        <v>46146</v>
      </c>
      <c r="M34" s="56">
        <f t="shared" si="5"/>
        <v>1</v>
      </c>
      <c r="N34" s="57">
        <f t="shared" si="2"/>
        <v>2</v>
      </c>
      <c r="O34" s="58" t="str">
        <f t="shared" si="6"/>
        <v>OK</v>
      </c>
      <c r="P34" s="59">
        <f t="shared" si="4"/>
        <v>0</v>
      </c>
    </row>
    <row r="35" spans="1:16" ht="21.95" customHeight="1" x14ac:dyDescent="0.25">
      <c r="A35" s="54">
        <f t="shared" si="0"/>
        <v>190664</v>
      </c>
      <c r="B35" s="55" t="str">
        <f>IFERROR(_xlfn.XLOOKUP($O$5,DealsMaster[Deal No.],DealsMaster[Consignee]),"")</f>
        <v>Rubis Energy Zambia</v>
      </c>
      <c r="C35" s="64">
        <v>46142</v>
      </c>
      <c r="D35" s="70" t="str">
        <f>IFERROR(_xlfn.XLOOKUP($O$5,DealsMaster[Deal No.],DealsMaster[Loading Port]),"")</f>
        <v>Beira</v>
      </c>
      <c r="E35" s="65" t="s">
        <v>376</v>
      </c>
      <c r="F35" s="65" t="s">
        <v>377</v>
      </c>
      <c r="G35" s="66" t="s">
        <v>64</v>
      </c>
      <c r="H35" s="66" t="s">
        <v>353</v>
      </c>
      <c r="I35" s="71" t="str">
        <f>IFERROR(_xlfn.XLOOKUP($O$5,DealsMaster[Deal No.],DealsMaster[Destination]),"")</f>
        <v>Lusaka</v>
      </c>
      <c r="J35" s="71" t="str">
        <f>IFERROR(_xlfn.XLOOKUP($O$5,DealsMaster[Deal No.],DealsMaster[Product]),"")</f>
        <v>PMS</v>
      </c>
      <c r="K35" s="64">
        <v>46148</v>
      </c>
      <c r="L35" s="64">
        <v>46148</v>
      </c>
      <c r="M35" s="56">
        <f t="shared" si="1"/>
        <v>0</v>
      </c>
      <c r="N35" s="57">
        <f t="shared" si="2"/>
        <v>2</v>
      </c>
      <c r="O35" s="58" t="str">
        <f t="shared" si="3"/>
        <v>OK</v>
      </c>
      <c r="P35" s="59">
        <f t="shared" si="4"/>
        <v>0</v>
      </c>
    </row>
    <row r="36" spans="1:16" ht="21.95" customHeight="1" x14ac:dyDescent="0.25">
      <c r="A36" s="54">
        <f t="shared" si="0"/>
        <v>190664</v>
      </c>
      <c r="B36" s="55" t="str">
        <f>IFERROR(_xlfn.XLOOKUP($O$5,DealsMaster[Deal No.],DealsMaster[Consignee]),"")</f>
        <v>Rubis Energy Zambia</v>
      </c>
      <c r="C36" s="64">
        <v>46141</v>
      </c>
      <c r="D36" s="70" t="str">
        <f>IFERROR(_xlfn.XLOOKUP($O$5,DealsMaster[Deal No.],DealsMaster[Loading Port]),"")</f>
        <v>Beira</v>
      </c>
      <c r="E36" s="65" t="s">
        <v>378</v>
      </c>
      <c r="F36" s="65" t="s">
        <v>379</v>
      </c>
      <c r="G36" s="66" t="s">
        <v>64</v>
      </c>
      <c r="H36" s="66" t="s">
        <v>354</v>
      </c>
      <c r="I36" s="71" t="str">
        <f>IFERROR(_xlfn.XLOOKUP($O$5,DealsMaster[Deal No.],DealsMaster[Destination]),"")</f>
        <v>Lusaka</v>
      </c>
      <c r="J36" s="71" t="str">
        <f>IFERROR(_xlfn.XLOOKUP($O$5,DealsMaster[Deal No.],DealsMaster[Product]),"")</f>
        <v>PMS</v>
      </c>
      <c r="K36" s="64">
        <v>46145</v>
      </c>
      <c r="L36" s="64">
        <v>46146</v>
      </c>
      <c r="M36" s="56">
        <f t="shared" si="1"/>
        <v>1</v>
      </c>
      <c r="N36" s="57">
        <f t="shared" si="2"/>
        <v>2</v>
      </c>
      <c r="O36" s="58" t="str">
        <f t="shared" si="3"/>
        <v>OK</v>
      </c>
      <c r="P36" s="59">
        <f t="shared" si="4"/>
        <v>0</v>
      </c>
    </row>
    <row r="37" spans="1:16" ht="21.95" customHeight="1" x14ac:dyDescent="0.25">
      <c r="A37" s="54">
        <f t="shared" si="0"/>
        <v>190664</v>
      </c>
      <c r="B37" s="55" t="str">
        <f>IFERROR(_xlfn.XLOOKUP($O$5,DealsMaster[Deal No.],DealsMaster[Consignee]),"")</f>
        <v>Rubis Energy Zambia</v>
      </c>
      <c r="C37" s="64">
        <v>46144</v>
      </c>
      <c r="D37" s="70" t="str">
        <f>IFERROR(_xlfn.XLOOKUP($O$5,DealsMaster[Deal No.],DealsMaster[Loading Port]),"")</f>
        <v>Beira</v>
      </c>
      <c r="E37" s="65" t="s">
        <v>380</v>
      </c>
      <c r="F37" s="65" t="s">
        <v>381</v>
      </c>
      <c r="G37" s="66" t="s">
        <v>64</v>
      </c>
      <c r="H37" s="66" t="s">
        <v>68</v>
      </c>
      <c r="I37" s="71" t="str">
        <f>IFERROR(_xlfn.XLOOKUP($O$5,DealsMaster[Deal No.],DealsMaster[Destination]),"")</f>
        <v>Lusaka</v>
      </c>
      <c r="J37" s="71" t="str">
        <f>IFERROR(_xlfn.XLOOKUP($O$5,DealsMaster[Deal No.],DealsMaster[Product]),"")</f>
        <v>PMS</v>
      </c>
      <c r="K37" s="64">
        <v>46148</v>
      </c>
      <c r="L37" s="64">
        <v>46150</v>
      </c>
      <c r="M37" s="56">
        <f t="shared" si="1"/>
        <v>2</v>
      </c>
      <c r="N37" s="57">
        <f t="shared" si="2"/>
        <v>2</v>
      </c>
      <c r="O37" s="58" t="str">
        <f t="shared" si="3"/>
        <v>OK</v>
      </c>
      <c r="P37" s="59">
        <f t="shared" si="4"/>
        <v>0</v>
      </c>
    </row>
    <row r="38" spans="1:16" ht="21.95" customHeight="1" x14ac:dyDescent="0.25">
      <c r="A38" s="54">
        <f t="shared" si="0"/>
        <v>190664</v>
      </c>
      <c r="B38" s="55" t="str">
        <f>IFERROR(_xlfn.XLOOKUP($O$5,DealsMaster[Deal No.],DealsMaster[Consignee]),"")</f>
        <v>Rubis Energy Zambia</v>
      </c>
      <c r="C38" s="64">
        <v>46141</v>
      </c>
      <c r="D38" s="70" t="str">
        <f>IFERROR(_xlfn.XLOOKUP($O$5,DealsMaster[Deal No.],DealsMaster[Loading Port]),"")</f>
        <v>Beira</v>
      </c>
      <c r="E38" s="65" t="s">
        <v>382</v>
      </c>
      <c r="F38" s="65" t="s">
        <v>383</v>
      </c>
      <c r="G38" s="66" t="s">
        <v>64</v>
      </c>
      <c r="H38" s="66" t="s">
        <v>355</v>
      </c>
      <c r="I38" s="71" t="str">
        <f>IFERROR(_xlfn.XLOOKUP($O$5,DealsMaster[Deal No.],DealsMaster[Destination]),"")</f>
        <v>Lusaka</v>
      </c>
      <c r="J38" s="71" t="str">
        <f>IFERROR(_xlfn.XLOOKUP($O$5,DealsMaster[Deal No.],DealsMaster[Product]),"")</f>
        <v>PMS</v>
      </c>
      <c r="K38" s="64">
        <v>46145</v>
      </c>
      <c r="L38" s="64">
        <v>46146</v>
      </c>
      <c r="M38" s="56">
        <f t="shared" si="1"/>
        <v>1</v>
      </c>
      <c r="N38" s="57">
        <f t="shared" si="2"/>
        <v>2</v>
      </c>
      <c r="O38" s="58" t="str">
        <f t="shared" si="3"/>
        <v>OK</v>
      </c>
      <c r="P38" s="59">
        <f t="shared" si="4"/>
        <v>0</v>
      </c>
    </row>
    <row r="39" spans="1:16" ht="15.75" thickBot="1" x14ac:dyDescent="0.3">
      <c r="A39" s="60" t="s">
        <v>14</v>
      </c>
      <c r="B39" s="61"/>
      <c r="C39" s="62"/>
      <c r="D39" s="62"/>
      <c r="E39" s="62"/>
      <c r="F39" s="62"/>
      <c r="G39" s="61"/>
      <c r="H39" s="61"/>
      <c r="I39" s="61"/>
      <c r="J39" s="61"/>
      <c r="K39" s="62"/>
      <c r="L39" s="62"/>
      <c r="M39" s="62"/>
      <c r="N39" s="62"/>
      <c r="O39" s="62"/>
      <c r="P39" s="63">
        <f>SUBTOTAL(109,P10:P38)</f>
        <v>24250</v>
      </c>
    </row>
    <row r="40" spans="1:16" x14ac:dyDescent="0.25">
      <c r="N40" s="1"/>
    </row>
    <row r="41" spans="1:16" x14ac:dyDescent="0.25">
      <c r="N41" s="1"/>
    </row>
    <row r="42" spans="1:16" x14ac:dyDescent="0.25">
      <c r="N42" s="1"/>
    </row>
    <row r="43" spans="1:16" x14ac:dyDescent="0.25">
      <c r="N43" s="1"/>
    </row>
    <row r="44" spans="1:16" x14ac:dyDescent="0.25">
      <c r="N44" s="1"/>
    </row>
    <row r="45" spans="1:16" x14ac:dyDescent="0.25">
      <c r="N45" s="1"/>
    </row>
    <row r="46" spans="1:16" x14ac:dyDescent="0.25">
      <c r="N46" s="1"/>
    </row>
    <row r="47" spans="1:16" x14ac:dyDescent="0.25">
      <c r="N47" s="1"/>
    </row>
    <row r="48" spans="1:16" x14ac:dyDescent="0.25">
      <c r="N48" s="1"/>
    </row>
    <row r="49" spans="14:14" x14ac:dyDescent="0.25">
      <c r="N49" s="1"/>
    </row>
    <row r="50" spans="14:14" x14ac:dyDescent="0.25">
      <c r="N50" s="1"/>
    </row>
    <row r="51" spans="14:14" x14ac:dyDescent="0.25">
      <c r="N51" s="1"/>
    </row>
    <row r="52" spans="14:14" x14ac:dyDescent="0.25">
      <c r="N52" s="1"/>
    </row>
    <row r="53" spans="14:14" x14ac:dyDescent="0.25">
      <c r="N53" s="1"/>
    </row>
    <row r="54" spans="14:14" x14ac:dyDescent="0.25">
      <c r="N54" s="1"/>
    </row>
    <row r="55" spans="14:14" x14ac:dyDescent="0.25">
      <c r="N55" s="1"/>
    </row>
    <row r="56" spans="14:14" x14ac:dyDescent="0.25">
      <c r="N56" s="1"/>
    </row>
    <row r="57" spans="14:14" x14ac:dyDescent="0.25">
      <c r="N57" s="1"/>
    </row>
    <row r="58" spans="14:14" x14ac:dyDescent="0.25">
      <c r="N58" s="1"/>
    </row>
    <row r="59" spans="14:14" x14ac:dyDescent="0.25">
      <c r="N59" s="1"/>
    </row>
    <row r="60" spans="14:14" x14ac:dyDescent="0.25">
      <c r="N60" s="1"/>
    </row>
    <row r="61" spans="14:14" x14ac:dyDescent="0.25">
      <c r="N61" s="1"/>
    </row>
    <row r="62" spans="14:14" x14ac:dyDescent="0.25">
      <c r="N62" s="1"/>
    </row>
  </sheetData>
  <sheetProtection autoFilter="0"/>
  <mergeCells count="9">
    <mergeCell ref="C5:E7"/>
    <mergeCell ref="F5:H7"/>
    <mergeCell ref="A1:B1"/>
    <mergeCell ref="C1:P1"/>
    <mergeCell ref="A2:P2"/>
    <mergeCell ref="C3:O3"/>
    <mergeCell ref="C4:E4"/>
    <mergeCell ref="F4:H4"/>
    <mergeCell ref="N4:O4"/>
  </mergeCells>
  <dataValidations count="6">
    <dataValidation type="date" allowBlank="1" showInputMessage="1" showErrorMessage="1" errorTitle="Invalid date" error="Please enter a valid date (e.g. 15-Jan-2025). Text entries are not allowed." promptTitle="Offloaded Date" prompt="Enter a date between 2020 and 2030." sqref="L10:L38" xr:uid="{7D94CB7A-591F-4FDA-9D4F-0CA8EB4CDCF4}">
      <formula1>43831</formula1>
      <formula2>47848</formula2>
    </dataValidation>
    <dataValidation type="date" allowBlank="1" showInputMessage="1" showErrorMessage="1" errorTitle="Invalid date" error="Please enter a valid date (e.g. 15-Jan-2025). Text entries are not allowed." promptTitle="Arrival Date" prompt="Enter a date between 2020 and 2030." sqref="K10:K38" xr:uid="{B99F25E2-4012-4904-82D8-F7151774E835}">
      <formula1>43831</formula1>
      <formula2>47848</formula2>
    </dataValidation>
    <dataValidation type="date" allowBlank="1" showInputMessage="1" showErrorMessage="1" errorTitle="Invalid date" error="Please enter a valid date (e.g. 15-Jan-2025). Text entries are not allowed." promptTitle="Date Loaded" prompt="Enter a date between 2020 and 2030." sqref="C10:C38" xr:uid="{3884505F-19D0-4F2E-8AF0-3FA9C4684C6B}">
      <formula1>43831</formula1>
      <formula2>47848</formula2>
    </dataValidation>
    <dataValidation type="list" allowBlank="1" showInputMessage="1" showErrorMessage="1" errorTitle="Invalid entry" error="Please pick a value from the list." sqref="D10:D38" xr:uid="{4E2FA8CA-9A0B-4782-92C1-AD01CF704B3F}">
      <formula1>"Dar Es Salaam,Beira"</formula1>
    </dataValidation>
    <dataValidation type="list" allowBlank="1" showInputMessage="1" showErrorMessage="1" errorTitle="Invalid entry" error="Please pick a value from the list." sqref="I10:I38" xr:uid="{735016A3-52A8-4BAA-97A6-DB62C14E614D}">
      <formula1>"Lusaka,Lubumbashi,Chipata"</formula1>
    </dataValidation>
    <dataValidation type="list" allowBlank="1" showInputMessage="1" showErrorMessage="1" errorTitle="Invalid entry" error="Please pick a value from the list." sqref="J10:J38" xr:uid="{9396D822-529A-4ACB-AE18-9CF22A6CF5C3}">
      <formula1>"PMS,AGO"</formula1>
    </dataValidation>
  </dataValidations>
  <pageMargins left="0.7" right="0.7" top="0.75" bottom="0.75" header="0.3" footer="0.3"/>
  <pageSetup scale="3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7FC58-0ECB-4101-9F57-C504FC405365}">
  <sheetPr>
    <tabColor rgb="FFF2B233"/>
  </sheetPr>
  <dimension ref="A1:P55"/>
  <sheetViews>
    <sheetView showGridLines="0" zoomScaleNormal="100" workbookViewId="0">
      <pane ySplit="9" topLeftCell="A10" activePane="bottomLeft" state="frozen"/>
      <selection activeCell="M1" sqref="M1"/>
      <selection pane="bottomLeft" activeCell="E10" sqref="E10"/>
    </sheetView>
  </sheetViews>
  <sheetFormatPr defaultRowHeight="15" x14ac:dyDescent="0.25"/>
  <cols>
    <col min="1" max="1" width="21" customWidth="1"/>
    <col min="2" max="2" width="31.42578125" customWidth="1"/>
    <col min="3" max="3" width="19" customWidth="1"/>
    <col min="4" max="4" width="24.7109375" customWidth="1"/>
    <col min="5" max="5" width="18.140625" customWidth="1"/>
    <col min="6" max="6" width="19" customWidth="1"/>
    <col min="7" max="8" width="26.7109375" customWidth="1"/>
    <col min="9" max="9" width="21.85546875" customWidth="1"/>
    <col min="10" max="10" width="15.28515625" customWidth="1"/>
    <col min="11" max="12" width="21.85546875" customWidth="1"/>
    <col min="13" max="13" width="17.140625" customWidth="1"/>
    <col min="14" max="14" width="18.140625" customWidth="1"/>
    <col min="15" max="15" width="21.85546875" customWidth="1"/>
    <col min="16" max="16" width="27.5703125" customWidth="1"/>
  </cols>
  <sheetData>
    <row r="1" spans="1:16" ht="60" customHeight="1" x14ac:dyDescent="0.25">
      <c r="A1" s="88"/>
      <c r="B1" s="89"/>
      <c r="C1" s="90" t="str">
        <f>IF(O5=0,"DEMURRAGE CALCULATION  —  [ENTER DEAL NO. ABOVE]","DEMURRAGE CALCULATION  —  "&amp;TEXT(O5,"0")&amp;" - "&amp;UPPER(IFERROR(_xlfn.XLOOKUP(O5,DealsMaster[Deal No.],DealsMaster[Consignee]),""))&amp;" - "&amp;UPPER(IFERROR(_xlfn.XLOOKUP(O5,DealsMaster[Deal No.],DealsMaster[Route]),"")))</f>
        <v>DEMURRAGE CALCULATION  —  191609 - RUBIS ENERGY ZAMBIA - BEIRA → LUSAKA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</row>
    <row r="2" spans="1:16" ht="6" customHeight="1" x14ac:dyDescent="0.25">
      <c r="A2" s="91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</row>
    <row r="3" spans="1:16" ht="20.100000000000001" customHeight="1" x14ac:dyDescent="0.25">
      <c r="C3" s="92" t="s">
        <v>27</v>
      </c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</row>
    <row r="4" spans="1:16" ht="20.100000000000001" customHeight="1" x14ac:dyDescent="0.25">
      <c r="C4" s="93" t="s">
        <v>28</v>
      </c>
      <c r="D4" s="94"/>
      <c r="E4" s="94"/>
      <c r="F4" s="95" t="s">
        <v>29</v>
      </c>
      <c r="G4" s="94"/>
      <c r="H4" s="94"/>
      <c r="I4" s="49"/>
      <c r="J4" s="49"/>
      <c r="K4" s="49"/>
      <c r="L4" s="49"/>
      <c r="M4" s="49"/>
      <c r="N4" s="93" t="s">
        <v>30</v>
      </c>
      <c r="O4" s="94"/>
    </row>
    <row r="5" spans="1:16" ht="18" customHeight="1" x14ac:dyDescent="0.25">
      <c r="C5" s="78">
        <f>SUM('191609-RUBIS-BEIRA-LSK'!$P$10:$P$31)</f>
        <v>0</v>
      </c>
      <c r="D5" s="79"/>
      <c r="E5" s="79"/>
      <c r="F5" s="83" t="str">
        <f>COUNTIF('191609-RUBIS-BEIRA-LSK'!$O$10:$O$31,"DEMURRAGE")&amp;" / "&amp;COUNTA('191609-RUBIS-BEIRA-LSK'!$A$10:$A$31)</f>
        <v>0 / 22</v>
      </c>
      <c r="G5" s="84"/>
      <c r="H5" s="84"/>
      <c r="I5" s="49"/>
      <c r="J5" s="49"/>
      <c r="K5" s="49"/>
      <c r="L5" s="49"/>
      <c r="M5" s="49"/>
      <c r="N5" s="5" t="s">
        <v>21</v>
      </c>
      <c r="O5" s="75">
        <v>191609</v>
      </c>
    </row>
    <row r="6" spans="1:16" ht="18" customHeight="1" x14ac:dyDescent="0.25">
      <c r="C6" s="80"/>
      <c r="D6" s="79"/>
      <c r="E6" s="79"/>
      <c r="F6" s="85"/>
      <c r="G6" s="84"/>
      <c r="H6" s="84"/>
      <c r="I6" s="49"/>
      <c r="J6" s="49"/>
      <c r="K6" s="49"/>
      <c r="L6" s="49"/>
      <c r="M6" s="49"/>
      <c r="N6" s="5" t="s">
        <v>31</v>
      </c>
      <c r="O6" s="36">
        <f>IFERROR(_xlfn.XLOOKUP($O$5,DealsMaster[Deal No.],DealsMaster[Laytime Allowance (days)]),0)</f>
        <v>2</v>
      </c>
    </row>
    <row r="7" spans="1:16" ht="18" customHeight="1" x14ac:dyDescent="0.25">
      <c r="C7" s="81"/>
      <c r="D7" s="82"/>
      <c r="E7" s="82"/>
      <c r="F7" s="86"/>
      <c r="G7" s="87"/>
      <c r="H7" s="87"/>
      <c r="I7" s="49"/>
      <c r="J7" s="49"/>
      <c r="K7" s="49"/>
      <c r="L7" s="49"/>
      <c r="M7" s="49"/>
      <c r="N7" s="6" t="s">
        <v>32</v>
      </c>
      <c r="O7" s="74">
        <f>IFERROR(_xlfn.XLOOKUP($O$5,DealsMaster[Deal No.],DealsMaster[Demurrage Rate (USD/day)]),0)</f>
        <v>250</v>
      </c>
    </row>
    <row r="8" spans="1:16" ht="15.75" thickBot="1" x14ac:dyDescent="0.3">
      <c r="A8" s="48" t="s">
        <v>53</v>
      </c>
      <c r="B8" s="12" t="s">
        <v>54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6" ht="44.1" customHeight="1" x14ac:dyDescent="0.25">
      <c r="A9" s="50" t="s">
        <v>0</v>
      </c>
      <c r="B9" s="51" t="s">
        <v>1</v>
      </c>
      <c r="C9" s="51" t="s">
        <v>2</v>
      </c>
      <c r="D9" s="51" t="s">
        <v>19</v>
      </c>
      <c r="E9" s="51" t="s">
        <v>3</v>
      </c>
      <c r="F9" s="51" t="s">
        <v>4</v>
      </c>
      <c r="G9" s="51" t="s">
        <v>5</v>
      </c>
      <c r="H9" s="51" t="s">
        <v>6</v>
      </c>
      <c r="I9" s="51" t="s">
        <v>7</v>
      </c>
      <c r="J9" s="51" t="s">
        <v>8</v>
      </c>
      <c r="K9" s="51" t="s">
        <v>9</v>
      </c>
      <c r="L9" s="51" t="s">
        <v>10</v>
      </c>
      <c r="M9" s="51" t="s">
        <v>11</v>
      </c>
      <c r="N9" s="52" t="s">
        <v>25</v>
      </c>
      <c r="O9" s="52" t="s">
        <v>26</v>
      </c>
      <c r="P9" s="53" t="s">
        <v>13</v>
      </c>
    </row>
    <row r="10" spans="1:16" ht="21.95" customHeight="1" x14ac:dyDescent="0.25">
      <c r="A10" s="54">
        <f>$O$5</f>
        <v>191609</v>
      </c>
      <c r="B10" s="55" t="str">
        <f>IFERROR(_xlfn.XLOOKUP($O$5,DealsMaster[Deal No.],DealsMaster[Consignee]),"")</f>
        <v>Rubis Energy Zambia</v>
      </c>
      <c r="C10" s="64"/>
      <c r="D10" s="70" t="str">
        <f>IFERROR(_xlfn.XLOOKUP($O$5,DealsMaster[Deal No.],DealsMaster[Loading Port]),"")</f>
        <v>Beira</v>
      </c>
      <c r="E10" s="65"/>
      <c r="F10" s="65"/>
      <c r="G10" s="66"/>
      <c r="H10" s="66"/>
      <c r="I10" s="71" t="str">
        <f>IFERROR(_xlfn.XLOOKUP($O$5,DealsMaster[Deal No.],DealsMaster[Destination]),"")</f>
        <v>Lusaka</v>
      </c>
      <c r="J10" s="71" t="str">
        <f>IFERROR(_xlfn.XLOOKUP($O$5,DealsMaster[Deal No.],DealsMaster[Product]),"")</f>
        <v>PMS</v>
      </c>
      <c r="K10" s="64"/>
      <c r="L10" s="64"/>
      <c r="M10" s="56" t="str">
        <f>IF(OR(K10="",L10=""),"",L10-K10)</f>
        <v/>
      </c>
      <c r="N10" s="57">
        <f>$O$6</f>
        <v>2</v>
      </c>
      <c r="O10" s="58" t="str">
        <f>IF(AND(C10&lt;&gt;"",K10&lt;&gt;"",K10&lt;C10),"⚠ Arrival &lt; Loaded",IF(AND(K10&lt;&gt;"",L10&lt;&gt;"",L10&lt;K10),"⚠ Offloaded &lt; Arrival",IF(M10="","",IF(M10&gt;N10,"DEMURRAGE","OK"))))</f>
        <v/>
      </c>
      <c r="P10" s="59" t="str">
        <f>IF(M10="","",MAX(0,M10-N10)*$O$7)</f>
        <v/>
      </c>
    </row>
    <row r="11" spans="1:16" ht="21.95" customHeight="1" x14ac:dyDescent="0.25">
      <c r="A11" s="54">
        <f t="shared" ref="A11:A31" si="0">$O$5</f>
        <v>191609</v>
      </c>
      <c r="B11" s="55" t="str">
        <f>IFERROR(_xlfn.XLOOKUP($O$5,DealsMaster[Deal No.],DealsMaster[Consignee]),"")</f>
        <v>Rubis Energy Zambia</v>
      </c>
      <c r="C11" s="64"/>
      <c r="D11" s="70" t="str">
        <f>IFERROR(_xlfn.XLOOKUP($O$5,DealsMaster[Deal No.],DealsMaster[Loading Port]),"")</f>
        <v>Beira</v>
      </c>
      <c r="E11" s="65"/>
      <c r="F11" s="65"/>
      <c r="G11" s="66"/>
      <c r="H11" s="66"/>
      <c r="I11" s="71" t="str">
        <f>IFERROR(_xlfn.XLOOKUP($O$5,DealsMaster[Deal No.],DealsMaster[Destination]),"")</f>
        <v>Lusaka</v>
      </c>
      <c r="J11" s="71" t="str">
        <f>IFERROR(_xlfn.XLOOKUP($O$5,DealsMaster[Deal No.],DealsMaster[Product]),"")</f>
        <v>PMS</v>
      </c>
      <c r="K11" s="64"/>
      <c r="L11" s="64"/>
      <c r="M11" s="56" t="str">
        <f t="shared" ref="M11:M31" si="1">IF(OR(K11="",L11=""),"",L11-K11)</f>
        <v/>
      </c>
      <c r="N11" s="57">
        <f t="shared" ref="N11:N31" si="2">$O$6</f>
        <v>2</v>
      </c>
      <c r="O11" s="58" t="str">
        <f t="shared" ref="O11:O31" si="3">IF(AND(C11&lt;&gt;"",K11&lt;&gt;"",K11&lt;C11),"⚠ Arrival &lt; Loaded",IF(AND(K11&lt;&gt;"",L11&lt;&gt;"",L11&lt;K11),"⚠ Offloaded &lt; Arrival",IF(M11="","",IF(M11&gt;N11,"DEMURRAGE","OK"))))</f>
        <v/>
      </c>
      <c r="P11" s="59" t="str">
        <f t="shared" ref="P11:P31" si="4">IF(M11="","",MAX(0,M11-N11)*$O$7)</f>
        <v/>
      </c>
    </row>
    <row r="12" spans="1:16" ht="21.95" customHeight="1" x14ac:dyDescent="0.25">
      <c r="A12" s="54">
        <f t="shared" si="0"/>
        <v>191609</v>
      </c>
      <c r="B12" s="55" t="str">
        <f>IFERROR(_xlfn.XLOOKUP($O$5,DealsMaster[Deal No.],DealsMaster[Consignee]),"")</f>
        <v>Rubis Energy Zambia</v>
      </c>
      <c r="C12" s="64"/>
      <c r="D12" s="70" t="str">
        <f>IFERROR(_xlfn.XLOOKUP($O$5,DealsMaster[Deal No.],DealsMaster[Loading Port]),"")</f>
        <v>Beira</v>
      </c>
      <c r="E12" s="65"/>
      <c r="F12" s="65"/>
      <c r="G12" s="66"/>
      <c r="H12" s="66"/>
      <c r="I12" s="71" t="str">
        <f>IFERROR(_xlfn.XLOOKUP($O$5,DealsMaster[Deal No.],DealsMaster[Destination]),"")</f>
        <v>Lusaka</v>
      </c>
      <c r="J12" s="71" t="str">
        <f>IFERROR(_xlfn.XLOOKUP($O$5,DealsMaster[Deal No.],DealsMaster[Product]),"")</f>
        <v>PMS</v>
      </c>
      <c r="K12" s="64"/>
      <c r="L12" s="64"/>
      <c r="M12" s="56" t="str">
        <f t="shared" si="1"/>
        <v/>
      </c>
      <c r="N12" s="57">
        <f t="shared" si="2"/>
        <v>2</v>
      </c>
      <c r="O12" s="58" t="str">
        <f t="shared" si="3"/>
        <v/>
      </c>
      <c r="P12" s="59" t="str">
        <f t="shared" si="4"/>
        <v/>
      </c>
    </row>
    <row r="13" spans="1:16" ht="21.95" customHeight="1" x14ac:dyDescent="0.25">
      <c r="A13" s="54">
        <f t="shared" si="0"/>
        <v>191609</v>
      </c>
      <c r="B13" s="55" t="str">
        <f>IFERROR(_xlfn.XLOOKUP($O$5,DealsMaster[Deal No.],DealsMaster[Consignee]),"")</f>
        <v>Rubis Energy Zambia</v>
      </c>
      <c r="C13" s="64"/>
      <c r="D13" s="70" t="str">
        <f>IFERROR(_xlfn.XLOOKUP($O$5,DealsMaster[Deal No.],DealsMaster[Loading Port]),"")</f>
        <v>Beira</v>
      </c>
      <c r="E13" s="65"/>
      <c r="F13" s="65"/>
      <c r="G13" s="66"/>
      <c r="H13" s="66"/>
      <c r="I13" s="71" t="str">
        <f>IFERROR(_xlfn.XLOOKUP($O$5,DealsMaster[Deal No.],DealsMaster[Destination]),"")</f>
        <v>Lusaka</v>
      </c>
      <c r="J13" s="71" t="str">
        <f>IFERROR(_xlfn.XLOOKUP($O$5,DealsMaster[Deal No.],DealsMaster[Product]),"")</f>
        <v>PMS</v>
      </c>
      <c r="K13" s="64"/>
      <c r="L13" s="64"/>
      <c r="M13" s="56" t="str">
        <f t="shared" si="1"/>
        <v/>
      </c>
      <c r="N13" s="57">
        <f t="shared" si="2"/>
        <v>2</v>
      </c>
      <c r="O13" s="58" t="str">
        <f t="shared" si="3"/>
        <v/>
      </c>
      <c r="P13" s="59" t="str">
        <f t="shared" si="4"/>
        <v/>
      </c>
    </row>
    <row r="14" spans="1:16" ht="21.95" customHeight="1" x14ac:dyDescent="0.25">
      <c r="A14" s="54">
        <f t="shared" si="0"/>
        <v>191609</v>
      </c>
      <c r="B14" s="55" t="str">
        <f>IFERROR(_xlfn.XLOOKUP($O$5,DealsMaster[Deal No.],DealsMaster[Consignee]),"")</f>
        <v>Rubis Energy Zambia</v>
      </c>
      <c r="C14" s="64"/>
      <c r="D14" s="70" t="str">
        <f>IFERROR(_xlfn.XLOOKUP($O$5,DealsMaster[Deal No.],DealsMaster[Loading Port]),"")</f>
        <v>Beira</v>
      </c>
      <c r="E14" s="65"/>
      <c r="F14" s="65"/>
      <c r="G14" s="66"/>
      <c r="H14" s="66"/>
      <c r="I14" s="71" t="str">
        <f>IFERROR(_xlfn.XLOOKUP($O$5,DealsMaster[Deal No.],DealsMaster[Destination]),"")</f>
        <v>Lusaka</v>
      </c>
      <c r="J14" s="71" t="str">
        <f>IFERROR(_xlfn.XLOOKUP($O$5,DealsMaster[Deal No.],DealsMaster[Product]),"")</f>
        <v>PMS</v>
      </c>
      <c r="K14" s="64"/>
      <c r="L14" s="64"/>
      <c r="M14" s="56" t="str">
        <f t="shared" si="1"/>
        <v/>
      </c>
      <c r="N14" s="57">
        <f t="shared" si="2"/>
        <v>2</v>
      </c>
      <c r="O14" s="58" t="str">
        <f t="shared" si="3"/>
        <v/>
      </c>
      <c r="P14" s="59" t="str">
        <f t="shared" si="4"/>
        <v/>
      </c>
    </row>
    <row r="15" spans="1:16" ht="21.95" customHeight="1" x14ac:dyDescent="0.25">
      <c r="A15" s="54">
        <f t="shared" si="0"/>
        <v>191609</v>
      </c>
      <c r="B15" s="55" t="str">
        <f>IFERROR(_xlfn.XLOOKUP($O$5,DealsMaster[Deal No.],DealsMaster[Consignee]),"")</f>
        <v>Rubis Energy Zambia</v>
      </c>
      <c r="C15" s="64"/>
      <c r="D15" s="70" t="str">
        <f>IFERROR(_xlfn.XLOOKUP($O$5,DealsMaster[Deal No.],DealsMaster[Loading Port]),"")</f>
        <v>Beira</v>
      </c>
      <c r="E15" s="65"/>
      <c r="F15" s="65"/>
      <c r="G15" s="66"/>
      <c r="H15" s="66"/>
      <c r="I15" s="71" t="str">
        <f>IFERROR(_xlfn.XLOOKUP($O$5,DealsMaster[Deal No.],DealsMaster[Destination]),"")</f>
        <v>Lusaka</v>
      </c>
      <c r="J15" s="71" t="str">
        <f>IFERROR(_xlfn.XLOOKUP($O$5,DealsMaster[Deal No.],DealsMaster[Product]),"")</f>
        <v>PMS</v>
      </c>
      <c r="K15" s="64"/>
      <c r="L15" s="64"/>
      <c r="M15" s="56" t="str">
        <f t="shared" si="1"/>
        <v/>
      </c>
      <c r="N15" s="57">
        <f t="shared" si="2"/>
        <v>2</v>
      </c>
      <c r="O15" s="58" t="str">
        <f t="shared" si="3"/>
        <v/>
      </c>
      <c r="P15" s="59" t="str">
        <f t="shared" si="4"/>
        <v/>
      </c>
    </row>
    <row r="16" spans="1:16" ht="21.95" customHeight="1" x14ac:dyDescent="0.25">
      <c r="A16" s="54">
        <f t="shared" si="0"/>
        <v>191609</v>
      </c>
      <c r="B16" s="55" t="str">
        <f>IFERROR(_xlfn.XLOOKUP($O$5,DealsMaster[Deal No.],DealsMaster[Consignee]),"")</f>
        <v>Rubis Energy Zambia</v>
      </c>
      <c r="C16" s="64"/>
      <c r="D16" s="70" t="str">
        <f>IFERROR(_xlfn.XLOOKUP($O$5,DealsMaster[Deal No.],DealsMaster[Loading Port]),"")</f>
        <v>Beira</v>
      </c>
      <c r="E16" s="65"/>
      <c r="F16" s="65"/>
      <c r="G16" s="66"/>
      <c r="H16" s="66"/>
      <c r="I16" s="71" t="str">
        <f>IFERROR(_xlfn.XLOOKUP($O$5,DealsMaster[Deal No.],DealsMaster[Destination]),"")</f>
        <v>Lusaka</v>
      </c>
      <c r="J16" s="71" t="str">
        <f>IFERROR(_xlfn.XLOOKUP($O$5,DealsMaster[Deal No.],DealsMaster[Product]),"")</f>
        <v>PMS</v>
      </c>
      <c r="K16" s="64"/>
      <c r="L16" s="64"/>
      <c r="M16" s="56" t="str">
        <f t="shared" si="1"/>
        <v/>
      </c>
      <c r="N16" s="57">
        <f t="shared" si="2"/>
        <v>2</v>
      </c>
      <c r="O16" s="58" t="str">
        <f t="shared" si="3"/>
        <v/>
      </c>
      <c r="P16" s="59" t="str">
        <f t="shared" si="4"/>
        <v/>
      </c>
    </row>
    <row r="17" spans="1:16" ht="21.95" customHeight="1" x14ac:dyDescent="0.25">
      <c r="A17" s="54">
        <f t="shared" si="0"/>
        <v>191609</v>
      </c>
      <c r="B17" s="55" t="str">
        <f>IFERROR(_xlfn.XLOOKUP($O$5,DealsMaster[Deal No.],DealsMaster[Consignee]),"")</f>
        <v>Rubis Energy Zambia</v>
      </c>
      <c r="C17" s="64"/>
      <c r="D17" s="70" t="str">
        <f>IFERROR(_xlfn.XLOOKUP($O$5,DealsMaster[Deal No.],DealsMaster[Loading Port]),"")</f>
        <v>Beira</v>
      </c>
      <c r="E17" s="65"/>
      <c r="F17" s="65"/>
      <c r="G17" s="66"/>
      <c r="H17" s="66"/>
      <c r="I17" s="71" t="str">
        <f>IFERROR(_xlfn.XLOOKUP($O$5,DealsMaster[Deal No.],DealsMaster[Destination]),"")</f>
        <v>Lusaka</v>
      </c>
      <c r="J17" s="71" t="str">
        <f>IFERROR(_xlfn.XLOOKUP($O$5,DealsMaster[Deal No.],DealsMaster[Product]),"")</f>
        <v>PMS</v>
      </c>
      <c r="K17" s="64"/>
      <c r="L17" s="64"/>
      <c r="M17" s="56" t="str">
        <f t="shared" si="1"/>
        <v/>
      </c>
      <c r="N17" s="57">
        <f t="shared" si="2"/>
        <v>2</v>
      </c>
      <c r="O17" s="58" t="str">
        <f t="shared" si="3"/>
        <v/>
      </c>
      <c r="P17" s="59" t="str">
        <f t="shared" si="4"/>
        <v/>
      </c>
    </row>
    <row r="18" spans="1:16" ht="21.95" customHeight="1" x14ac:dyDescent="0.25">
      <c r="A18" s="54">
        <f t="shared" si="0"/>
        <v>191609</v>
      </c>
      <c r="B18" s="55" t="str">
        <f>IFERROR(_xlfn.XLOOKUP($O$5,DealsMaster[Deal No.],DealsMaster[Consignee]),"")</f>
        <v>Rubis Energy Zambia</v>
      </c>
      <c r="C18" s="64"/>
      <c r="D18" s="70" t="str">
        <f>IFERROR(_xlfn.XLOOKUP($O$5,DealsMaster[Deal No.],DealsMaster[Loading Port]),"")</f>
        <v>Beira</v>
      </c>
      <c r="E18" s="65"/>
      <c r="F18" s="65"/>
      <c r="G18" s="66"/>
      <c r="H18" s="66"/>
      <c r="I18" s="71" t="str">
        <f>IFERROR(_xlfn.XLOOKUP($O$5,DealsMaster[Deal No.],DealsMaster[Destination]),"")</f>
        <v>Lusaka</v>
      </c>
      <c r="J18" s="71" t="str">
        <f>IFERROR(_xlfn.XLOOKUP($O$5,DealsMaster[Deal No.],DealsMaster[Product]),"")</f>
        <v>PMS</v>
      </c>
      <c r="K18" s="64"/>
      <c r="L18" s="64"/>
      <c r="M18" s="56" t="str">
        <f t="shared" si="1"/>
        <v/>
      </c>
      <c r="N18" s="57">
        <f t="shared" si="2"/>
        <v>2</v>
      </c>
      <c r="O18" s="58" t="str">
        <f t="shared" si="3"/>
        <v/>
      </c>
      <c r="P18" s="59" t="str">
        <f t="shared" si="4"/>
        <v/>
      </c>
    </row>
    <row r="19" spans="1:16" ht="21.95" customHeight="1" x14ac:dyDescent="0.25">
      <c r="A19" s="54">
        <f t="shared" si="0"/>
        <v>191609</v>
      </c>
      <c r="B19" s="55" t="str">
        <f>IFERROR(_xlfn.XLOOKUP($O$5,DealsMaster[Deal No.],DealsMaster[Consignee]),"")</f>
        <v>Rubis Energy Zambia</v>
      </c>
      <c r="C19" s="64"/>
      <c r="D19" s="70" t="str">
        <f>IFERROR(_xlfn.XLOOKUP($O$5,DealsMaster[Deal No.],DealsMaster[Loading Port]),"")</f>
        <v>Beira</v>
      </c>
      <c r="E19" s="65"/>
      <c r="F19" s="65"/>
      <c r="G19" s="66"/>
      <c r="H19" s="66"/>
      <c r="I19" s="71" t="str">
        <f>IFERROR(_xlfn.XLOOKUP($O$5,DealsMaster[Deal No.],DealsMaster[Destination]),"")</f>
        <v>Lusaka</v>
      </c>
      <c r="J19" s="71" t="str">
        <f>IFERROR(_xlfn.XLOOKUP($O$5,DealsMaster[Deal No.],DealsMaster[Product]),"")</f>
        <v>PMS</v>
      </c>
      <c r="K19" s="64"/>
      <c r="L19" s="64"/>
      <c r="M19" s="56" t="str">
        <f t="shared" si="1"/>
        <v/>
      </c>
      <c r="N19" s="57">
        <f t="shared" si="2"/>
        <v>2</v>
      </c>
      <c r="O19" s="58" t="str">
        <f t="shared" si="3"/>
        <v/>
      </c>
      <c r="P19" s="59" t="str">
        <f t="shared" si="4"/>
        <v/>
      </c>
    </row>
    <row r="20" spans="1:16" ht="21.95" customHeight="1" x14ac:dyDescent="0.25">
      <c r="A20" s="54">
        <f t="shared" si="0"/>
        <v>191609</v>
      </c>
      <c r="B20" s="55" t="str">
        <f>IFERROR(_xlfn.XLOOKUP($O$5,DealsMaster[Deal No.],DealsMaster[Consignee]),"")</f>
        <v>Rubis Energy Zambia</v>
      </c>
      <c r="C20" s="64"/>
      <c r="D20" s="70" t="str">
        <f>IFERROR(_xlfn.XLOOKUP($O$5,DealsMaster[Deal No.],DealsMaster[Loading Port]),"")</f>
        <v>Beira</v>
      </c>
      <c r="E20" s="65"/>
      <c r="F20" s="65"/>
      <c r="G20" s="66"/>
      <c r="H20" s="66"/>
      <c r="I20" s="71" t="str">
        <f>IFERROR(_xlfn.XLOOKUP($O$5,DealsMaster[Deal No.],DealsMaster[Destination]),"")</f>
        <v>Lusaka</v>
      </c>
      <c r="J20" s="71" t="str">
        <f>IFERROR(_xlfn.XLOOKUP($O$5,DealsMaster[Deal No.],DealsMaster[Product]),"")</f>
        <v>PMS</v>
      </c>
      <c r="K20" s="64"/>
      <c r="L20" s="64"/>
      <c r="M20" s="56" t="str">
        <f t="shared" si="1"/>
        <v/>
      </c>
      <c r="N20" s="57">
        <f t="shared" si="2"/>
        <v>2</v>
      </c>
      <c r="O20" s="58" t="str">
        <f t="shared" si="3"/>
        <v/>
      </c>
      <c r="P20" s="59" t="str">
        <f t="shared" si="4"/>
        <v/>
      </c>
    </row>
    <row r="21" spans="1:16" ht="21.95" customHeight="1" x14ac:dyDescent="0.25">
      <c r="A21" s="54">
        <f t="shared" si="0"/>
        <v>191609</v>
      </c>
      <c r="B21" s="55" t="str">
        <f>IFERROR(_xlfn.XLOOKUP($O$5,DealsMaster[Deal No.],DealsMaster[Consignee]),"")</f>
        <v>Rubis Energy Zambia</v>
      </c>
      <c r="C21" s="64"/>
      <c r="D21" s="70" t="str">
        <f>IFERROR(_xlfn.XLOOKUP($O$5,DealsMaster[Deal No.],DealsMaster[Loading Port]),"")</f>
        <v>Beira</v>
      </c>
      <c r="E21" s="65"/>
      <c r="F21" s="65"/>
      <c r="G21" s="66"/>
      <c r="H21" s="66"/>
      <c r="I21" s="71" t="str">
        <f>IFERROR(_xlfn.XLOOKUP($O$5,DealsMaster[Deal No.],DealsMaster[Destination]),"")</f>
        <v>Lusaka</v>
      </c>
      <c r="J21" s="71" t="str">
        <f>IFERROR(_xlfn.XLOOKUP($O$5,DealsMaster[Deal No.],DealsMaster[Product]),"")</f>
        <v>PMS</v>
      </c>
      <c r="K21" s="64"/>
      <c r="L21" s="64"/>
      <c r="M21" s="56" t="str">
        <f t="shared" si="1"/>
        <v/>
      </c>
      <c r="N21" s="57">
        <f t="shared" si="2"/>
        <v>2</v>
      </c>
      <c r="O21" s="58" t="str">
        <f t="shared" si="3"/>
        <v/>
      </c>
      <c r="P21" s="59" t="str">
        <f t="shared" si="4"/>
        <v/>
      </c>
    </row>
    <row r="22" spans="1:16" ht="21.95" customHeight="1" x14ac:dyDescent="0.25">
      <c r="A22" s="54">
        <f t="shared" si="0"/>
        <v>191609</v>
      </c>
      <c r="B22" s="55" t="str">
        <f>IFERROR(_xlfn.XLOOKUP($O$5,DealsMaster[Deal No.],DealsMaster[Consignee]),"")</f>
        <v>Rubis Energy Zambia</v>
      </c>
      <c r="C22" s="64"/>
      <c r="D22" s="70" t="str">
        <f>IFERROR(_xlfn.XLOOKUP($O$5,DealsMaster[Deal No.],DealsMaster[Loading Port]),"")</f>
        <v>Beira</v>
      </c>
      <c r="E22" s="65"/>
      <c r="F22" s="65"/>
      <c r="G22" s="66"/>
      <c r="H22" s="66"/>
      <c r="I22" s="71" t="str">
        <f>IFERROR(_xlfn.XLOOKUP($O$5,DealsMaster[Deal No.],DealsMaster[Destination]),"")</f>
        <v>Lusaka</v>
      </c>
      <c r="J22" s="71" t="str">
        <f>IFERROR(_xlfn.XLOOKUP($O$5,DealsMaster[Deal No.],DealsMaster[Product]),"")</f>
        <v>PMS</v>
      </c>
      <c r="K22" s="64"/>
      <c r="L22" s="64"/>
      <c r="M22" s="56" t="str">
        <f t="shared" si="1"/>
        <v/>
      </c>
      <c r="N22" s="57">
        <f t="shared" si="2"/>
        <v>2</v>
      </c>
      <c r="O22" s="58" t="str">
        <f t="shared" si="3"/>
        <v/>
      </c>
      <c r="P22" s="59" t="str">
        <f t="shared" si="4"/>
        <v/>
      </c>
    </row>
    <row r="23" spans="1:16" ht="21.95" customHeight="1" x14ac:dyDescent="0.25">
      <c r="A23" s="54">
        <f t="shared" si="0"/>
        <v>191609</v>
      </c>
      <c r="B23" s="55" t="str">
        <f>IFERROR(_xlfn.XLOOKUP($O$5,DealsMaster[Deal No.],DealsMaster[Consignee]),"")</f>
        <v>Rubis Energy Zambia</v>
      </c>
      <c r="C23" s="64"/>
      <c r="D23" s="70" t="str">
        <f>IFERROR(_xlfn.XLOOKUP($O$5,DealsMaster[Deal No.],DealsMaster[Loading Port]),"")</f>
        <v>Beira</v>
      </c>
      <c r="E23" s="65"/>
      <c r="F23" s="65"/>
      <c r="G23" s="66"/>
      <c r="H23" s="66"/>
      <c r="I23" s="71" t="str">
        <f>IFERROR(_xlfn.XLOOKUP($O$5,DealsMaster[Deal No.],DealsMaster[Destination]),"")</f>
        <v>Lusaka</v>
      </c>
      <c r="J23" s="71" t="str">
        <f>IFERROR(_xlfn.XLOOKUP($O$5,DealsMaster[Deal No.],DealsMaster[Product]),"")</f>
        <v>PMS</v>
      </c>
      <c r="K23" s="64"/>
      <c r="L23" s="64"/>
      <c r="M23" s="56" t="str">
        <f t="shared" si="1"/>
        <v/>
      </c>
      <c r="N23" s="57">
        <f t="shared" si="2"/>
        <v>2</v>
      </c>
      <c r="O23" s="58" t="str">
        <f t="shared" si="3"/>
        <v/>
      </c>
      <c r="P23" s="59" t="str">
        <f t="shared" si="4"/>
        <v/>
      </c>
    </row>
    <row r="24" spans="1:16" ht="21.95" customHeight="1" x14ac:dyDescent="0.25">
      <c r="A24" s="54">
        <f t="shared" si="0"/>
        <v>191609</v>
      </c>
      <c r="B24" s="55" t="str">
        <f>IFERROR(_xlfn.XLOOKUP($O$5,DealsMaster[Deal No.],DealsMaster[Consignee]),"")</f>
        <v>Rubis Energy Zambia</v>
      </c>
      <c r="C24" s="64"/>
      <c r="D24" s="70" t="str">
        <f>IFERROR(_xlfn.XLOOKUP($O$5,DealsMaster[Deal No.],DealsMaster[Loading Port]),"")</f>
        <v>Beira</v>
      </c>
      <c r="E24" s="65"/>
      <c r="F24" s="65"/>
      <c r="G24" s="66"/>
      <c r="H24" s="66"/>
      <c r="I24" s="71" t="str">
        <f>IFERROR(_xlfn.XLOOKUP($O$5,DealsMaster[Deal No.],DealsMaster[Destination]),"")</f>
        <v>Lusaka</v>
      </c>
      <c r="J24" s="71" t="str">
        <f>IFERROR(_xlfn.XLOOKUP($O$5,DealsMaster[Deal No.],DealsMaster[Product]),"")</f>
        <v>PMS</v>
      </c>
      <c r="K24" s="64"/>
      <c r="L24" s="64"/>
      <c r="M24" s="56" t="str">
        <f t="shared" si="1"/>
        <v/>
      </c>
      <c r="N24" s="57">
        <f t="shared" si="2"/>
        <v>2</v>
      </c>
      <c r="O24" s="58" t="str">
        <f t="shared" si="3"/>
        <v/>
      </c>
      <c r="P24" s="59" t="str">
        <f t="shared" si="4"/>
        <v/>
      </c>
    </row>
    <row r="25" spans="1:16" ht="21.95" customHeight="1" x14ac:dyDescent="0.25">
      <c r="A25" s="54">
        <f t="shared" si="0"/>
        <v>191609</v>
      </c>
      <c r="B25" s="55" t="str">
        <f>IFERROR(_xlfn.XLOOKUP($O$5,DealsMaster[Deal No.],DealsMaster[Consignee]),"")</f>
        <v>Rubis Energy Zambia</v>
      </c>
      <c r="C25" s="64"/>
      <c r="D25" s="70" t="str">
        <f>IFERROR(_xlfn.XLOOKUP($O$5,DealsMaster[Deal No.],DealsMaster[Loading Port]),"")</f>
        <v>Beira</v>
      </c>
      <c r="E25" s="65"/>
      <c r="F25" s="65"/>
      <c r="G25" s="66"/>
      <c r="H25" s="66"/>
      <c r="I25" s="71" t="str">
        <f>IFERROR(_xlfn.XLOOKUP($O$5,DealsMaster[Deal No.],DealsMaster[Destination]),"")</f>
        <v>Lusaka</v>
      </c>
      <c r="J25" s="71" t="str">
        <f>IFERROR(_xlfn.XLOOKUP($O$5,DealsMaster[Deal No.],DealsMaster[Product]),"")</f>
        <v>PMS</v>
      </c>
      <c r="K25" s="64"/>
      <c r="L25" s="64"/>
      <c r="M25" s="56" t="str">
        <f t="shared" si="1"/>
        <v/>
      </c>
      <c r="N25" s="57">
        <f t="shared" si="2"/>
        <v>2</v>
      </c>
      <c r="O25" s="58" t="str">
        <f t="shared" si="3"/>
        <v/>
      </c>
      <c r="P25" s="59" t="str">
        <f t="shared" si="4"/>
        <v/>
      </c>
    </row>
    <row r="26" spans="1:16" ht="21.95" customHeight="1" x14ac:dyDescent="0.25">
      <c r="A26" s="54">
        <f t="shared" si="0"/>
        <v>191609</v>
      </c>
      <c r="B26" s="55" t="str">
        <f>IFERROR(_xlfn.XLOOKUP($O$5,DealsMaster[Deal No.],DealsMaster[Consignee]),"")</f>
        <v>Rubis Energy Zambia</v>
      </c>
      <c r="C26" s="64"/>
      <c r="D26" s="70" t="str">
        <f>IFERROR(_xlfn.XLOOKUP($O$5,DealsMaster[Deal No.],DealsMaster[Loading Port]),"")</f>
        <v>Beira</v>
      </c>
      <c r="E26" s="65"/>
      <c r="F26" s="65"/>
      <c r="G26" s="66"/>
      <c r="H26" s="66"/>
      <c r="I26" s="71" t="str">
        <f>IFERROR(_xlfn.XLOOKUP($O$5,DealsMaster[Deal No.],DealsMaster[Destination]),"")</f>
        <v>Lusaka</v>
      </c>
      <c r="J26" s="71" t="str">
        <f>IFERROR(_xlfn.XLOOKUP($O$5,DealsMaster[Deal No.],DealsMaster[Product]),"")</f>
        <v>PMS</v>
      </c>
      <c r="K26" s="64"/>
      <c r="L26" s="64"/>
      <c r="M26" s="56" t="str">
        <f t="shared" si="1"/>
        <v/>
      </c>
      <c r="N26" s="57">
        <f t="shared" si="2"/>
        <v>2</v>
      </c>
      <c r="O26" s="58" t="str">
        <f t="shared" si="3"/>
        <v/>
      </c>
      <c r="P26" s="59" t="str">
        <f t="shared" si="4"/>
        <v/>
      </c>
    </row>
    <row r="27" spans="1:16" ht="21.95" customHeight="1" x14ac:dyDescent="0.25">
      <c r="A27" s="54">
        <f t="shared" si="0"/>
        <v>191609</v>
      </c>
      <c r="B27" s="55" t="str">
        <f>IFERROR(_xlfn.XLOOKUP($O$5,DealsMaster[Deal No.],DealsMaster[Consignee]),"")</f>
        <v>Rubis Energy Zambia</v>
      </c>
      <c r="C27" s="64"/>
      <c r="D27" s="70" t="str">
        <f>IFERROR(_xlfn.XLOOKUP($O$5,DealsMaster[Deal No.],DealsMaster[Loading Port]),"")</f>
        <v>Beira</v>
      </c>
      <c r="E27" s="65"/>
      <c r="F27" s="65"/>
      <c r="G27" s="66"/>
      <c r="H27" s="66"/>
      <c r="I27" s="71" t="str">
        <f>IFERROR(_xlfn.XLOOKUP($O$5,DealsMaster[Deal No.],DealsMaster[Destination]),"")</f>
        <v>Lusaka</v>
      </c>
      <c r="J27" s="71" t="str">
        <f>IFERROR(_xlfn.XLOOKUP($O$5,DealsMaster[Deal No.],DealsMaster[Product]),"")</f>
        <v>PMS</v>
      </c>
      <c r="K27" s="64"/>
      <c r="L27" s="64"/>
      <c r="M27" s="56" t="str">
        <f t="shared" si="1"/>
        <v/>
      </c>
      <c r="N27" s="57">
        <f t="shared" si="2"/>
        <v>2</v>
      </c>
      <c r="O27" s="58" t="str">
        <f t="shared" si="3"/>
        <v/>
      </c>
      <c r="P27" s="59" t="str">
        <f t="shared" si="4"/>
        <v/>
      </c>
    </row>
    <row r="28" spans="1:16" ht="21.95" customHeight="1" x14ac:dyDescent="0.25">
      <c r="A28" s="54">
        <f t="shared" si="0"/>
        <v>191609</v>
      </c>
      <c r="B28" s="55" t="str">
        <f>IFERROR(_xlfn.XLOOKUP($O$5,DealsMaster[Deal No.],DealsMaster[Consignee]),"")</f>
        <v>Rubis Energy Zambia</v>
      </c>
      <c r="C28" s="64"/>
      <c r="D28" s="70" t="str">
        <f>IFERROR(_xlfn.XLOOKUP($O$5,DealsMaster[Deal No.],DealsMaster[Loading Port]),"")</f>
        <v>Beira</v>
      </c>
      <c r="E28" s="65"/>
      <c r="F28" s="65"/>
      <c r="G28" s="66"/>
      <c r="H28" s="66"/>
      <c r="I28" s="71" t="str">
        <f>IFERROR(_xlfn.XLOOKUP($O$5,DealsMaster[Deal No.],DealsMaster[Destination]),"")</f>
        <v>Lusaka</v>
      </c>
      <c r="J28" s="71" t="str">
        <f>IFERROR(_xlfn.XLOOKUP($O$5,DealsMaster[Deal No.],DealsMaster[Product]),"")</f>
        <v>PMS</v>
      </c>
      <c r="K28" s="64"/>
      <c r="L28" s="64"/>
      <c r="M28" s="56" t="str">
        <f t="shared" si="1"/>
        <v/>
      </c>
      <c r="N28" s="57">
        <f t="shared" si="2"/>
        <v>2</v>
      </c>
      <c r="O28" s="58" t="str">
        <f t="shared" si="3"/>
        <v/>
      </c>
      <c r="P28" s="59" t="str">
        <f t="shared" si="4"/>
        <v/>
      </c>
    </row>
    <row r="29" spans="1:16" ht="21.95" customHeight="1" x14ac:dyDescent="0.25">
      <c r="A29" s="54">
        <f t="shared" si="0"/>
        <v>191609</v>
      </c>
      <c r="B29" s="55" t="str">
        <f>IFERROR(_xlfn.XLOOKUP($O$5,DealsMaster[Deal No.],DealsMaster[Consignee]),"")</f>
        <v>Rubis Energy Zambia</v>
      </c>
      <c r="C29" s="64"/>
      <c r="D29" s="70" t="str">
        <f>IFERROR(_xlfn.XLOOKUP($O$5,DealsMaster[Deal No.],DealsMaster[Loading Port]),"")</f>
        <v>Beira</v>
      </c>
      <c r="E29" s="65"/>
      <c r="F29" s="65"/>
      <c r="G29" s="66"/>
      <c r="H29" s="66"/>
      <c r="I29" s="71" t="str">
        <f>IFERROR(_xlfn.XLOOKUP($O$5,DealsMaster[Deal No.],DealsMaster[Destination]),"")</f>
        <v>Lusaka</v>
      </c>
      <c r="J29" s="71" t="str">
        <f>IFERROR(_xlfn.XLOOKUP($O$5,DealsMaster[Deal No.],DealsMaster[Product]),"")</f>
        <v>PMS</v>
      </c>
      <c r="K29" s="64"/>
      <c r="L29" s="64"/>
      <c r="M29" s="56" t="str">
        <f t="shared" si="1"/>
        <v/>
      </c>
      <c r="N29" s="57">
        <f t="shared" si="2"/>
        <v>2</v>
      </c>
      <c r="O29" s="58" t="str">
        <f t="shared" si="3"/>
        <v/>
      </c>
      <c r="P29" s="59" t="str">
        <f t="shared" si="4"/>
        <v/>
      </c>
    </row>
    <row r="30" spans="1:16" ht="21.95" customHeight="1" x14ac:dyDescent="0.25">
      <c r="A30" s="54">
        <f t="shared" si="0"/>
        <v>191609</v>
      </c>
      <c r="B30" s="55" t="str">
        <f>IFERROR(_xlfn.XLOOKUP($O$5,DealsMaster[Deal No.],DealsMaster[Consignee]),"")</f>
        <v>Rubis Energy Zambia</v>
      </c>
      <c r="C30" s="64"/>
      <c r="D30" s="70" t="str">
        <f>IFERROR(_xlfn.XLOOKUP($O$5,DealsMaster[Deal No.],DealsMaster[Loading Port]),"")</f>
        <v>Beira</v>
      </c>
      <c r="E30" s="65"/>
      <c r="F30" s="65"/>
      <c r="G30" s="66"/>
      <c r="H30" s="66"/>
      <c r="I30" s="71" t="str">
        <f>IFERROR(_xlfn.XLOOKUP($O$5,DealsMaster[Deal No.],DealsMaster[Destination]),"")</f>
        <v>Lusaka</v>
      </c>
      <c r="J30" s="71" t="str">
        <f>IFERROR(_xlfn.XLOOKUP($O$5,DealsMaster[Deal No.],DealsMaster[Product]),"")</f>
        <v>PMS</v>
      </c>
      <c r="K30" s="64"/>
      <c r="L30" s="64"/>
      <c r="M30" s="56" t="str">
        <f t="shared" si="1"/>
        <v/>
      </c>
      <c r="N30" s="57">
        <f t="shared" si="2"/>
        <v>2</v>
      </c>
      <c r="O30" s="58" t="str">
        <f t="shared" si="3"/>
        <v/>
      </c>
      <c r="P30" s="59" t="str">
        <f t="shared" si="4"/>
        <v/>
      </c>
    </row>
    <row r="31" spans="1:16" ht="21.95" customHeight="1" x14ac:dyDescent="0.25">
      <c r="A31" s="54">
        <f t="shared" si="0"/>
        <v>191609</v>
      </c>
      <c r="B31" s="55" t="str">
        <f>IFERROR(_xlfn.XLOOKUP($O$5,DealsMaster[Deal No.],DealsMaster[Consignee]),"")</f>
        <v>Rubis Energy Zambia</v>
      </c>
      <c r="C31" s="64"/>
      <c r="D31" s="70" t="str">
        <f>IFERROR(_xlfn.XLOOKUP($O$5,DealsMaster[Deal No.],DealsMaster[Loading Port]),"")</f>
        <v>Beira</v>
      </c>
      <c r="E31" s="65"/>
      <c r="F31" s="65"/>
      <c r="G31" s="66"/>
      <c r="H31" s="66"/>
      <c r="I31" s="71" t="str">
        <f>IFERROR(_xlfn.XLOOKUP($O$5,DealsMaster[Deal No.],DealsMaster[Destination]),"")</f>
        <v>Lusaka</v>
      </c>
      <c r="J31" s="71" t="str">
        <f>IFERROR(_xlfn.XLOOKUP($O$5,DealsMaster[Deal No.],DealsMaster[Product]),"")</f>
        <v>PMS</v>
      </c>
      <c r="K31" s="64"/>
      <c r="L31" s="64"/>
      <c r="M31" s="56" t="str">
        <f t="shared" si="1"/>
        <v/>
      </c>
      <c r="N31" s="57">
        <f t="shared" si="2"/>
        <v>2</v>
      </c>
      <c r="O31" s="58" t="str">
        <f t="shared" si="3"/>
        <v/>
      </c>
      <c r="P31" s="59" t="str">
        <f t="shared" si="4"/>
        <v/>
      </c>
    </row>
    <row r="32" spans="1:16" ht="15.75" thickBot="1" x14ac:dyDescent="0.3">
      <c r="A32" s="60" t="s">
        <v>14</v>
      </c>
      <c r="B32" s="61"/>
      <c r="C32" s="62"/>
      <c r="D32" s="62"/>
      <c r="E32" s="62"/>
      <c r="F32" s="62"/>
      <c r="G32" s="61"/>
      <c r="H32" s="61"/>
      <c r="I32" s="61"/>
      <c r="J32" s="61"/>
      <c r="K32" s="62"/>
      <c r="L32" s="62"/>
      <c r="M32" s="62"/>
      <c r="N32" s="62"/>
      <c r="O32" s="62"/>
      <c r="P32" s="63">
        <f>SUBTOTAL(109,P10:P31)</f>
        <v>0</v>
      </c>
    </row>
    <row r="33" spans="14:14" x14ac:dyDescent="0.25">
      <c r="N33" s="1"/>
    </row>
    <row r="34" spans="14:14" x14ac:dyDescent="0.25">
      <c r="N34" s="1"/>
    </row>
    <row r="35" spans="14:14" x14ac:dyDescent="0.25">
      <c r="N35" s="1"/>
    </row>
    <row r="36" spans="14:14" x14ac:dyDescent="0.25">
      <c r="N36" s="1"/>
    </row>
    <row r="37" spans="14:14" x14ac:dyDescent="0.25">
      <c r="N37" s="1"/>
    </row>
    <row r="38" spans="14:14" x14ac:dyDescent="0.25">
      <c r="N38" s="1"/>
    </row>
    <row r="39" spans="14:14" x14ac:dyDescent="0.25">
      <c r="N39" s="1"/>
    </row>
    <row r="40" spans="14:14" x14ac:dyDescent="0.25">
      <c r="N40" s="1"/>
    </row>
    <row r="41" spans="14:14" x14ac:dyDescent="0.25">
      <c r="N41" s="1"/>
    </row>
    <row r="42" spans="14:14" x14ac:dyDescent="0.25">
      <c r="N42" s="1"/>
    </row>
    <row r="43" spans="14:14" x14ac:dyDescent="0.25">
      <c r="N43" s="1"/>
    </row>
    <row r="44" spans="14:14" x14ac:dyDescent="0.25">
      <c r="N44" s="1"/>
    </row>
    <row r="45" spans="14:14" x14ac:dyDescent="0.25">
      <c r="N45" s="1"/>
    </row>
    <row r="46" spans="14:14" x14ac:dyDescent="0.25">
      <c r="N46" s="1"/>
    </row>
    <row r="47" spans="14:14" x14ac:dyDescent="0.25">
      <c r="N47" s="1"/>
    </row>
    <row r="48" spans="14:14" x14ac:dyDescent="0.25">
      <c r="N48" s="1"/>
    </row>
    <row r="49" spans="14:14" x14ac:dyDescent="0.25">
      <c r="N49" s="1"/>
    </row>
    <row r="50" spans="14:14" x14ac:dyDescent="0.25">
      <c r="N50" s="1"/>
    </row>
    <row r="51" spans="14:14" x14ac:dyDescent="0.25">
      <c r="N51" s="1"/>
    </row>
    <row r="52" spans="14:14" x14ac:dyDescent="0.25">
      <c r="N52" s="1"/>
    </row>
    <row r="53" spans="14:14" x14ac:dyDescent="0.25">
      <c r="N53" s="1"/>
    </row>
    <row r="54" spans="14:14" x14ac:dyDescent="0.25">
      <c r="N54" s="1"/>
    </row>
    <row r="55" spans="14:14" x14ac:dyDescent="0.25">
      <c r="N55" s="1"/>
    </row>
  </sheetData>
  <sheetProtection autoFilter="0"/>
  <mergeCells count="9">
    <mergeCell ref="C5:E7"/>
    <mergeCell ref="F5:H7"/>
    <mergeCell ref="A1:B1"/>
    <mergeCell ref="C1:P1"/>
    <mergeCell ref="A2:P2"/>
    <mergeCell ref="C3:O3"/>
    <mergeCell ref="C4:E4"/>
    <mergeCell ref="F4:H4"/>
    <mergeCell ref="N4:O4"/>
  </mergeCells>
  <dataValidations count="6">
    <dataValidation type="date" allowBlank="1" showInputMessage="1" showErrorMessage="1" errorTitle="Invalid date" error="Please enter a valid date (e.g. 15-Jan-2025). Text entries are not allowed." promptTitle="Offloaded Date" prompt="Enter a date between 2020 and 2030." sqref="L10:L31" xr:uid="{A6C3A23A-BA8B-4DBA-AB86-AAF03B382FEB}">
      <formula1>43831</formula1>
      <formula2>47848</formula2>
    </dataValidation>
    <dataValidation type="date" allowBlank="1" showInputMessage="1" showErrorMessage="1" errorTitle="Invalid date" error="Please enter a valid date (e.g. 15-Jan-2025). Text entries are not allowed." promptTitle="Arrival Date" prompt="Enter a date between 2020 and 2030." sqref="K10:K31" xr:uid="{10B271E0-249E-48DD-A744-62B0352F8EF3}">
      <formula1>43831</formula1>
      <formula2>47848</formula2>
    </dataValidation>
    <dataValidation type="date" allowBlank="1" showInputMessage="1" showErrorMessage="1" errorTitle="Invalid date" error="Please enter a valid date (e.g. 15-Jan-2025). Text entries are not allowed." promptTitle="Date Loaded" prompt="Enter a date between 2020 and 2030." sqref="C10:C31" xr:uid="{AF747D5C-F6E2-4C86-94BF-5B1A1E802631}">
      <formula1>43831</formula1>
      <formula2>47848</formula2>
    </dataValidation>
    <dataValidation type="list" allowBlank="1" showInputMessage="1" showErrorMessage="1" errorTitle="Invalid entry" error="Please pick a value from the list." sqref="D10:D31" xr:uid="{92757D01-C89B-44F6-8FF3-5756A57682B5}">
      <formula1>"Dar Es Salaam,Beira"</formula1>
    </dataValidation>
    <dataValidation type="list" allowBlank="1" showInputMessage="1" showErrorMessage="1" errorTitle="Invalid entry" error="Please pick a value from the list." sqref="I10:I31" xr:uid="{33CDBDAB-F31C-44E7-865B-EAC6243FA140}">
      <formula1>"Lusaka,Lubumbashi,Chipata"</formula1>
    </dataValidation>
    <dataValidation type="list" allowBlank="1" showInputMessage="1" showErrorMessage="1" errorTitle="Invalid entry" error="Please pick a value from the list." sqref="J10:J31" xr:uid="{F19BF9C4-B53A-4AD9-9996-DC79AABE2046}">
      <formula1>"PMS,AGO"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EB4D0-2A42-489F-A702-15F485691610}">
  <sheetPr>
    <tabColor rgb="FFF2B233"/>
  </sheetPr>
  <dimension ref="A1:P55"/>
  <sheetViews>
    <sheetView showGridLines="0" zoomScaleNormal="100" workbookViewId="0">
      <pane ySplit="9" topLeftCell="A10" activePane="bottomLeft" state="frozen"/>
      <selection activeCell="M1" sqref="M1"/>
      <selection pane="bottomLeft" activeCell="C10" sqref="C10"/>
    </sheetView>
  </sheetViews>
  <sheetFormatPr defaultRowHeight="15" x14ac:dyDescent="0.25"/>
  <cols>
    <col min="1" max="1" width="21" customWidth="1"/>
    <col min="2" max="2" width="31.42578125" customWidth="1"/>
    <col min="3" max="3" width="19" customWidth="1"/>
    <col min="4" max="4" width="24.7109375" customWidth="1"/>
    <col min="5" max="5" width="18.140625" customWidth="1"/>
    <col min="6" max="6" width="19" customWidth="1"/>
    <col min="7" max="8" width="26.7109375" customWidth="1"/>
    <col min="9" max="9" width="21.85546875" customWidth="1"/>
    <col min="10" max="10" width="15.28515625" customWidth="1"/>
    <col min="11" max="12" width="21.85546875" customWidth="1"/>
    <col min="13" max="13" width="17.140625" customWidth="1"/>
    <col min="14" max="14" width="18.140625" customWidth="1"/>
    <col min="15" max="15" width="21.85546875" customWidth="1"/>
    <col min="16" max="16" width="27.5703125" customWidth="1"/>
  </cols>
  <sheetData>
    <row r="1" spans="1:16" ht="60" customHeight="1" x14ac:dyDescent="0.25">
      <c r="A1" s="88"/>
      <c r="B1" s="89"/>
      <c r="C1" s="90" t="str">
        <f>IF(O5=0,"DEMURRAGE CALCULATION  —  [ENTER DEAL NO. ABOVE]","DEMURRAGE CALCULATION  —  "&amp;TEXT(O5,"0")&amp;" - "&amp;UPPER(IFERROR(_xlfn.XLOOKUP(O5,DealsMaster[Deal No.],DealsMaster[Consignee]),""))&amp;" - "&amp;UPPER(IFERROR(_xlfn.XLOOKUP(O5,DealsMaster[Deal No.],DealsMaster[Route]),"")))</f>
        <v>DEMURRAGE CALCULATION  —  191610 - RUBIS ENERGY ZAMBIA - BEIRA → LUSAKA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</row>
    <row r="2" spans="1:16" ht="6" customHeight="1" x14ac:dyDescent="0.25">
      <c r="A2" s="91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</row>
    <row r="3" spans="1:16" ht="20.100000000000001" customHeight="1" x14ac:dyDescent="0.25">
      <c r="C3" s="92" t="s">
        <v>27</v>
      </c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</row>
    <row r="4" spans="1:16" ht="20.100000000000001" customHeight="1" x14ac:dyDescent="0.25">
      <c r="C4" s="93" t="s">
        <v>28</v>
      </c>
      <c r="D4" s="94"/>
      <c r="E4" s="94"/>
      <c r="F4" s="95" t="s">
        <v>29</v>
      </c>
      <c r="G4" s="94"/>
      <c r="H4" s="94"/>
      <c r="I4" s="49"/>
      <c r="J4" s="49"/>
      <c r="K4" s="49"/>
      <c r="L4" s="49"/>
      <c r="M4" s="49"/>
      <c r="N4" s="93" t="s">
        <v>30</v>
      </c>
      <c r="O4" s="94"/>
    </row>
    <row r="5" spans="1:16" ht="18" customHeight="1" x14ac:dyDescent="0.25">
      <c r="C5" s="78">
        <f>SUM('191610-RUBIS-BEIRA-LSK'!$P$10:$P$31)</f>
        <v>0</v>
      </c>
      <c r="D5" s="79"/>
      <c r="E5" s="79"/>
      <c r="F5" s="83" t="str">
        <f>COUNTIF('191610-RUBIS-BEIRA-LSK'!$O$10:$O$31,"DEMURRAGE")&amp;" / "&amp;COUNTA('191610-RUBIS-BEIRA-LSK'!$A$10:$A$31)</f>
        <v>0 / 22</v>
      </c>
      <c r="G5" s="84"/>
      <c r="H5" s="84"/>
      <c r="I5" s="49"/>
      <c r="J5" s="49"/>
      <c r="K5" s="49"/>
      <c r="L5" s="49"/>
      <c r="M5" s="49"/>
      <c r="N5" s="5" t="s">
        <v>21</v>
      </c>
      <c r="O5" s="75">
        <v>191610</v>
      </c>
    </row>
    <row r="6" spans="1:16" ht="18" customHeight="1" x14ac:dyDescent="0.25">
      <c r="C6" s="80"/>
      <c r="D6" s="79"/>
      <c r="E6" s="79"/>
      <c r="F6" s="85"/>
      <c r="G6" s="84"/>
      <c r="H6" s="84"/>
      <c r="I6" s="49"/>
      <c r="J6" s="49"/>
      <c r="K6" s="49"/>
      <c r="L6" s="49"/>
      <c r="M6" s="49"/>
      <c r="N6" s="5" t="s">
        <v>31</v>
      </c>
      <c r="O6" s="36">
        <f>IFERROR(_xlfn.XLOOKUP($O$5,DealsMaster[Deal No.],DealsMaster[Laytime Allowance (days)]),0)</f>
        <v>2</v>
      </c>
    </row>
    <row r="7" spans="1:16" ht="18" customHeight="1" x14ac:dyDescent="0.25">
      <c r="C7" s="81"/>
      <c r="D7" s="82"/>
      <c r="E7" s="82"/>
      <c r="F7" s="86"/>
      <c r="G7" s="87"/>
      <c r="H7" s="87"/>
      <c r="I7" s="49"/>
      <c r="J7" s="49"/>
      <c r="K7" s="49"/>
      <c r="L7" s="49"/>
      <c r="M7" s="49"/>
      <c r="N7" s="6" t="s">
        <v>32</v>
      </c>
      <c r="O7" s="74">
        <f>IFERROR(_xlfn.XLOOKUP($O$5,DealsMaster[Deal No.],DealsMaster[Demurrage Rate (USD/day)]),0)</f>
        <v>250</v>
      </c>
    </row>
    <row r="8" spans="1:16" ht="15.75" thickBot="1" x14ac:dyDescent="0.3">
      <c r="A8" s="48" t="s">
        <v>53</v>
      </c>
      <c r="B8" s="12" t="s">
        <v>54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6" ht="44.1" customHeight="1" x14ac:dyDescent="0.25">
      <c r="A9" s="50" t="s">
        <v>0</v>
      </c>
      <c r="B9" s="51" t="s">
        <v>1</v>
      </c>
      <c r="C9" s="51" t="s">
        <v>2</v>
      </c>
      <c r="D9" s="51" t="s">
        <v>19</v>
      </c>
      <c r="E9" s="51" t="s">
        <v>3</v>
      </c>
      <c r="F9" s="51" t="s">
        <v>4</v>
      </c>
      <c r="G9" s="51" t="s">
        <v>5</v>
      </c>
      <c r="H9" s="51" t="s">
        <v>6</v>
      </c>
      <c r="I9" s="51" t="s">
        <v>7</v>
      </c>
      <c r="J9" s="51" t="s">
        <v>8</v>
      </c>
      <c r="K9" s="51" t="s">
        <v>9</v>
      </c>
      <c r="L9" s="51" t="s">
        <v>10</v>
      </c>
      <c r="M9" s="51" t="s">
        <v>11</v>
      </c>
      <c r="N9" s="52" t="s">
        <v>25</v>
      </c>
      <c r="O9" s="52" t="s">
        <v>26</v>
      </c>
      <c r="P9" s="53" t="s">
        <v>13</v>
      </c>
    </row>
    <row r="10" spans="1:16" ht="21.95" customHeight="1" x14ac:dyDescent="0.25">
      <c r="A10" s="54">
        <f>$O$5</f>
        <v>191610</v>
      </c>
      <c r="B10" s="55" t="str">
        <f>IFERROR(_xlfn.XLOOKUP($O$5,DealsMaster[Deal No.],DealsMaster[Consignee]),"")</f>
        <v>Rubis Energy Zambia</v>
      </c>
      <c r="C10" s="64">
        <v>46151</v>
      </c>
      <c r="D10" s="70" t="str">
        <f>IFERROR(_xlfn.XLOOKUP($O$5,DealsMaster[Deal No.],DealsMaster[Loading Port]),"")</f>
        <v>Beira</v>
      </c>
      <c r="E10" s="65"/>
      <c r="F10" s="65"/>
      <c r="G10" s="66"/>
      <c r="H10" s="66"/>
      <c r="I10" s="71" t="str">
        <f>IFERROR(_xlfn.XLOOKUP($O$5,DealsMaster[Deal No.],DealsMaster[Destination]),"")</f>
        <v>Lusaka</v>
      </c>
      <c r="J10" s="71" t="str">
        <f>IFERROR(_xlfn.XLOOKUP($O$5,DealsMaster[Deal No.],DealsMaster[Product]),"")</f>
        <v>PMS</v>
      </c>
      <c r="K10" s="64"/>
      <c r="L10" s="64"/>
      <c r="M10" s="56" t="str">
        <f>IF(OR(K10="",L10=""),"",L10-K10)</f>
        <v/>
      </c>
      <c r="N10" s="57">
        <f>$O$6</f>
        <v>2</v>
      </c>
      <c r="O10" s="58" t="str">
        <f>IF(AND(C10&lt;&gt;"",K10&lt;&gt;"",K10&lt;C10),"⚠ Arrival &lt; Loaded",IF(AND(K10&lt;&gt;"",L10&lt;&gt;"",L10&lt;K10),"⚠ Offloaded &lt; Arrival",IF(M10="","",IF(M10&gt;N10,"DEMURRAGE","OK"))))</f>
        <v/>
      </c>
      <c r="P10" s="59" t="str">
        <f>IF(M10="","",MAX(0,M10-N10)*$O$7)</f>
        <v/>
      </c>
    </row>
    <row r="11" spans="1:16" ht="21.95" customHeight="1" x14ac:dyDescent="0.25">
      <c r="A11" s="54">
        <f t="shared" ref="A11:A31" si="0">$O$5</f>
        <v>191610</v>
      </c>
      <c r="B11" s="55" t="str">
        <f>IFERROR(_xlfn.XLOOKUP($O$5,DealsMaster[Deal No.],DealsMaster[Consignee]),"")</f>
        <v>Rubis Energy Zambia</v>
      </c>
      <c r="C11" s="64">
        <v>46150</v>
      </c>
      <c r="D11" s="70" t="str">
        <f>IFERROR(_xlfn.XLOOKUP($O$5,DealsMaster[Deal No.],DealsMaster[Loading Port]),"")</f>
        <v>Beira</v>
      </c>
      <c r="E11" s="65"/>
      <c r="F11" s="65"/>
      <c r="G11" s="66"/>
      <c r="H11" s="66"/>
      <c r="I11" s="71" t="str">
        <f>IFERROR(_xlfn.XLOOKUP($O$5,DealsMaster[Deal No.],DealsMaster[Destination]),"")</f>
        <v>Lusaka</v>
      </c>
      <c r="J11" s="71" t="str">
        <f>IFERROR(_xlfn.XLOOKUP($O$5,DealsMaster[Deal No.],DealsMaster[Product]),"")</f>
        <v>PMS</v>
      </c>
      <c r="K11" s="64"/>
      <c r="L11" s="64"/>
      <c r="M11" s="56" t="str">
        <f t="shared" ref="M11:M31" si="1">IF(OR(K11="",L11=""),"",L11-K11)</f>
        <v/>
      </c>
      <c r="N11" s="57">
        <f t="shared" ref="N11:N31" si="2">$O$6</f>
        <v>2</v>
      </c>
      <c r="O11" s="58" t="str">
        <f t="shared" ref="O11:O31" si="3">IF(AND(C11&lt;&gt;"",K11&lt;&gt;"",K11&lt;C11),"⚠ Arrival &lt; Loaded",IF(AND(K11&lt;&gt;"",L11&lt;&gt;"",L11&lt;K11),"⚠ Offloaded &lt; Arrival",IF(M11="","",IF(M11&gt;N11,"DEMURRAGE","OK"))))</f>
        <v/>
      </c>
      <c r="P11" s="59" t="str">
        <f t="shared" ref="P11:P31" si="4">IF(M11="","",MAX(0,M11-N11)*$O$7)</f>
        <v/>
      </c>
    </row>
    <row r="12" spans="1:16" ht="21.95" customHeight="1" x14ac:dyDescent="0.25">
      <c r="A12" s="54">
        <f t="shared" si="0"/>
        <v>191610</v>
      </c>
      <c r="B12" s="55" t="str">
        <f>IFERROR(_xlfn.XLOOKUP($O$5,DealsMaster[Deal No.],DealsMaster[Consignee]),"")</f>
        <v>Rubis Energy Zambia</v>
      </c>
      <c r="C12" s="64">
        <v>46151</v>
      </c>
      <c r="D12" s="70" t="str">
        <f>IFERROR(_xlfn.XLOOKUP($O$5,DealsMaster[Deal No.],DealsMaster[Loading Port]),"")</f>
        <v>Beira</v>
      </c>
      <c r="E12" s="65"/>
      <c r="F12" s="65"/>
      <c r="G12" s="66"/>
      <c r="H12" s="66"/>
      <c r="I12" s="71" t="str">
        <f>IFERROR(_xlfn.XLOOKUP($O$5,DealsMaster[Deal No.],DealsMaster[Destination]),"")</f>
        <v>Lusaka</v>
      </c>
      <c r="J12" s="71" t="str">
        <f>IFERROR(_xlfn.XLOOKUP($O$5,DealsMaster[Deal No.],DealsMaster[Product]),"")</f>
        <v>PMS</v>
      </c>
      <c r="K12" s="64"/>
      <c r="L12" s="64"/>
      <c r="M12" s="56" t="str">
        <f t="shared" si="1"/>
        <v/>
      </c>
      <c r="N12" s="57">
        <f t="shared" si="2"/>
        <v>2</v>
      </c>
      <c r="O12" s="58" t="str">
        <f t="shared" si="3"/>
        <v/>
      </c>
      <c r="P12" s="59" t="str">
        <f t="shared" si="4"/>
        <v/>
      </c>
    </row>
    <row r="13" spans="1:16" ht="21.95" customHeight="1" x14ac:dyDescent="0.25">
      <c r="A13" s="54">
        <f t="shared" si="0"/>
        <v>191610</v>
      </c>
      <c r="B13" s="55" t="str">
        <f>IFERROR(_xlfn.XLOOKUP($O$5,DealsMaster[Deal No.],DealsMaster[Consignee]),"")</f>
        <v>Rubis Energy Zambia</v>
      </c>
      <c r="C13" s="64">
        <v>46151</v>
      </c>
      <c r="D13" s="70" t="str">
        <f>IFERROR(_xlfn.XLOOKUP($O$5,DealsMaster[Deal No.],DealsMaster[Loading Port]),"")</f>
        <v>Beira</v>
      </c>
      <c r="E13" s="65"/>
      <c r="F13" s="65"/>
      <c r="G13" s="66"/>
      <c r="H13" s="66"/>
      <c r="I13" s="71" t="str">
        <f>IFERROR(_xlfn.XLOOKUP($O$5,DealsMaster[Deal No.],DealsMaster[Destination]),"")</f>
        <v>Lusaka</v>
      </c>
      <c r="J13" s="71" t="str">
        <f>IFERROR(_xlfn.XLOOKUP($O$5,DealsMaster[Deal No.],DealsMaster[Product]),"")</f>
        <v>PMS</v>
      </c>
      <c r="K13" s="64"/>
      <c r="L13" s="64"/>
      <c r="M13" s="56" t="str">
        <f t="shared" si="1"/>
        <v/>
      </c>
      <c r="N13" s="57">
        <f t="shared" si="2"/>
        <v>2</v>
      </c>
      <c r="O13" s="58" t="str">
        <f t="shared" si="3"/>
        <v/>
      </c>
      <c r="P13" s="59" t="str">
        <f t="shared" si="4"/>
        <v/>
      </c>
    </row>
    <row r="14" spans="1:16" ht="21.95" customHeight="1" x14ac:dyDescent="0.25">
      <c r="A14" s="54">
        <f t="shared" si="0"/>
        <v>191610</v>
      </c>
      <c r="B14" s="55" t="str">
        <f>IFERROR(_xlfn.XLOOKUP($O$5,DealsMaster[Deal No.],DealsMaster[Consignee]),"")</f>
        <v>Rubis Energy Zambia</v>
      </c>
      <c r="C14" s="64">
        <v>46151</v>
      </c>
      <c r="D14" s="70" t="str">
        <f>IFERROR(_xlfn.XLOOKUP($O$5,DealsMaster[Deal No.],DealsMaster[Loading Port]),"")</f>
        <v>Beira</v>
      </c>
      <c r="E14" s="65"/>
      <c r="F14" s="65"/>
      <c r="G14" s="66"/>
      <c r="H14" s="66"/>
      <c r="I14" s="71" t="str">
        <f>IFERROR(_xlfn.XLOOKUP($O$5,DealsMaster[Deal No.],DealsMaster[Destination]),"")</f>
        <v>Lusaka</v>
      </c>
      <c r="J14" s="71" t="str">
        <f>IFERROR(_xlfn.XLOOKUP($O$5,DealsMaster[Deal No.],DealsMaster[Product]),"")</f>
        <v>PMS</v>
      </c>
      <c r="K14" s="64"/>
      <c r="L14" s="64"/>
      <c r="M14" s="56" t="str">
        <f t="shared" si="1"/>
        <v/>
      </c>
      <c r="N14" s="57">
        <f t="shared" si="2"/>
        <v>2</v>
      </c>
      <c r="O14" s="58" t="str">
        <f t="shared" si="3"/>
        <v/>
      </c>
      <c r="P14" s="59" t="str">
        <f t="shared" si="4"/>
        <v/>
      </c>
    </row>
    <row r="15" spans="1:16" ht="21.95" customHeight="1" x14ac:dyDescent="0.25">
      <c r="A15" s="54">
        <f t="shared" si="0"/>
        <v>191610</v>
      </c>
      <c r="B15" s="55" t="str">
        <f>IFERROR(_xlfn.XLOOKUP($O$5,DealsMaster[Deal No.],DealsMaster[Consignee]),"")</f>
        <v>Rubis Energy Zambia</v>
      </c>
      <c r="C15" s="64">
        <v>46150</v>
      </c>
      <c r="D15" s="70" t="str">
        <f>IFERROR(_xlfn.XLOOKUP($O$5,DealsMaster[Deal No.],DealsMaster[Loading Port]),"")</f>
        <v>Beira</v>
      </c>
      <c r="E15" s="65"/>
      <c r="F15" s="65"/>
      <c r="G15" s="66"/>
      <c r="H15" s="66"/>
      <c r="I15" s="71" t="str">
        <f>IFERROR(_xlfn.XLOOKUP($O$5,DealsMaster[Deal No.],DealsMaster[Destination]),"")</f>
        <v>Lusaka</v>
      </c>
      <c r="J15" s="71" t="str">
        <f>IFERROR(_xlfn.XLOOKUP($O$5,DealsMaster[Deal No.],DealsMaster[Product]),"")</f>
        <v>PMS</v>
      </c>
      <c r="K15" s="64"/>
      <c r="L15" s="64"/>
      <c r="M15" s="56" t="str">
        <f t="shared" si="1"/>
        <v/>
      </c>
      <c r="N15" s="57">
        <f t="shared" si="2"/>
        <v>2</v>
      </c>
      <c r="O15" s="58" t="str">
        <f t="shared" si="3"/>
        <v/>
      </c>
      <c r="P15" s="59" t="str">
        <f t="shared" si="4"/>
        <v/>
      </c>
    </row>
    <row r="16" spans="1:16" ht="21.95" customHeight="1" x14ac:dyDescent="0.25">
      <c r="A16" s="54">
        <f t="shared" si="0"/>
        <v>191610</v>
      </c>
      <c r="B16" s="55" t="str">
        <f>IFERROR(_xlfn.XLOOKUP($O$5,DealsMaster[Deal No.],DealsMaster[Consignee]),"")</f>
        <v>Rubis Energy Zambia</v>
      </c>
      <c r="C16" s="64">
        <v>46150</v>
      </c>
      <c r="D16" s="70" t="str">
        <f>IFERROR(_xlfn.XLOOKUP($O$5,DealsMaster[Deal No.],DealsMaster[Loading Port]),"")</f>
        <v>Beira</v>
      </c>
      <c r="E16" s="65"/>
      <c r="F16" s="65"/>
      <c r="G16" s="66"/>
      <c r="H16" s="66"/>
      <c r="I16" s="71" t="str">
        <f>IFERROR(_xlfn.XLOOKUP($O$5,DealsMaster[Deal No.],DealsMaster[Destination]),"")</f>
        <v>Lusaka</v>
      </c>
      <c r="J16" s="71" t="str">
        <f>IFERROR(_xlfn.XLOOKUP($O$5,DealsMaster[Deal No.],DealsMaster[Product]),"")</f>
        <v>PMS</v>
      </c>
      <c r="K16" s="64"/>
      <c r="L16" s="64"/>
      <c r="M16" s="56" t="str">
        <f t="shared" si="1"/>
        <v/>
      </c>
      <c r="N16" s="57">
        <f t="shared" si="2"/>
        <v>2</v>
      </c>
      <c r="O16" s="58" t="str">
        <f t="shared" si="3"/>
        <v/>
      </c>
      <c r="P16" s="59" t="str">
        <f t="shared" si="4"/>
        <v/>
      </c>
    </row>
    <row r="17" spans="1:16" ht="21.95" customHeight="1" x14ac:dyDescent="0.25">
      <c r="A17" s="54">
        <f t="shared" si="0"/>
        <v>191610</v>
      </c>
      <c r="B17" s="55" t="str">
        <f>IFERROR(_xlfn.XLOOKUP($O$5,DealsMaster[Deal No.],DealsMaster[Consignee]),"")</f>
        <v>Rubis Energy Zambia</v>
      </c>
      <c r="C17" s="64">
        <v>46150</v>
      </c>
      <c r="D17" s="70" t="str">
        <f>IFERROR(_xlfn.XLOOKUP($O$5,DealsMaster[Deal No.],DealsMaster[Loading Port]),"")</f>
        <v>Beira</v>
      </c>
      <c r="E17" s="65"/>
      <c r="F17" s="65"/>
      <c r="G17" s="66"/>
      <c r="H17" s="66"/>
      <c r="I17" s="71" t="str">
        <f>IFERROR(_xlfn.XLOOKUP($O$5,DealsMaster[Deal No.],DealsMaster[Destination]),"")</f>
        <v>Lusaka</v>
      </c>
      <c r="J17" s="71" t="str">
        <f>IFERROR(_xlfn.XLOOKUP($O$5,DealsMaster[Deal No.],DealsMaster[Product]),"")</f>
        <v>PMS</v>
      </c>
      <c r="K17" s="64"/>
      <c r="L17" s="64"/>
      <c r="M17" s="56" t="str">
        <f t="shared" si="1"/>
        <v/>
      </c>
      <c r="N17" s="57">
        <f t="shared" si="2"/>
        <v>2</v>
      </c>
      <c r="O17" s="58" t="str">
        <f t="shared" si="3"/>
        <v/>
      </c>
      <c r="P17" s="59" t="str">
        <f t="shared" si="4"/>
        <v/>
      </c>
    </row>
    <row r="18" spans="1:16" ht="21.95" customHeight="1" x14ac:dyDescent="0.25">
      <c r="A18" s="54">
        <f t="shared" si="0"/>
        <v>191610</v>
      </c>
      <c r="B18" s="55" t="str">
        <f>IFERROR(_xlfn.XLOOKUP($O$5,DealsMaster[Deal No.],DealsMaster[Consignee]),"")</f>
        <v>Rubis Energy Zambia</v>
      </c>
      <c r="C18" s="64">
        <v>46151</v>
      </c>
      <c r="D18" s="70" t="str">
        <f>IFERROR(_xlfn.XLOOKUP($O$5,DealsMaster[Deal No.],DealsMaster[Loading Port]),"")</f>
        <v>Beira</v>
      </c>
      <c r="E18" s="65"/>
      <c r="F18" s="65"/>
      <c r="G18" s="66"/>
      <c r="H18" s="66"/>
      <c r="I18" s="71" t="str">
        <f>IFERROR(_xlfn.XLOOKUP($O$5,DealsMaster[Deal No.],DealsMaster[Destination]),"")</f>
        <v>Lusaka</v>
      </c>
      <c r="J18" s="71" t="str">
        <f>IFERROR(_xlfn.XLOOKUP($O$5,DealsMaster[Deal No.],DealsMaster[Product]),"")</f>
        <v>PMS</v>
      </c>
      <c r="K18" s="64"/>
      <c r="L18" s="64"/>
      <c r="M18" s="56" t="str">
        <f t="shared" si="1"/>
        <v/>
      </c>
      <c r="N18" s="57">
        <f t="shared" si="2"/>
        <v>2</v>
      </c>
      <c r="O18" s="58" t="str">
        <f t="shared" si="3"/>
        <v/>
      </c>
      <c r="P18" s="59" t="str">
        <f t="shared" si="4"/>
        <v/>
      </c>
    </row>
    <row r="19" spans="1:16" ht="21.95" customHeight="1" x14ac:dyDescent="0.25">
      <c r="A19" s="54">
        <f t="shared" si="0"/>
        <v>191610</v>
      </c>
      <c r="B19" s="55" t="str">
        <f>IFERROR(_xlfn.XLOOKUP($O$5,DealsMaster[Deal No.],DealsMaster[Consignee]),"")</f>
        <v>Rubis Energy Zambia</v>
      </c>
      <c r="C19" s="64">
        <v>46151</v>
      </c>
      <c r="D19" s="70" t="str">
        <f>IFERROR(_xlfn.XLOOKUP($O$5,DealsMaster[Deal No.],DealsMaster[Loading Port]),"")</f>
        <v>Beira</v>
      </c>
      <c r="E19" s="65"/>
      <c r="F19" s="65"/>
      <c r="G19" s="66"/>
      <c r="H19" s="66"/>
      <c r="I19" s="71" t="str">
        <f>IFERROR(_xlfn.XLOOKUP($O$5,DealsMaster[Deal No.],DealsMaster[Destination]),"")</f>
        <v>Lusaka</v>
      </c>
      <c r="J19" s="71" t="str">
        <f>IFERROR(_xlfn.XLOOKUP($O$5,DealsMaster[Deal No.],DealsMaster[Product]),"")</f>
        <v>PMS</v>
      </c>
      <c r="K19" s="64"/>
      <c r="L19" s="64"/>
      <c r="M19" s="56" t="str">
        <f t="shared" si="1"/>
        <v/>
      </c>
      <c r="N19" s="57">
        <f t="shared" si="2"/>
        <v>2</v>
      </c>
      <c r="O19" s="58" t="str">
        <f t="shared" si="3"/>
        <v/>
      </c>
      <c r="P19" s="59" t="str">
        <f t="shared" si="4"/>
        <v/>
      </c>
    </row>
    <row r="20" spans="1:16" ht="21.95" customHeight="1" x14ac:dyDescent="0.25">
      <c r="A20" s="54">
        <f t="shared" si="0"/>
        <v>191610</v>
      </c>
      <c r="B20" s="55" t="str">
        <f>IFERROR(_xlfn.XLOOKUP($O$5,DealsMaster[Deal No.],DealsMaster[Consignee]),"")</f>
        <v>Rubis Energy Zambia</v>
      </c>
      <c r="C20" s="64">
        <v>46150</v>
      </c>
      <c r="D20" s="70" t="str">
        <f>IFERROR(_xlfn.XLOOKUP($O$5,DealsMaster[Deal No.],DealsMaster[Loading Port]),"")</f>
        <v>Beira</v>
      </c>
      <c r="E20" s="65"/>
      <c r="F20" s="65"/>
      <c r="G20" s="66"/>
      <c r="H20" s="66"/>
      <c r="I20" s="71" t="str">
        <f>IFERROR(_xlfn.XLOOKUP($O$5,DealsMaster[Deal No.],DealsMaster[Destination]),"")</f>
        <v>Lusaka</v>
      </c>
      <c r="J20" s="71" t="str">
        <f>IFERROR(_xlfn.XLOOKUP($O$5,DealsMaster[Deal No.],DealsMaster[Product]),"")</f>
        <v>PMS</v>
      </c>
      <c r="K20" s="64"/>
      <c r="L20" s="64"/>
      <c r="M20" s="56" t="str">
        <f t="shared" si="1"/>
        <v/>
      </c>
      <c r="N20" s="57">
        <f t="shared" si="2"/>
        <v>2</v>
      </c>
      <c r="O20" s="58" t="str">
        <f t="shared" si="3"/>
        <v/>
      </c>
      <c r="P20" s="59" t="str">
        <f t="shared" si="4"/>
        <v/>
      </c>
    </row>
    <row r="21" spans="1:16" ht="21.95" customHeight="1" x14ac:dyDescent="0.25">
      <c r="A21" s="54">
        <f t="shared" si="0"/>
        <v>191610</v>
      </c>
      <c r="B21" s="55" t="str">
        <f>IFERROR(_xlfn.XLOOKUP($O$5,DealsMaster[Deal No.],DealsMaster[Consignee]),"")</f>
        <v>Rubis Energy Zambia</v>
      </c>
      <c r="C21" s="64">
        <v>46150</v>
      </c>
      <c r="D21" s="70" t="str">
        <f>IFERROR(_xlfn.XLOOKUP($O$5,DealsMaster[Deal No.],DealsMaster[Loading Port]),"")</f>
        <v>Beira</v>
      </c>
      <c r="E21" s="65"/>
      <c r="F21" s="65"/>
      <c r="G21" s="66"/>
      <c r="H21" s="66"/>
      <c r="I21" s="71" t="str">
        <f>IFERROR(_xlfn.XLOOKUP($O$5,DealsMaster[Deal No.],DealsMaster[Destination]),"")</f>
        <v>Lusaka</v>
      </c>
      <c r="J21" s="71" t="str">
        <f>IFERROR(_xlfn.XLOOKUP($O$5,DealsMaster[Deal No.],DealsMaster[Product]),"")</f>
        <v>PMS</v>
      </c>
      <c r="K21" s="64"/>
      <c r="L21" s="64"/>
      <c r="M21" s="56" t="str">
        <f t="shared" si="1"/>
        <v/>
      </c>
      <c r="N21" s="57">
        <f t="shared" si="2"/>
        <v>2</v>
      </c>
      <c r="O21" s="58" t="str">
        <f t="shared" si="3"/>
        <v/>
      </c>
      <c r="P21" s="59" t="str">
        <f t="shared" si="4"/>
        <v/>
      </c>
    </row>
    <row r="22" spans="1:16" ht="21.95" customHeight="1" x14ac:dyDescent="0.25">
      <c r="A22" s="54">
        <f t="shared" si="0"/>
        <v>191610</v>
      </c>
      <c r="B22" s="55" t="str">
        <f>IFERROR(_xlfn.XLOOKUP($O$5,DealsMaster[Deal No.],DealsMaster[Consignee]),"")</f>
        <v>Rubis Energy Zambia</v>
      </c>
      <c r="C22" s="64"/>
      <c r="D22" s="70" t="str">
        <f>IFERROR(_xlfn.XLOOKUP($O$5,DealsMaster[Deal No.],DealsMaster[Loading Port]),"")</f>
        <v>Beira</v>
      </c>
      <c r="E22" s="65"/>
      <c r="F22" s="65"/>
      <c r="G22" s="66"/>
      <c r="H22" s="66"/>
      <c r="I22" s="71" t="str">
        <f>IFERROR(_xlfn.XLOOKUP($O$5,DealsMaster[Deal No.],DealsMaster[Destination]),"")</f>
        <v>Lusaka</v>
      </c>
      <c r="J22" s="71" t="str">
        <f>IFERROR(_xlfn.XLOOKUP($O$5,DealsMaster[Deal No.],DealsMaster[Product]),"")</f>
        <v>PMS</v>
      </c>
      <c r="K22" s="64"/>
      <c r="L22" s="64"/>
      <c r="M22" s="56" t="str">
        <f t="shared" si="1"/>
        <v/>
      </c>
      <c r="N22" s="57">
        <f t="shared" si="2"/>
        <v>2</v>
      </c>
      <c r="O22" s="58" t="str">
        <f t="shared" si="3"/>
        <v/>
      </c>
      <c r="P22" s="59" t="str">
        <f t="shared" si="4"/>
        <v/>
      </c>
    </row>
    <row r="23" spans="1:16" ht="21.95" customHeight="1" x14ac:dyDescent="0.25">
      <c r="A23" s="54">
        <f t="shared" si="0"/>
        <v>191610</v>
      </c>
      <c r="B23" s="55" t="str">
        <f>IFERROR(_xlfn.XLOOKUP($O$5,DealsMaster[Deal No.],DealsMaster[Consignee]),"")</f>
        <v>Rubis Energy Zambia</v>
      </c>
      <c r="C23" s="64"/>
      <c r="D23" s="70" t="str">
        <f>IFERROR(_xlfn.XLOOKUP($O$5,DealsMaster[Deal No.],DealsMaster[Loading Port]),"")</f>
        <v>Beira</v>
      </c>
      <c r="E23" s="65"/>
      <c r="F23" s="65"/>
      <c r="G23" s="66"/>
      <c r="H23" s="66"/>
      <c r="I23" s="71" t="str">
        <f>IFERROR(_xlfn.XLOOKUP($O$5,DealsMaster[Deal No.],DealsMaster[Destination]),"")</f>
        <v>Lusaka</v>
      </c>
      <c r="J23" s="71" t="str">
        <f>IFERROR(_xlfn.XLOOKUP($O$5,DealsMaster[Deal No.],DealsMaster[Product]),"")</f>
        <v>PMS</v>
      </c>
      <c r="K23" s="64"/>
      <c r="L23" s="64"/>
      <c r="M23" s="56" t="str">
        <f t="shared" si="1"/>
        <v/>
      </c>
      <c r="N23" s="57">
        <f t="shared" si="2"/>
        <v>2</v>
      </c>
      <c r="O23" s="58" t="str">
        <f t="shared" si="3"/>
        <v/>
      </c>
      <c r="P23" s="59" t="str">
        <f t="shared" si="4"/>
        <v/>
      </c>
    </row>
    <row r="24" spans="1:16" ht="21.95" customHeight="1" x14ac:dyDescent="0.25">
      <c r="A24" s="54">
        <f t="shared" si="0"/>
        <v>191610</v>
      </c>
      <c r="B24" s="55" t="str">
        <f>IFERROR(_xlfn.XLOOKUP($O$5,DealsMaster[Deal No.],DealsMaster[Consignee]),"")</f>
        <v>Rubis Energy Zambia</v>
      </c>
      <c r="C24" s="64"/>
      <c r="D24" s="70" t="str">
        <f>IFERROR(_xlfn.XLOOKUP($O$5,DealsMaster[Deal No.],DealsMaster[Loading Port]),"")</f>
        <v>Beira</v>
      </c>
      <c r="E24" s="65"/>
      <c r="F24" s="65"/>
      <c r="G24" s="66"/>
      <c r="H24" s="66"/>
      <c r="I24" s="71" t="str">
        <f>IFERROR(_xlfn.XLOOKUP($O$5,DealsMaster[Deal No.],DealsMaster[Destination]),"")</f>
        <v>Lusaka</v>
      </c>
      <c r="J24" s="71" t="str">
        <f>IFERROR(_xlfn.XLOOKUP($O$5,DealsMaster[Deal No.],DealsMaster[Product]),"")</f>
        <v>PMS</v>
      </c>
      <c r="K24" s="64"/>
      <c r="L24" s="64"/>
      <c r="M24" s="56" t="str">
        <f t="shared" si="1"/>
        <v/>
      </c>
      <c r="N24" s="57">
        <f t="shared" si="2"/>
        <v>2</v>
      </c>
      <c r="O24" s="58" t="str">
        <f t="shared" si="3"/>
        <v/>
      </c>
      <c r="P24" s="59" t="str">
        <f t="shared" si="4"/>
        <v/>
      </c>
    </row>
    <row r="25" spans="1:16" ht="21.95" customHeight="1" x14ac:dyDescent="0.25">
      <c r="A25" s="54">
        <f t="shared" si="0"/>
        <v>191610</v>
      </c>
      <c r="B25" s="55" t="str">
        <f>IFERROR(_xlfn.XLOOKUP($O$5,DealsMaster[Deal No.],DealsMaster[Consignee]),"")</f>
        <v>Rubis Energy Zambia</v>
      </c>
      <c r="C25" s="64"/>
      <c r="D25" s="70" t="str">
        <f>IFERROR(_xlfn.XLOOKUP($O$5,DealsMaster[Deal No.],DealsMaster[Loading Port]),"")</f>
        <v>Beira</v>
      </c>
      <c r="E25" s="65"/>
      <c r="F25" s="65"/>
      <c r="G25" s="66"/>
      <c r="H25" s="66"/>
      <c r="I25" s="71" t="str">
        <f>IFERROR(_xlfn.XLOOKUP($O$5,DealsMaster[Deal No.],DealsMaster[Destination]),"")</f>
        <v>Lusaka</v>
      </c>
      <c r="J25" s="71" t="str">
        <f>IFERROR(_xlfn.XLOOKUP($O$5,DealsMaster[Deal No.],DealsMaster[Product]),"")</f>
        <v>PMS</v>
      </c>
      <c r="K25" s="64"/>
      <c r="L25" s="64"/>
      <c r="M25" s="56" t="str">
        <f t="shared" si="1"/>
        <v/>
      </c>
      <c r="N25" s="57">
        <f t="shared" si="2"/>
        <v>2</v>
      </c>
      <c r="O25" s="58" t="str">
        <f t="shared" si="3"/>
        <v/>
      </c>
      <c r="P25" s="59" t="str">
        <f t="shared" si="4"/>
        <v/>
      </c>
    </row>
    <row r="26" spans="1:16" ht="21.95" customHeight="1" x14ac:dyDescent="0.25">
      <c r="A26" s="54">
        <f t="shared" si="0"/>
        <v>191610</v>
      </c>
      <c r="B26" s="55" t="str">
        <f>IFERROR(_xlfn.XLOOKUP($O$5,DealsMaster[Deal No.],DealsMaster[Consignee]),"")</f>
        <v>Rubis Energy Zambia</v>
      </c>
      <c r="C26" s="64"/>
      <c r="D26" s="70" t="str">
        <f>IFERROR(_xlfn.XLOOKUP($O$5,DealsMaster[Deal No.],DealsMaster[Loading Port]),"")</f>
        <v>Beira</v>
      </c>
      <c r="E26" s="65"/>
      <c r="F26" s="65"/>
      <c r="G26" s="66"/>
      <c r="H26" s="66"/>
      <c r="I26" s="71" t="str">
        <f>IFERROR(_xlfn.XLOOKUP($O$5,DealsMaster[Deal No.],DealsMaster[Destination]),"")</f>
        <v>Lusaka</v>
      </c>
      <c r="J26" s="71" t="str">
        <f>IFERROR(_xlfn.XLOOKUP($O$5,DealsMaster[Deal No.],DealsMaster[Product]),"")</f>
        <v>PMS</v>
      </c>
      <c r="K26" s="64"/>
      <c r="L26" s="64"/>
      <c r="M26" s="56" t="str">
        <f t="shared" si="1"/>
        <v/>
      </c>
      <c r="N26" s="57">
        <f t="shared" si="2"/>
        <v>2</v>
      </c>
      <c r="O26" s="58" t="str">
        <f t="shared" si="3"/>
        <v/>
      </c>
      <c r="P26" s="59" t="str">
        <f t="shared" si="4"/>
        <v/>
      </c>
    </row>
    <row r="27" spans="1:16" ht="21.95" customHeight="1" x14ac:dyDescent="0.25">
      <c r="A27" s="54">
        <f t="shared" si="0"/>
        <v>191610</v>
      </c>
      <c r="B27" s="55" t="str">
        <f>IFERROR(_xlfn.XLOOKUP($O$5,DealsMaster[Deal No.],DealsMaster[Consignee]),"")</f>
        <v>Rubis Energy Zambia</v>
      </c>
      <c r="C27" s="64"/>
      <c r="D27" s="70" t="str">
        <f>IFERROR(_xlfn.XLOOKUP($O$5,DealsMaster[Deal No.],DealsMaster[Loading Port]),"")</f>
        <v>Beira</v>
      </c>
      <c r="E27" s="65"/>
      <c r="F27" s="65"/>
      <c r="G27" s="66"/>
      <c r="H27" s="66"/>
      <c r="I27" s="71" t="str">
        <f>IFERROR(_xlfn.XLOOKUP($O$5,DealsMaster[Deal No.],DealsMaster[Destination]),"")</f>
        <v>Lusaka</v>
      </c>
      <c r="J27" s="71" t="str">
        <f>IFERROR(_xlfn.XLOOKUP($O$5,DealsMaster[Deal No.],DealsMaster[Product]),"")</f>
        <v>PMS</v>
      </c>
      <c r="K27" s="64"/>
      <c r="L27" s="64"/>
      <c r="M27" s="56" t="str">
        <f t="shared" si="1"/>
        <v/>
      </c>
      <c r="N27" s="57">
        <f t="shared" si="2"/>
        <v>2</v>
      </c>
      <c r="O27" s="58" t="str">
        <f t="shared" si="3"/>
        <v/>
      </c>
      <c r="P27" s="59" t="str">
        <f t="shared" si="4"/>
        <v/>
      </c>
    </row>
    <row r="28" spans="1:16" ht="21.95" customHeight="1" x14ac:dyDescent="0.25">
      <c r="A28" s="54">
        <f t="shared" si="0"/>
        <v>191610</v>
      </c>
      <c r="B28" s="55" t="str">
        <f>IFERROR(_xlfn.XLOOKUP($O$5,DealsMaster[Deal No.],DealsMaster[Consignee]),"")</f>
        <v>Rubis Energy Zambia</v>
      </c>
      <c r="C28" s="64"/>
      <c r="D28" s="70" t="str">
        <f>IFERROR(_xlfn.XLOOKUP($O$5,DealsMaster[Deal No.],DealsMaster[Loading Port]),"")</f>
        <v>Beira</v>
      </c>
      <c r="E28" s="65"/>
      <c r="F28" s="65"/>
      <c r="G28" s="66"/>
      <c r="H28" s="66"/>
      <c r="I28" s="71" t="str">
        <f>IFERROR(_xlfn.XLOOKUP($O$5,DealsMaster[Deal No.],DealsMaster[Destination]),"")</f>
        <v>Lusaka</v>
      </c>
      <c r="J28" s="71" t="str">
        <f>IFERROR(_xlfn.XLOOKUP($O$5,DealsMaster[Deal No.],DealsMaster[Product]),"")</f>
        <v>PMS</v>
      </c>
      <c r="K28" s="64"/>
      <c r="L28" s="64"/>
      <c r="M28" s="56" t="str">
        <f t="shared" si="1"/>
        <v/>
      </c>
      <c r="N28" s="57">
        <f t="shared" si="2"/>
        <v>2</v>
      </c>
      <c r="O28" s="58" t="str">
        <f t="shared" si="3"/>
        <v/>
      </c>
      <c r="P28" s="59" t="str">
        <f t="shared" si="4"/>
        <v/>
      </c>
    </row>
    <row r="29" spans="1:16" ht="21.95" customHeight="1" x14ac:dyDescent="0.25">
      <c r="A29" s="54">
        <f t="shared" si="0"/>
        <v>191610</v>
      </c>
      <c r="B29" s="55" t="str">
        <f>IFERROR(_xlfn.XLOOKUP($O$5,DealsMaster[Deal No.],DealsMaster[Consignee]),"")</f>
        <v>Rubis Energy Zambia</v>
      </c>
      <c r="C29" s="64"/>
      <c r="D29" s="70" t="str">
        <f>IFERROR(_xlfn.XLOOKUP($O$5,DealsMaster[Deal No.],DealsMaster[Loading Port]),"")</f>
        <v>Beira</v>
      </c>
      <c r="E29" s="65"/>
      <c r="F29" s="65"/>
      <c r="G29" s="66"/>
      <c r="H29" s="66"/>
      <c r="I29" s="71" t="str">
        <f>IFERROR(_xlfn.XLOOKUP($O$5,DealsMaster[Deal No.],DealsMaster[Destination]),"")</f>
        <v>Lusaka</v>
      </c>
      <c r="J29" s="71" t="str">
        <f>IFERROR(_xlfn.XLOOKUP($O$5,DealsMaster[Deal No.],DealsMaster[Product]),"")</f>
        <v>PMS</v>
      </c>
      <c r="K29" s="64"/>
      <c r="L29" s="64"/>
      <c r="M29" s="56" t="str">
        <f t="shared" si="1"/>
        <v/>
      </c>
      <c r="N29" s="57">
        <f t="shared" si="2"/>
        <v>2</v>
      </c>
      <c r="O29" s="58" t="str">
        <f t="shared" si="3"/>
        <v/>
      </c>
      <c r="P29" s="59" t="str">
        <f t="shared" si="4"/>
        <v/>
      </c>
    </row>
    <row r="30" spans="1:16" ht="21.95" customHeight="1" x14ac:dyDescent="0.25">
      <c r="A30" s="54">
        <f t="shared" si="0"/>
        <v>191610</v>
      </c>
      <c r="B30" s="55" t="str">
        <f>IFERROR(_xlfn.XLOOKUP($O$5,DealsMaster[Deal No.],DealsMaster[Consignee]),"")</f>
        <v>Rubis Energy Zambia</v>
      </c>
      <c r="C30" s="64"/>
      <c r="D30" s="70" t="str">
        <f>IFERROR(_xlfn.XLOOKUP($O$5,DealsMaster[Deal No.],DealsMaster[Loading Port]),"")</f>
        <v>Beira</v>
      </c>
      <c r="E30" s="65"/>
      <c r="F30" s="65"/>
      <c r="G30" s="66"/>
      <c r="H30" s="66"/>
      <c r="I30" s="71" t="str">
        <f>IFERROR(_xlfn.XLOOKUP($O$5,DealsMaster[Deal No.],DealsMaster[Destination]),"")</f>
        <v>Lusaka</v>
      </c>
      <c r="J30" s="71" t="str">
        <f>IFERROR(_xlfn.XLOOKUP($O$5,DealsMaster[Deal No.],DealsMaster[Product]),"")</f>
        <v>PMS</v>
      </c>
      <c r="K30" s="64"/>
      <c r="L30" s="64"/>
      <c r="M30" s="56" t="str">
        <f t="shared" si="1"/>
        <v/>
      </c>
      <c r="N30" s="57">
        <f t="shared" si="2"/>
        <v>2</v>
      </c>
      <c r="O30" s="58" t="str">
        <f t="shared" si="3"/>
        <v/>
      </c>
      <c r="P30" s="59" t="str">
        <f t="shared" si="4"/>
        <v/>
      </c>
    </row>
    <row r="31" spans="1:16" ht="21.95" customHeight="1" x14ac:dyDescent="0.25">
      <c r="A31" s="54">
        <f t="shared" si="0"/>
        <v>191610</v>
      </c>
      <c r="B31" s="55" t="str">
        <f>IFERROR(_xlfn.XLOOKUP($O$5,DealsMaster[Deal No.],DealsMaster[Consignee]),"")</f>
        <v>Rubis Energy Zambia</v>
      </c>
      <c r="C31" s="64"/>
      <c r="D31" s="70" t="str">
        <f>IFERROR(_xlfn.XLOOKUP($O$5,DealsMaster[Deal No.],DealsMaster[Loading Port]),"")</f>
        <v>Beira</v>
      </c>
      <c r="E31" s="65"/>
      <c r="F31" s="65"/>
      <c r="G31" s="66"/>
      <c r="H31" s="66"/>
      <c r="I31" s="71" t="str">
        <f>IFERROR(_xlfn.XLOOKUP($O$5,DealsMaster[Deal No.],DealsMaster[Destination]),"")</f>
        <v>Lusaka</v>
      </c>
      <c r="J31" s="71" t="str">
        <f>IFERROR(_xlfn.XLOOKUP($O$5,DealsMaster[Deal No.],DealsMaster[Product]),"")</f>
        <v>PMS</v>
      </c>
      <c r="K31" s="64"/>
      <c r="L31" s="64"/>
      <c r="M31" s="56" t="str">
        <f t="shared" si="1"/>
        <v/>
      </c>
      <c r="N31" s="57">
        <f t="shared" si="2"/>
        <v>2</v>
      </c>
      <c r="O31" s="58" t="str">
        <f t="shared" si="3"/>
        <v/>
      </c>
      <c r="P31" s="59" t="str">
        <f t="shared" si="4"/>
        <v/>
      </c>
    </row>
    <row r="32" spans="1:16" ht="15.75" thickBot="1" x14ac:dyDescent="0.3">
      <c r="A32" s="60" t="s">
        <v>14</v>
      </c>
      <c r="B32" s="61"/>
      <c r="C32" s="62"/>
      <c r="D32" s="62"/>
      <c r="E32" s="62"/>
      <c r="F32" s="62"/>
      <c r="G32" s="61"/>
      <c r="H32" s="61"/>
      <c r="I32" s="61"/>
      <c r="J32" s="61"/>
      <c r="K32" s="62"/>
      <c r="L32" s="62"/>
      <c r="M32" s="62"/>
      <c r="N32" s="62"/>
      <c r="O32" s="62"/>
      <c r="P32" s="63">
        <f>SUBTOTAL(109,P10:P31)</f>
        <v>0</v>
      </c>
    </row>
    <row r="33" spans="14:14" x14ac:dyDescent="0.25">
      <c r="N33" s="1"/>
    </row>
    <row r="34" spans="14:14" x14ac:dyDescent="0.25">
      <c r="N34" s="1"/>
    </row>
    <row r="35" spans="14:14" x14ac:dyDescent="0.25">
      <c r="N35" s="1"/>
    </row>
    <row r="36" spans="14:14" x14ac:dyDescent="0.25">
      <c r="N36" s="1"/>
    </row>
    <row r="37" spans="14:14" x14ac:dyDescent="0.25">
      <c r="N37" s="1"/>
    </row>
    <row r="38" spans="14:14" x14ac:dyDescent="0.25">
      <c r="N38" s="1"/>
    </row>
    <row r="39" spans="14:14" x14ac:dyDescent="0.25">
      <c r="N39" s="1"/>
    </row>
    <row r="40" spans="14:14" x14ac:dyDescent="0.25">
      <c r="N40" s="1"/>
    </row>
    <row r="41" spans="14:14" x14ac:dyDescent="0.25">
      <c r="N41" s="1"/>
    </row>
    <row r="42" spans="14:14" x14ac:dyDescent="0.25">
      <c r="N42" s="1"/>
    </row>
    <row r="43" spans="14:14" x14ac:dyDescent="0.25">
      <c r="N43" s="1"/>
    </row>
    <row r="44" spans="14:14" x14ac:dyDescent="0.25">
      <c r="N44" s="1"/>
    </row>
    <row r="45" spans="14:14" x14ac:dyDescent="0.25">
      <c r="N45" s="1"/>
    </row>
    <row r="46" spans="14:14" x14ac:dyDescent="0.25">
      <c r="N46" s="1"/>
    </row>
    <row r="47" spans="14:14" x14ac:dyDescent="0.25">
      <c r="N47" s="1"/>
    </row>
    <row r="48" spans="14:14" x14ac:dyDescent="0.25">
      <c r="N48" s="1"/>
    </row>
    <row r="49" spans="14:14" x14ac:dyDescent="0.25">
      <c r="N49" s="1"/>
    </row>
    <row r="50" spans="14:14" x14ac:dyDescent="0.25">
      <c r="N50" s="1"/>
    </row>
    <row r="51" spans="14:14" x14ac:dyDescent="0.25">
      <c r="N51" s="1"/>
    </row>
    <row r="52" spans="14:14" x14ac:dyDescent="0.25">
      <c r="N52" s="1"/>
    </row>
    <row r="53" spans="14:14" x14ac:dyDescent="0.25">
      <c r="N53" s="1"/>
    </row>
    <row r="54" spans="14:14" x14ac:dyDescent="0.25">
      <c r="N54" s="1"/>
    </row>
    <row r="55" spans="14:14" x14ac:dyDescent="0.25">
      <c r="N55" s="1"/>
    </row>
  </sheetData>
  <sheetProtection autoFilter="0"/>
  <mergeCells count="9">
    <mergeCell ref="C5:E7"/>
    <mergeCell ref="F5:H7"/>
    <mergeCell ref="A1:B1"/>
    <mergeCell ref="C1:P1"/>
    <mergeCell ref="A2:P2"/>
    <mergeCell ref="C3:O3"/>
    <mergeCell ref="C4:E4"/>
    <mergeCell ref="F4:H4"/>
    <mergeCell ref="N4:O4"/>
  </mergeCells>
  <dataValidations count="6">
    <dataValidation type="date" allowBlank="1" showInputMessage="1" showErrorMessage="1" errorTitle="Invalid date" error="Please enter a valid date (e.g. 15-Jan-2025). Text entries are not allowed." promptTitle="Offloaded Date" prompt="Enter a date between 2020 and 2030." sqref="L10:L31" xr:uid="{6174B859-F32B-457C-A5AD-4F04A672D37C}">
      <formula1>43831</formula1>
      <formula2>47848</formula2>
    </dataValidation>
    <dataValidation type="date" allowBlank="1" showInputMessage="1" showErrorMessage="1" errorTitle="Invalid date" error="Please enter a valid date (e.g. 15-Jan-2025). Text entries are not allowed." promptTitle="Arrival Date" prompt="Enter a date between 2020 and 2030." sqref="K10:K31" xr:uid="{7E79C093-242A-4445-B6DF-F68D7A8EF4CC}">
      <formula1>43831</formula1>
      <formula2>47848</formula2>
    </dataValidation>
    <dataValidation type="date" allowBlank="1" showInputMessage="1" showErrorMessage="1" errorTitle="Invalid date" error="Please enter a valid date (e.g. 15-Jan-2025). Text entries are not allowed." promptTitle="Date Loaded" prompt="Enter a date between 2020 and 2030." sqref="C10:C31" xr:uid="{50596951-8927-4894-9986-3015DC0ACDC9}">
      <formula1>43831</formula1>
      <formula2>47848</formula2>
    </dataValidation>
    <dataValidation type="list" allowBlank="1" showInputMessage="1" showErrorMessage="1" errorTitle="Invalid entry" error="Please pick a value from the list." sqref="D10:D31" xr:uid="{A7B23003-1E50-4270-A4C3-C7F35FF26E64}">
      <formula1>"Dar Es Salaam,Beira"</formula1>
    </dataValidation>
    <dataValidation type="list" allowBlank="1" showInputMessage="1" showErrorMessage="1" errorTitle="Invalid entry" error="Please pick a value from the list." sqref="I10:I31" xr:uid="{962DF94A-2410-4CAE-BAC5-B23D0EDB772F}">
      <formula1>"Lusaka,Lubumbashi,Chipata"</formula1>
    </dataValidation>
    <dataValidation type="list" allowBlank="1" showInputMessage="1" showErrorMessage="1" errorTitle="Invalid entry" error="Please pick a value from the list." sqref="J10:J31" xr:uid="{A9AC6FFB-82D2-42E9-863E-13DFAF137C4E}">
      <formula1>"PMS,AGO"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22814-3A56-4121-B309-41E328330CCE}">
  <sheetPr>
    <tabColor rgb="FFF2B233"/>
  </sheetPr>
  <dimension ref="A1:P46"/>
  <sheetViews>
    <sheetView showGridLines="0" zoomScaleNormal="100" workbookViewId="0">
      <pane ySplit="9" topLeftCell="A10" activePane="bottomLeft" state="frozen"/>
      <selection activeCell="M1" sqref="M1"/>
      <selection pane="bottomLeft" activeCell="F5" sqref="F5:H7"/>
    </sheetView>
  </sheetViews>
  <sheetFormatPr defaultRowHeight="15" x14ac:dyDescent="0.25"/>
  <cols>
    <col min="1" max="1" width="21" customWidth="1"/>
    <col min="2" max="2" width="31.42578125" customWidth="1"/>
    <col min="3" max="3" width="19" customWidth="1"/>
    <col min="4" max="4" width="24.7109375" customWidth="1"/>
    <col min="5" max="5" width="18.140625" customWidth="1"/>
    <col min="6" max="6" width="19" customWidth="1"/>
    <col min="7" max="8" width="26.7109375" customWidth="1"/>
    <col min="9" max="9" width="21.85546875" customWidth="1"/>
    <col min="10" max="10" width="15.28515625" customWidth="1"/>
    <col min="11" max="12" width="21.85546875" customWidth="1"/>
    <col min="13" max="13" width="17.140625" customWidth="1"/>
    <col min="14" max="14" width="18.140625" customWidth="1"/>
    <col min="15" max="15" width="21.85546875" customWidth="1"/>
    <col min="16" max="16" width="27.5703125" customWidth="1"/>
  </cols>
  <sheetData>
    <row r="1" spans="1:16" ht="60" customHeight="1" x14ac:dyDescent="0.25">
      <c r="A1" s="88"/>
      <c r="B1" s="89"/>
      <c r="C1" s="90" t="str">
        <f>IF(O5=0,"DEMURRAGE CALCULATION  —  [ENTER DEAL NO. ABOVE]","DEMURRAGE CALCULATION  —  "&amp;TEXT(O5,"0")&amp;" - "&amp;UPPER(IFERROR(_xlfn.XLOOKUP(O5,DealsMaster[Deal No.],DealsMaster[Consignee]),""))&amp;" - "&amp;UPPER(IFERROR(_xlfn.XLOOKUP(O5,DealsMaster[Deal No.],DealsMaster[Route]),"")))</f>
        <v>DEMURRAGE CALCULATION  —  184182 - RUBIS ENERGY ZAMBIA - BEIRA → LUSAKA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</row>
    <row r="2" spans="1:16" ht="6" customHeight="1" x14ac:dyDescent="0.25">
      <c r="A2" s="91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</row>
    <row r="3" spans="1:16" ht="20.100000000000001" customHeight="1" x14ac:dyDescent="0.25">
      <c r="C3" s="92" t="s">
        <v>27</v>
      </c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</row>
    <row r="4" spans="1:16" ht="20.100000000000001" customHeight="1" x14ac:dyDescent="0.25">
      <c r="C4" s="93" t="s">
        <v>28</v>
      </c>
      <c r="D4" s="94"/>
      <c r="E4" s="94"/>
      <c r="F4" s="95" t="s">
        <v>29</v>
      </c>
      <c r="G4" s="94"/>
      <c r="H4" s="94"/>
      <c r="I4" s="49"/>
      <c r="J4" s="49"/>
      <c r="K4" s="49"/>
      <c r="L4" s="49"/>
      <c r="M4" s="49"/>
      <c r="N4" s="93" t="s">
        <v>30</v>
      </c>
      <c r="O4" s="94"/>
    </row>
    <row r="5" spans="1:16" ht="18" customHeight="1" x14ac:dyDescent="0.25">
      <c r="C5" s="78">
        <f>SUM('184182-RUBIS-BEIRA-LSK'!$P$10:$P$22)</f>
        <v>3250</v>
      </c>
      <c r="D5" s="79"/>
      <c r="E5" s="79"/>
      <c r="F5" s="83" t="str">
        <f>COUNTIF('184182-RUBIS-BEIRA-LSK'!$O$10:$O$22,"DEMURRAGE")&amp;" / "&amp;COUNTA('184182-RUBIS-BEIRA-LSK'!$A$10:$A$22)</f>
        <v>5 / 13</v>
      </c>
      <c r="G5" s="84"/>
      <c r="H5" s="84"/>
      <c r="I5" s="49"/>
      <c r="J5" s="49"/>
      <c r="K5" s="49"/>
      <c r="L5" s="49"/>
      <c r="M5" s="49"/>
      <c r="N5" s="5" t="s">
        <v>21</v>
      </c>
      <c r="O5" s="75">
        <v>184182</v>
      </c>
    </row>
    <row r="6" spans="1:16" ht="18" customHeight="1" x14ac:dyDescent="0.25">
      <c r="C6" s="80"/>
      <c r="D6" s="79"/>
      <c r="E6" s="79"/>
      <c r="F6" s="85"/>
      <c r="G6" s="84"/>
      <c r="H6" s="84"/>
      <c r="I6" s="49"/>
      <c r="J6" s="49"/>
      <c r="K6" s="49"/>
      <c r="L6" s="49"/>
      <c r="M6" s="49"/>
      <c r="N6" s="5" t="s">
        <v>31</v>
      </c>
      <c r="O6" s="36">
        <f>IFERROR(_xlfn.XLOOKUP($O$5,DealsMaster[Deal No.],DealsMaster[Laytime Allowance (days)]),0)</f>
        <v>2</v>
      </c>
    </row>
    <row r="7" spans="1:16" ht="18" customHeight="1" x14ac:dyDescent="0.25">
      <c r="C7" s="81"/>
      <c r="D7" s="82"/>
      <c r="E7" s="82"/>
      <c r="F7" s="86"/>
      <c r="G7" s="87"/>
      <c r="H7" s="87"/>
      <c r="I7" s="49"/>
      <c r="J7" s="49"/>
      <c r="K7" s="49"/>
      <c r="L7" s="49"/>
      <c r="M7" s="49"/>
      <c r="N7" s="6" t="s">
        <v>32</v>
      </c>
      <c r="O7" s="74">
        <f>IFERROR(_xlfn.XLOOKUP($O$5,DealsMaster[Deal No.],DealsMaster[Demurrage Rate (USD/day)]),0)</f>
        <v>250</v>
      </c>
    </row>
    <row r="8" spans="1:16" ht="15.75" thickBot="1" x14ac:dyDescent="0.3">
      <c r="A8" s="48" t="s">
        <v>53</v>
      </c>
      <c r="B8" s="12" t="s">
        <v>54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6" ht="44.1" customHeight="1" x14ac:dyDescent="0.25">
      <c r="A9" s="50" t="s">
        <v>0</v>
      </c>
      <c r="B9" s="51" t="s">
        <v>1</v>
      </c>
      <c r="C9" s="51" t="s">
        <v>2</v>
      </c>
      <c r="D9" s="51" t="s">
        <v>19</v>
      </c>
      <c r="E9" s="51" t="s">
        <v>3</v>
      </c>
      <c r="F9" s="51" t="s">
        <v>4</v>
      </c>
      <c r="G9" s="51" t="s">
        <v>5</v>
      </c>
      <c r="H9" s="51" t="s">
        <v>6</v>
      </c>
      <c r="I9" s="51" t="s">
        <v>7</v>
      </c>
      <c r="J9" s="51" t="s">
        <v>8</v>
      </c>
      <c r="K9" s="51" t="s">
        <v>9</v>
      </c>
      <c r="L9" s="51" t="s">
        <v>10</v>
      </c>
      <c r="M9" s="51" t="s">
        <v>11</v>
      </c>
      <c r="N9" s="52" t="s">
        <v>25</v>
      </c>
      <c r="O9" s="52" t="s">
        <v>26</v>
      </c>
      <c r="P9" s="53" t="s">
        <v>13</v>
      </c>
    </row>
    <row r="10" spans="1:16" ht="21.95" customHeight="1" x14ac:dyDescent="0.25">
      <c r="A10" s="54">
        <f>$O$5</f>
        <v>184182</v>
      </c>
      <c r="B10" s="55" t="str">
        <f>IFERROR(_xlfn.XLOOKUP($O$5,DealsMaster[Deal No.],DealsMaster[Consignee]),"")</f>
        <v>Rubis Energy Zambia</v>
      </c>
      <c r="C10" s="64">
        <v>45994</v>
      </c>
      <c r="D10" s="70" t="str">
        <f>IFERROR(_xlfn.XLOOKUP($O$5,DealsMaster[Deal No.],DealsMaster[Loading Port]),"")</f>
        <v>Beira</v>
      </c>
      <c r="E10" s="65" t="s">
        <v>273</v>
      </c>
      <c r="F10" s="65" t="s">
        <v>274</v>
      </c>
      <c r="G10" s="66" t="s">
        <v>16</v>
      </c>
      <c r="H10" s="66" t="s">
        <v>299</v>
      </c>
      <c r="I10" s="71" t="str">
        <f>IFERROR(_xlfn.XLOOKUP($O$5,DealsMaster[Deal No.],DealsMaster[Destination]),"")</f>
        <v>Lusaka</v>
      </c>
      <c r="J10" s="71" t="str">
        <f>IFERROR(_xlfn.XLOOKUP($O$5,DealsMaster[Deal No.],DealsMaster[Product]),"")</f>
        <v>AGO</v>
      </c>
      <c r="K10" s="64">
        <v>46002</v>
      </c>
      <c r="L10" s="64">
        <v>46004</v>
      </c>
      <c r="M10" s="56">
        <f>IF(OR(K10="",L10=""),"",L10-K10)</f>
        <v>2</v>
      </c>
      <c r="N10" s="57">
        <f>$O$6</f>
        <v>2</v>
      </c>
      <c r="O10" s="58" t="str">
        <f>IF(AND(C10&lt;&gt;"",K10&lt;&gt;"",K10&lt;C10),"⚠ Arrival &lt; Loaded",IF(AND(K10&lt;&gt;"",L10&lt;&gt;"",L10&lt;K10),"⚠ Offloaded &lt; Arrival",IF(M10="","",IF(M10&gt;N10,"DEMURRAGE","OK"))))</f>
        <v>OK</v>
      </c>
      <c r="P10" s="59">
        <f>IF(M10="","",MAX(0,M10-N10)*$O$7)</f>
        <v>0</v>
      </c>
    </row>
    <row r="11" spans="1:16" ht="21.95" customHeight="1" x14ac:dyDescent="0.25">
      <c r="A11" s="54">
        <f t="shared" ref="A11:A22" si="0">$O$5</f>
        <v>184182</v>
      </c>
      <c r="B11" s="55" t="str">
        <f>IFERROR(_xlfn.XLOOKUP($O$5,DealsMaster[Deal No.],DealsMaster[Consignee]),"")</f>
        <v>Rubis Energy Zambia</v>
      </c>
      <c r="C11" s="64">
        <v>45992</v>
      </c>
      <c r="D11" s="70" t="str">
        <f>IFERROR(_xlfn.XLOOKUP($O$5,DealsMaster[Deal No.],DealsMaster[Loading Port]),"")</f>
        <v>Beira</v>
      </c>
      <c r="E11" s="65" t="s">
        <v>275</v>
      </c>
      <c r="F11" s="65" t="s">
        <v>276</v>
      </c>
      <c r="G11" s="66" t="s">
        <v>16</v>
      </c>
      <c r="H11" s="66" t="s">
        <v>300</v>
      </c>
      <c r="I11" s="71" t="str">
        <f>IFERROR(_xlfn.XLOOKUP($O$5,DealsMaster[Deal No.],DealsMaster[Destination]),"")</f>
        <v>Lusaka</v>
      </c>
      <c r="J11" s="71" t="str">
        <f>IFERROR(_xlfn.XLOOKUP($O$5,DealsMaster[Deal No.],DealsMaster[Product]),"")</f>
        <v>AGO</v>
      </c>
      <c r="K11" s="64">
        <v>45999</v>
      </c>
      <c r="L11" s="64">
        <v>46000</v>
      </c>
      <c r="M11" s="56">
        <f t="shared" ref="M11:M22" si="1">IF(OR(K11="",L11=""),"",L11-K11)</f>
        <v>1</v>
      </c>
      <c r="N11" s="57">
        <f t="shared" ref="N11:N22" si="2">$O$6</f>
        <v>2</v>
      </c>
      <c r="O11" s="58" t="str">
        <f t="shared" ref="O11:O22" si="3">IF(AND(C11&lt;&gt;"",K11&lt;&gt;"",K11&lt;C11),"⚠ Arrival &lt; Loaded",IF(AND(K11&lt;&gt;"",L11&lt;&gt;"",L11&lt;K11),"⚠ Offloaded &lt; Arrival",IF(M11="","",IF(M11&gt;N11,"DEMURRAGE","OK"))))</f>
        <v>OK</v>
      </c>
      <c r="P11" s="59">
        <f t="shared" ref="P11:P22" si="4">IF(M11="","",MAX(0,M11-N11)*$O$7)</f>
        <v>0</v>
      </c>
    </row>
    <row r="12" spans="1:16" ht="21.95" customHeight="1" x14ac:dyDescent="0.25">
      <c r="A12" s="54">
        <f t="shared" si="0"/>
        <v>184182</v>
      </c>
      <c r="B12" s="55" t="str">
        <f>IFERROR(_xlfn.XLOOKUP($O$5,DealsMaster[Deal No.],DealsMaster[Consignee]),"")</f>
        <v>Rubis Energy Zambia</v>
      </c>
      <c r="C12" s="64">
        <v>45995</v>
      </c>
      <c r="D12" s="70" t="str">
        <f>IFERROR(_xlfn.XLOOKUP($O$5,DealsMaster[Deal No.],DealsMaster[Loading Port]),"")</f>
        <v>Beira</v>
      </c>
      <c r="E12" s="65" t="s">
        <v>277</v>
      </c>
      <c r="F12" s="65" t="s">
        <v>278</v>
      </c>
      <c r="G12" s="66" t="s">
        <v>16</v>
      </c>
      <c r="H12" s="66" t="s">
        <v>301</v>
      </c>
      <c r="I12" s="71" t="str">
        <f>IFERROR(_xlfn.XLOOKUP($O$5,DealsMaster[Deal No.],DealsMaster[Destination]),"")</f>
        <v>Lusaka</v>
      </c>
      <c r="J12" s="71" t="str">
        <f>IFERROR(_xlfn.XLOOKUP($O$5,DealsMaster[Deal No.],DealsMaster[Product]),"")</f>
        <v>AGO</v>
      </c>
      <c r="K12" s="64">
        <v>46007</v>
      </c>
      <c r="L12" s="64">
        <v>46008</v>
      </c>
      <c r="M12" s="56">
        <f t="shared" si="1"/>
        <v>1</v>
      </c>
      <c r="N12" s="57">
        <f t="shared" si="2"/>
        <v>2</v>
      </c>
      <c r="O12" s="58" t="str">
        <f t="shared" si="3"/>
        <v>OK</v>
      </c>
      <c r="P12" s="59">
        <f t="shared" si="4"/>
        <v>0</v>
      </c>
    </row>
    <row r="13" spans="1:16" ht="21.95" customHeight="1" x14ac:dyDescent="0.25">
      <c r="A13" s="54">
        <f t="shared" si="0"/>
        <v>184182</v>
      </c>
      <c r="B13" s="55" t="str">
        <f>IFERROR(_xlfn.XLOOKUP($O$5,DealsMaster[Deal No.],DealsMaster[Consignee]),"")</f>
        <v>Rubis Energy Zambia</v>
      </c>
      <c r="C13" s="64">
        <v>45994</v>
      </c>
      <c r="D13" s="70" t="str">
        <f>IFERROR(_xlfn.XLOOKUP($O$5,DealsMaster[Deal No.],DealsMaster[Loading Port]),"")</f>
        <v>Beira</v>
      </c>
      <c r="E13" s="65" t="s">
        <v>279</v>
      </c>
      <c r="F13" s="65" t="s">
        <v>280</v>
      </c>
      <c r="G13" s="66" t="s">
        <v>16</v>
      </c>
      <c r="H13" s="66" t="s">
        <v>302</v>
      </c>
      <c r="I13" s="71" t="str">
        <f>IFERROR(_xlfn.XLOOKUP($O$5,DealsMaster[Deal No.],DealsMaster[Destination]),"")</f>
        <v>Lusaka</v>
      </c>
      <c r="J13" s="71" t="str">
        <f>IFERROR(_xlfn.XLOOKUP($O$5,DealsMaster[Deal No.],DealsMaster[Product]),"")</f>
        <v>AGO</v>
      </c>
      <c r="K13" s="64">
        <v>46002</v>
      </c>
      <c r="L13" s="64">
        <v>46007</v>
      </c>
      <c r="M13" s="56">
        <f t="shared" si="1"/>
        <v>5</v>
      </c>
      <c r="N13" s="57">
        <f t="shared" si="2"/>
        <v>2</v>
      </c>
      <c r="O13" s="58" t="str">
        <f t="shared" si="3"/>
        <v>DEMURRAGE</v>
      </c>
      <c r="P13" s="59">
        <f t="shared" si="4"/>
        <v>750</v>
      </c>
    </row>
    <row r="14" spans="1:16" ht="21.95" customHeight="1" x14ac:dyDescent="0.25">
      <c r="A14" s="54">
        <f t="shared" si="0"/>
        <v>184182</v>
      </c>
      <c r="B14" s="55" t="str">
        <f>IFERROR(_xlfn.XLOOKUP($O$5,DealsMaster[Deal No.],DealsMaster[Consignee]),"")</f>
        <v>Rubis Energy Zambia</v>
      </c>
      <c r="C14" s="64">
        <v>45994</v>
      </c>
      <c r="D14" s="70" t="str">
        <f>IFERROR(_xlfn.XLOOKUP($O$5,DealsMaster[Deal No.],DealsMaster[Loading Port]),"")</f>
        <v>Beira</v>
      </c>
      <c r="E14" s="65" t="s">
        <v>281</v>
      </c>
      <c r="F14" s="65" t="s">
        <v>282</v>
      </c>
      <c r="G14" s="66" t="s">
        <v>16</v>
      </c>
      <c r="H14" s="66" t="s">
        <v>303</v>
      </c>
      <c r="I14" s="71" t="str">
        <f>IFERROR(_xlfn.XLOOKUP($O$5,DealsMaster[Deal No.],DealsMaster[Destination]),"")</f>
        <v>Lusaka</v>
      </c>
      <c r="J14" s="71" t="str">
        <f>IFERROR(_xlfn.XLOOKUP($O$5,DealsMaster[Deal No.],DealsMaster[Product]),"")</f>
        <v>AGO</v>
      </c>
      <c r="K14" s="64">
        <v>46000</v>
      </c>
      <c r="L14" s="64">
        <v>46002</v>
      </c>
      <c r="M14" s="56">
        <f t="shared" si="1"/>
        <v>2</v>
      </c>
      <c r="N14" s="57">
        <f t="shared" si="2"/>
        <v>2</v>
      </c>
      <c r="O14" s="58" t="str">
        <f t="shared" si="3"/>
        <v>OK</v>
      </c>
      <c r="P14" s="59">
        <f t="shared" si="4"/>
        <v>0</v>
      </c>
    </row>
    <row r="15" spans="1:16" ht="21.95" customHeight="1" x14ac:dyDescent="0.25">
      <c r="A15" s="54">
        <f t="shared" si="0"/>
        <v>184182</v>
      </c>
      <c r="B15" s="55" t="str">
        <f>IFERROR(_xlfn.XLOOKUP($O$5,DealsMaster[Deal No.],DealsMaster[Consignee]),"")</f>
        <v>Rubis Energy Zambia</v>
      </c>
      <c r="C15" s="64">
        <v>45994</v>
      </c>
      <c r="D15" s="70" t="str">
        <f>IFERROR(_xlfn.XLOOKUP($O$5,DealsMaster[Deal No.],DealsMaster[Loading Port]),"")</f>
        <v>Beira</v>
      </c>
      <c r="E15" s="65" t="s">
        <v>283</v>
      </c>
      <c r="F15" s="65" t="s">
        <v>284</v>
      </c>
      <c r="G15" s="66" t="s">
        <v>16</v>
      </c>
      <c r="H15" s="66" t="s">
        <v>304</v>
      </c>
      <c r="I15" s="71" t="str">
        <f>IFERROR(_xlfn.XLOOKUP($O$5,DealsMaster[Deal No.],DealsMaster[Destination]),"")</f>
        <v>Lusaka</v>
      </c>
      <c r="J15" s="71" t="str">
        <f>IFERROR(_xlfn.XLOOKUP($O$5,DealsMaster[Deal No.],DealsMaster[Product]),"")</f>
        <v>AGO</v>
      </c>
      <c r="K15" s="64">
        <v>46002</v>
      </c>
      <c r="L15" s="64">
        <v>46007</v>
      </c>
      <c r="M15" s="56">
        <f t="shared" si="1"/>
        <v>5</v>
      </c>
      <c r="N15" s="57">
        <f t="shared" si="2"/>
        <v>2</v>
      </c>
      <c r="O15" s="58" t="str">
        <f t="shared" si="3"/>
        <v>DEMURRAGE</v>
      </c>
      <c r="P15" s="59">
        <f t="shared" si="4"/>
        <v>750</v>
      </c>
    </row>
    <row r="16" spans="1:16" ht="21.95" customHeight="1" x14ac:dyDescent="0.25">
      <c r="A16" s="54">
        <f t="shared" si="0"/>
        <v>184182</v>
      </c>
      <c r="B16" s="55" t="str">
        <f>IFERROR(_xlfn.XLOOKUP($O$5,DealsMaster[Deal No.],DealsMaster[Consignee]),"")</f>
        <v>Rubis Energy Zambia</v>
      </c>
      <c r="C16" s="64">
        <v>45994</v>
      </c>
      <c r="D16" s="70" t="str">
        <f>IFERROR(_xlfn.XLOOKUP($O$5,DealsMaster[Deal No.],DealsMaster[Loading Port]),"")</f>
        <v>Beira</v>
      </c>
      <c r="E16" s="65" t="s">
        <v>285</v>
      </c>
      <c r="F16" s="65" t="s">
        <v>286</v>
      </c>
      <c r="G16" s="66" t="s">
        <v>16</v>
      </c>
      <c r="H16" s="66" t="s">
        <v>305</v>
      </c>
      <c r="I16" s="71" t="str">
        <f>IFERROR(_xlfn.XLOOKUP($O$5,DealsMaster[Deal No.],DealsMaster[Destination]),"")</f>
        <v>Lusaka</v>
      </c>
      <c r="J16" s="71" t="str">
        <f>IFERROR(_xlfn.XLOOKUP($O$5,DealsMaster[Deal No.],DealsMaster[Product]),"")</f>
        <v>AGO</v>
      </c>
      <c r="K16" s="64">
        <v>46002</v>
      </c>
      <c r="L16" s="64">
        <v>46007</v>
      </c>
      <c r="M16" s="56">
        <f t="shared" si="1"/>
        <v>5</v>
      </c>
      <c r="N16" s="57">
        <f t="shared" si="2"/>
        <v>2</v>
      </c>
      <c r="O16" s="58" t="str">
        <f t="shared" si="3"/>
        <v>DEMURRAGE</v>
      </c>
      <c r="P16" s="59">
        <f t="shared" si="4"/>
        <v>750</v>
      </c>
    </row>
    <row r="17" spans="1:16" ht="21.95" customHeight="1" x14ac:dyDescent="0.25">
      <c r="A17" s="54">
        <f t="shared" si="0"/>
        <v>184182</v>
      </c>
      <c r="B17" s="55" t="str">
        <f>IFERROR(_xlfn.XLOOKUP($O$5,DealsMaster[Deal No.],DealsMaster[Consignee]),"")</f>
        <v>Rubis Energy Zambia</v>
      </c>
      <c r="C17" s="64">
        <v>45995</v>
      </c>
      <c r="D17" s="70" t="str">
        <f>IFERROR(_xlfn.XLOOKUP($O$5,DealsMaster[Deal No.],DealsMaster[Loading Port]),"")</f>
        <v>Beira</v>
      </c>
      <c r="E17" s="65" t="s">
        <v>287</v>
      </c>
      <c r="F17" s="65" t="s">
        <v>288</v>
      </c>
      <c r="G17" s="66" t="s">
        <v>16</v>
      </c>
      <c r="H17" s="66" t="s">
        <v>306</v>
      </c>
      <c r="I17" s="71" t="str">
        <f>IFERROR(_xlfn.XLOOKUP($O$5,DealsMaster[Deal No.],DealsMaster[Destination]),"")</f>
        <v>Lusaka</v>
      </c>
      <c r="J17" s="71" t="str">
        <f>IFERROR(_xlfn.XLOOKUP($O$5,DealsMaster[Deal No.],DealsMaster[Product]),"")</f>
        <v>AGO</v>
      </c>
      <c r="K17" s="64">
        <v>46007</v>
      </c>
      <c r="L17" s="64">
        <v>46009</v>
      </c>
      <c r="M17" s="56">
        <f t="shared" si="1"/>
        <v>2</v>
      </c>
      <c r="N17" s="57">
        <f t="shared" si="2"/>
        <v>2</v>
      </c>
      <c r="O17" s="58" t="str">
        <f t="shared" si="3"/>
        <v>OK</v>
      </c>
      <c r="P17" s="59">
        <f t="shared" si="4"/>
        <v>0</v>
      </c>
    </row>
    <row r="18" spans="1:16" ht="21.95" customHeight="1" x14ac:dyDescent="0.25">
      <c r="A18" s="54">
        <f t="shared" si="0"/>
        <v>184182</v>
      </c>
      <c r="B18" s="55" t="str">
        <f>IFERROR(_xlfn.XLOOKUP($O$5,DealsMaster[Deal No.],DealsMaster[Consignee]),"")</f>
        <v>Rubis Energy Zambia</v>
      </c>
      <c r="C18" s="64">
        <v>45994</v>
      </c>
      <c r="D18" s="70" t="str">
        <f>IFERROR(_xlfn.XLOOKUP($O$5,DealsMaster[Deal No.],DealsMaster[Loading Port]),"")</f>
        <v>Beira</v>
      </c>
      <c r="E18" s="65" t="s">
        <v>289</v>
      </c>
      <c r="F18" s="65" t="s">
        <v>290</v>
      </c>
      <c r="G18" s="66" t="s">
        <v>16</v>
      </c>
      <c r="H18" s="66" t="s">
        <v>307</v>
      </c>
      <c r="I18" s="71" t="str">
        <f>IFERROR(_xlfn.XLOOKUP($O$5,DealsMaster[Deal No.],DealsMaster[Destination]),"")</f>
        <v>Lusaka</v>
      </c>
      <c r="J18" s="71" t="str">
        <f>IFERROR(_xlfn.XLOOKUP($O$5,DealsMaster[Deal No.],DealsMaster[Product]),"")</f>
        <v>AGO</v>
      </c>
      <c r="K18" s="64">
        <v>46001</v>
      </c>
      <c r="L18" s="64">
        <v>46002</v>
      </c>
      <c r="M18" s="56">
        <f t="shared" si="1"/>
        <v>1</v>
      </c>
      <c r="N18" s="57">
        <f t="shared" si="2"/>
        <v>2</v>
      </c>
      <c r="O18" s="58" t="str">
        <f t="shared" si="3"/>
        <v>OK</v>
      </c>
      <c r="P18" s="59">
        <f t="shared" si="4"/>
        <v>0</v>
      </c>
    </row>
    <row r="19" spans="1:16" ht="21.95" customHeight="1" x14ac:dyDescent="0.25">
      <c r="A19" s="54">
        <f t="shared" si="0"/>
        <v>184182</v>
      </c>
      <c r="B19" s="55" t="str">
        <f>IFERROR(_xlfn.XLOOKUP($O$5,DealsMaster[Deal No.],DealsMaster[Consignee]),"")</f>
        <v>Rubis Energy Zambia</v>
      </c>
      <c r="C19" s="64">
        <v>45992</v>
      </c>
      <c r="D19" s="70" t="str">
        <f>IFERROR(_xlfn.XLOOKUP($O$5,DealsMaster[Deal No.],DealsMaster[Loading Port]),"")</f>
        <v>Beira</v>
      </c>
      <c r="E19" s="65" t="s">
        <v>291</v>
      </c>
      <c r="F19" s="65" t="s">
        <v>292</v>
      </c>
      <c r="G19" s="66" t="s">
        <v>16</v>
      </c>
      <c r="H19" s="66" t="s">
        <v>308</v>
      </c>
      <c r="I19" s="71" t="str">
        <f>IFERROR(_xlfn.XLOOKUP($O$5,DealsMaster[Deal No.],DealsMaster[Destination]),"")</f>
        <v>Lusaka</v>
      </c>
      <c r="J19" s="71" t="str">
        <f>IFERROR(_xlfn.XLOOKUP($O$5,DealsMaster[Deal No.],DealsMaster[Product]),"")</f>
        <v>AGO</v>
      </c>
      <c r="K19" s="64">
        <v>45999</v>
      </c>
      <c r="L19" s="64">
        <v>46000</v>
      </c>
      <c r="M19" s="56">
        <f t="shared" si="1"/>
        <v>1</v>
      </c>
      <c r="N19" s="57">
        <f t="shared" si="2"/>
        <v>2</v>
      </c>
      <c r="O19" s="58" t="str">
        <f t="shared" si="3"/>
        <v>OK</v>
      </c>
      <c r="P19" s="59">
        <f t="shared" si="4"/>
        <v>0</v>
      </c>
    </row>
    <row r="20" spans="1:16" ht="21.95" customHeight="1" x14ac:dyDescent="0.25">
      <c r="A20" s="54">
        <f t="shared" si="0"/>
        <v>184182</v>
      </c>
      <c r="B20" s="55" t="str">
        <f>IFERROR(_xlfn.XLOOKUP($O$5,DealsMaster[Deal No.],DealsMaster[Consignee]),"")</f>
        <v>Rubis Energy Zambia</v>
      </c>
      <c r="C20" s="64">
        <v>45992</v>
      </c>
      <c r="D20" s="70" t="str">
        <f>IFERROR(_xlfn.XLOOKUP($O$5,DealsMaster[Deal No.],DealsMaster[Loading Port]),"")</f>
        <v>Beira</v>
      </c>
      <c r="E20" s="65" t="s">
        <v>293</v>
      </c>
      <c r="F20" s="65" t="s">
        <v>294</v>
      </c>
      <c r="G20" s="66" t="s">
        <v>16</v>
      </c>
      <c r="H20" s="66" t="s">
        <v>309</v>
      </c>
      <c r="I20" s="71" t="str">
        <f>IFERROR(_xlfn.XLOOKUP($O$5,DealsMaster[Deal No.],DealsMaster[Destination]),"")</f>
        <v>Lusaka</v>
      </c>
      <c r="J20" s="71" t="str">
        <f>IFERROR(_xlfn.XLOOKUP($O$5,DealsMaster[Deal No.],DealsMaster[Product]),"")</f>
        <v>AGO</v>
      </c>
      <c r="K20" s="64">
        <v>46004</v>
      </c>
      <c r="L20" s="64">
        <v>46008</v>
      </c>
      <c r="M20" s="56">
        <f t="shared" si="1"/>
        <v>4</v>
      </c>
      <c r="N20" s="57">
        <f t="shared" si="2"/>
        <v>2</v>
      </c>
      <c r="O20" s="58" t="str">
        <f t="shared" si="3"/>
        <v>DEMURRAGE</v>
      </c>
      <c r="P20" s="59">
        <f t="shared" si="4"/>
        <v>500</v>
      </c>
    </row>
    <row r="21" spans="1:16" ht="21.95" customHeight="1" x14ac:dyDescent="0.25">
      <c r="A21" s="54">
        <f t="shared" si="0"/>
        <v>184182</v>
      </c>
      <c r="B21" s="55" t="str">
        <f>IFERROR(_xlfn.XLOOKUP($O$5,DealsMaster[Deal No.],DealsMaster[Consignee]),"")</f>
        <v>Rubis Energy Zambia</v>
      </c>
      <c r="C21" s="64">
        <v>45992</v>
      </c>
      <c r="D21" s="70" t="str">
        <f>IFERROR(_xlfn.XLOOKUP($O$5,DealsMaster[Deal No.],DealsMaster[Loading Port]),"")</f>
        <v>Beira</v>
      </c>
      <c r="E21" s="65" t="s">
        <v>295</v>
      </c>
      <c r="F21" s="65" t="s">
        <v>296</v>
      </c>
      <c r="G21" s="66" t="s">
        <v>16</v>
      </c>
      <c r="H21" s="66" t="s">
        <v>310</v>
      </c>
      <c r="I21" s="71" t="str">
        <f>IFERROR(_xlfn.XLOOKUP($O$5,DealsMaster[Deal No.],DealsMaster[Destination]),"")</f>
        <v>Lusaka</v>
      </c>
      <c r="J21" s="71" t="str">
        <f>IFERROR(_xlfn.XLOOKUP($O$5,DealsMaster[Deal No.],DealsMaster[Product]),"")</f>
        <v>AGO</v>
      </c>
      <c r="K21" s="64">
        <v>46004</v>
      </c>
      <c r="L21" s="64">
        <v>46008</v>
      </c>
      <c r="M21" s="56">
        <f t="shared" si="1"/>
        <v>4</v>
      </c>
      <c r="N21" s="57">
        <f t="shared" si="2"/>
        <v>2</v>
      </c>
      <c r="O21" s="58" t="str">
        <f t="shared" si="3"/>
        <v>DEMURRAGE</v>
      </c>
      <c r="P21" s="59">
        <f t="shared" si="4"/>
        <v>500</v>
      </c>
    </row>
    <row r="22" spans="1:16" ht="21.95" customHeight="1" x14ac:dyDescent="0.25">
      <c r="A22" s="54">
        <f t="shared" si="0"/>
        <v>184182</v>
      </c>
      <c r="B22" s="55" t="str">
        <f>IFERROR(_xlfn.XLOOKUP($O$5,DealsMaster[Deal No.],DealsMaster[Consignee]),"")</f>
        <v>Rubis Energy Zambia</v>
      </c>
      <c r="C22" s="64">
        <v>45993</v>
      </c>
      <c r="D22" s="70" t="str">
        <f>IFERROR(_xlfn.XLOOKUP($O$5,DealsMaster[Deal No.],DealsMaster[Loading Port]),"")</f>
        <v>Beira</v>
      </c>
      <c r="E22" s="65" t="s">
        <v>297</v>
      </c>
      <c r="F22" s="65" t="s">
        <v>298</v>
      </c>
      <c r="G22" s="66" t="s">
        <v>16</v>
      </c>
      <c r="H22" s="66" t="s">
        <v>311</v>
      </c>
      <c r="I22" s="71" t="str">
        <f>IFERROR(_xlfn.XLOOKUP($O$5,DealsMaster[Deal No.],DealsMaster[Destination]),"")</f>
        <v>Lusaka</v>
      </c>
      <c r="J22" s="71" t="str">
        <f>IFERROR(_xlfn.XLOOKUP($O$5,DealsMaster[Deal No.],DealsMaster[Product]),"")</f>
        <v>AGO</v>
      </c>
      <c r="K22" s="64">
        <v>45999</v>
      </c>
      <c r="L22" s="64">
        <v>46001</v>
      </c>
      <c r="M22" s="56">
        <f t="shared" si="1"/>
        <v>2</v>
      </c>
      <c r="N22" s="57">
        <f t="shared" si="2"/>
        <v>2</v>
      </c>
      <c r="O22" s="58" t="str">
        <f t="shared" si="3"/>
        <v>OK</v>
      </c>
      <c r="P22" s="59">
        <f t="shared" si="4"/>
        <v>0</v>
      </c>
    </row>
    <row r="23" spans="1:16" ht="15.75" thickBot="1" x14ac:dyDescent="0.3">
      <c r="A23" s="60" t="s">
        <v>14</v>
      </c>
      <c r="B23" s="61"/>
      <c r="C23" s="62"/>
      <c r="D23" s="62"/>
      <c r="E23" s="62"/>
      <c r="F23" s="62"/>
      <c r="G23" s="61"/>
      <c r="H23" s="61"/>
      <c r="I23" s="61"/>
      <c r="J23" s="61"/>
      <c r="K23" s="62"/>
      <c r="L23" s="62"/>
      <c r="M23" s="62"/>
      <c r="N23" s="62"/>
      <c r="O23" s="62"/>
      <c r="P23" s="63">
        <f>SUBTOTAL(109,P10:P22)</f>
        <v>3250</v>
      </c>
    </row>
    <row r="24" spans="1:16" x14ac:dyDescent="0.25">
      <c r="N24" s="1"/>
    </row>
    <row r="25" spans="1:16" x14ac:dyDescent="0.25">
      <c r="N25" s="1"/>
    </row>
    <row r="26" spans="1:16" x14ac:dyDescent="0.25">
      <c r="N26" s="1"/>
    </row>
    <row r="27" spans="1:16" x14ac:dyDescent="0.25">
      <c r="N27" s="1"/>
    </row>
    <row r="28" spans="1:16" x14ac:dyDescent="0.25">
      <c r="N28" s="1"/>
    </row>
    <row r="29" spans="1:16" x14ac:dyDescent="0.25">
      <c r="N29" s="1"/>
    </row>
    <row r="30" spans="1:16" x14ac:dyDescent="0.25">
      <c r="N30" s="1"/>
    </row>
    <row r="31" spans="1:16" x14ac:dyDescent="0.25">
      <c r="N31" s="1"/>
    </row>
    <row r="32" spans="1:16" x14ac:dyDescent="0.25">
      <c r="N32" s="1"/>
    </row>
    <row r="33" spans="14:14" x14ac:dyDescent="0.25">
      <c r="N33" s="1"/>
    </row>
    <row r="34" spans="14:14" x14ac:dyDescent="0.25">
      <c r="N34" s="1"/>
    </row>
    <row r="35" spans="14:14" x14ac:dyDescent="0.25">
      <c r="N35" s="1"/>
    </row>
    <row r="36" spans="14:14" x14ac:dyDescent="0.25">
      <c r="N36" s="1"/>
    </row>
    <row r="37" spans="14:14" x14ac:dyDescent="0.25">
      <c r="N37" s="1"/>
    </row>
    <row r="38" spans="14:14" x14ac:dyDescent="0.25">
      <c r="N38" s="1"/>
    </row>
    <row r="39" spans="14:14" x14ac:dyDescent="0.25">
      <c r="N39" s="1"/>
    </row>
    <row r="40" spans="14:14" x14ac:dyDescent="0.25">
      <c r="N40" s="1"/>
    </row>
    <row r="41" spans="14:14" x14ac:dyDescent="0.25">
      <c r="N41" s="1"/>
    </row>
    <row r="42" spans="14:14" x14ac:dyDescent="0.25">
      <c r="N42" s="1"/>
    </row>
    <row r="43" spans="14:14" x14ac:dyDescent="0.25">
      <c r="N43" s="1"/>
    </row>
    <row r="44" spans="14:14" x14ac:dyDescent="0.25">
      <c r="N44" s="1"/>
    </row>
    <row r="45" spans="14:14" x14ac:dyDescent="0.25">
      <c r="N45" s="1"/>
    </row>
    <row r="46" spans="14:14" x14ac:dyDescent="0.25">
      <c r="N46" s="1"/>
    </row>
  </sheetData>
  <sheetProtection autoFilter="0"/>
  <mergeCells count="9">
    <mergeCell ref="C5:E7"/>
    <mergeCell ref="F5:H7"/>
    <mergeCell ref="A1:B1"/>
    <mergeCell ref="C1:P1"/>
    <mergeCell ref="A2:P2"/>
    <mergeCell ref="C3:O3"/>
    <mergeCell ref="C4:E4"/>
    <mergeCell ref="F4:H4"/>
    <mergeCell ref="N4:O4"/>
  </mergeCells>
  <dataValidations count="6">
    <dataValidation type="date" allowBlank="1" showInputMessage="1" showErrorMessage="1" errorTitle="Invalid date" error="Please enter a valid date (e.g. 15-Jan-2025). Text entries are not allowed." promptTitle="Offloaded Date" prompt="Enter a date between 2020 and 2030." sqref="L10:L22" xr:uid="{CDF726F1-7DAB-4028-966C-40D153981498}">
      <formula1>43831</formula1>
      <formula2>47848</formula2>
    </dataValidation>
    <dataValidation type="date" allowBlank="1" showInputMessage="1" showErrorMessage="1" errorTitle="Invalid date" error="Please enter a valid date (e.g. 15-Jan-2025). Text entries are not allowed." promptTitle="Arrival Date" prompt="Enter a date between 2020 and 2030." sqref="K10:K22" xr:uid="{655DAA25-776E-41E9-B723-6137EE3E417F}">
      <formula1>43831</formula1>
      <formula2>47848</formula2>
    </dataValidation>
    <dataValidation type="date" allowBlank="1" showInputMessage="1" showErrorMessage="1" errorTitle="Invalid date" error="Please enter a valid date (e.g. 15-Jan-2025). Text entries are not allowed." promptTitle="Date Loaded" prompt="Enter a date between 2020 and 2030." sqref="C10:C22" xr:uid="{35B9D153-33F1-4472-9947-8C1408CECCA6}">
      <formula1>43831</formula1>
      <formula2>47848</formula2>
    </dataValidation>
    <dataValidation type="list" allowBlank="1" showInputMessage="1" showErrorMessage="1" errorTitle="Invalid entry" error="Please pick a value from the list." sqref="D10:D22" xr:uid="{6DEB835F-CB3A-4055-AB47-E5E451097DB1}">
      <formula1>"Dar Es Salaam,Beira"</formula1>
    </dataValidation>
    <dataValidation type="list" allowBlank="1" showInputMessage="1" showErrorMessage="1" errorTitle="Invalid entry" error="Please pick a value from the list." sqref="I10:I22" xr:uid="{1A33E19F-1FDC-4047-81FD-EF411D8843FD}">
      <formula1>"Lusaka,Lubumbashi,Chipata"</formula1>
    </dataValidation>
    <dataValidation type="list" allowBlank="1" showInputMessage="1" showErrorMessage="1" errorTitle="Invalid entry" error="Please pick a value from the list." sqref="J10:J22" xr:uid="{7592BF69-6A2F-4D06-A5EC-60BFFE5A7531}">
      <formula1>"PMS,AGO"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55195-1717-4E7E-9ADA-23E2B9E095B4}">
  <sheetPr>
    <tabColor rgb="FFF2B233"/>
  </sheetPr>
  <dimension ref="A1:P57"/>
  <sheetViews>
    <sheetView showGridLines="0" zoomScaleNormal="100" workbookViewId="0">
      <pane ySplit="9" topLeftCell="A26" activePane="bottomLeft" state="frozen"/>
      <selection activeCell="M1" sqref="M1"/>
      <selection pane="bottomLeft" activeCell="F5" sqref="F5:H7"/>
    </sheetView>
  </sheetViews>
  <sheetFormatPr defaultRowHeight="15" x14ac:dyDescent="0.25"/>
  <cols>
    <col min="1" max="1" width="21" customWidth="1"/>
    <col min="2" max="2" width="31.42578125" customWidth="1"/>
    <col min="3" max="3" width="19" customWidth="1"/>
    <col min="4" max="4" width="24.7109375" customWidth="1"/>
    <col min="5" max="5" width="18.140625" customWidth="1"/>
    <col min="6" max="6" width="19" customWidth="1"/>
    <col min="7" max="8" width="26.7109375" customWidth="1"/>
    <col min="9" max="9" width="21.85546875" customWidth="1"/>
    <col min="10" max="10" width="15.28515625" customWidth="1"/>
    <col min="11" max="12" width="21.85546875" customWidth="1"/>
    <col min="13" max="13" width="17.140625" customWidth="1"/>
    <col min="14" max="14" width="18.140625" customWidth="1"/>
    <col min="15" max="15" width="21.85546875" customWidth="1"/>
    <col min="16" max="16" width="27.5703125" customWidth="1"/>
  </cols>
  <sheetData>
    <row r="1" spans="1:16" ht="60" customHeight="1" x14ac:dyDescent="0.25">
      <c r="A1" s="88"/>
      <c r="B1" s="89"/>
      <c r="C1" s="90" t="str">
        <f>IF(O5=0,"DEMURRAGE CALCULATION  —  [ENTER DEAL NO. ABOVE]","DEMURRAGE CALCULATION  —  "&amp;TEXT(O5,"0")&amp;" - "&amp;UPPER(IFERROR(_xlfn.XLOOKUP(O5,DealsMaster[Deal No.],DealsMaster[Consignee]),""))&amp;" - "&amp;UPPER(IFERROR(_xlfn.XLOOKUP(O5,DealsMaster[Deal No.],DealsMaster[Route]),"")))</f>
        <v>DEMURRAGE CALCULATION  —  190778 - LAKE PETROLEUM ZAMBIA - BEIRA → LUSAKA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</row>
    <row r="2" spans="1:16" ht="6" customHeight="1" x14ac:dyDescent="0.25">
      <c r="A2" s="91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</row>
    <row r="3" spans="1:16" ht="20.100000000000001" customHeight="1" x14ac:dyDescent="0.25">
      <c r="C3" s="92" t="s">
        <v>27</v>
      </c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</row>
    <row r="4" spans="1:16" ht="20.100000000000001" customHeight="1" x14ac:dyDescent="0.25">
      <c r="C4" s="93" t="s">
        <v>28</v>
      </c>
      <c r="D4" s="94"/>
      <c r="E4" s="94"/>
      <c r="F4" s="95" t="s">
        <v>29</v>
      </c>
      <c r="G4" s="94"/>
      <c r="H4" s="94"/>
      <c r="I4" s="49"/>
      <c r="J4" s="49"/>
      <c r="K4" s="49"/>
      <c r="L4" s="49"/>
      <c r="M4" s="49"/>
      <c r="N4" s="93" t="s">
        <v>30</v>
      </c>
      <c r="O4" s="94"/>
    </row>
    <row r="5" spans="1:16" ht="18" customHeight="1" x14ac:dyDescent="0.25">
      <c r="C5" s="78">
        <f>SUM('190778-LAKE-BEIRA-LSK'!$P$10:$P$22)</f>
        <v>0</v>
      </c>
      <c r="D5" s="79"/>
      <c r="E5" s="79"/>
      <c r="F5" s="83" t="s">
        <v>312</v>
      </c>
      <c r="G5" s="84"/>
      <c r="H5" s="84"/>
      <c r="I5" s="49"/>
      <c r="J5" s="49"/>
      <c r="K5" s="49"/>
      <c r="L5" s="49"/>
      <c r="M5" s="49"/>
      <c r="N5" s="5" t="s">
        <v>21</v>
      </c>
      <c r="O5" s="75">
        <v>190778</v>
      </c>
    </row>
    <row r="6" spans="1:16" ht="18" customHeight="1" x14ac:dyDescent="0.25">
      <c r="C6" s="80"/>
      <c r="D6" s="79"/>
      <c r="E6" s="79"/>
      <c r="F6" s="85"/>
      <c r="G6" s="84"/>
      <c r="H6" s="84"/>
      <c r="I6" s="49"/>
      <c r="J6" s="49"/>
      <c r="K6" s="49"/>
      <c r="L6" s="49"/>
      <c r="M6" s="49"/>
      <c r="N6" s="5" t="s">
        <v>31</v>
      </c>
      <c r="O6" s="36">
        <f>IFERROR(_xlfn.XLOOKUP($O$5,DealsMaster[Deal No.],DealsMaster[Laytime Allowance (days)]),0)</f>
        <v>2</v>
      </c>
    </row>
    <row r="7" spans="1:16" ht="18" customHeight="1" x14ac:dyDescent="0.25">
      <c r="C7" s="81"/>
      <c r="D7" s="82"/>
      <c r="E7" s="82"/>
      <c r="F7" s="86"/>
      <c r="G7" s="87"/>
      <c r="H7" s="87"/>
      <c r="I7" s="49"/>
      <c r="J7" s="49"/>
      <c r="K7" s="49"/>
      <c r="L7" s="49"/>
      <c r="M7" s="49"/>
      <c r="N7" s="6" t="s">
        <v>32</v>
      </c>
      <c r="O7" s="74">
        <f>IFERROR(_xlfn.XLOOKUP($O$5,DealsMaster[Deal No.],DealsMaster[Demurrage Rate (USD/day)]),0)</f>
        <v>250</v>
      </c>
    </row>
    <row r="8" spans="1:16" ht="15.75" thickBot="1" x14ac:dyDescent="0.3">
      <c r="A8" s="48" t="s">
        <v>53</v>
      </c>
      <c r="B8" s="12" t="s">
        <v>54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6" ht="44.1" customHeight="1" x14ac:dyDescent="0.25">
      <c r="A9" s="50" t="s">
        <v>0</v>
      </c>
      <c r="B9" s="51" t="s">
        <v>1</v>
      </c>
      <c r="C9" s="51" t="s">
        <v>2</v>
      </c>
      <c r="D9" s="51" t="s">
        <v>19</v>
      </c>
      <c r="E9" s="51" t="s">
        <v>3</v>
      </c>
      <c r="F9" s="51" t="s">
        <v>4</v>
      </c>
      <c r="G9" s="51" t="s">
        <v>5</v>
      </c>
      <c r="H9" s="51" t="s">
        <v>6</v>
      </c>
      <c r="I9" s="51" t="s">
        <v>7</v>
      </c>
      <c r="J9" s="51" t="s">
        <v>8</v>
      </c>
      <c r="K9" s="51" t="s">
        <v>9</v>
      </c>
      <c r="L9" s="51" t="s">
        <v>10</v>
      </c>
      <c r="M9" s="51" t="s">
        <v>11</v>
      </c>
      <c r="N9" s="52" t="s">
        <v>25</v>
      </c>
      <c r="O9" s="52" t="s">
        <v>26</v>
      </c>
      <c r="P9" s="53" t="s">
        <v>13</v>
      </c>
    </row>
    <row r="10" spans="1:16" ht="21.95" customHeight="1" x14ac:dyDescent="0.25">
      <c r="A10" s="54">
        <f>$O$5</f>
        <v>190778</v>
      </c>
      <c r="B10" s="55" t="str">
        <f>IFERROR(_xlfn.XLOOKUP($O$5,DealsMaster[Deal No.],DealsMaster[Consignee]),"")</f>
        <v>Lake Petroleum Zambia</v>
      </c>
      <c r="C10" s="64"/>
      <c r="D10" s="70" t="str">
        <f>IFERROR(_xlfn.XLOOKUP($O$5,DealsMaster[Deal No.],DealsMaster[Loading Port]),"")</f>
        <v>Beira</v>
      </c>
      <c r="E10" s="65"/>
      <c r="F10" s="65"/>
      <c r="G10" s="66"/>
      <c r="H10" s="66"/>
      <c r="I10" s="71" t="str">
        <f>IFERROR(_xlfn.XLOOKUP($O$5,DealsMaster[Deal No.],DealsMaster[Destination]),"")</f>
        <v>Lusaka</v>
      </c>
      <c r="J10" s="71" t="str">
        <f>IFERROR(_xlfn.XLOOKUP($O$5,DealsMaster[Deal No.],DealsMaster[Product]),"")</f>
        <v>AGO</v>
      </c>
      <c r="K10" s="64"/>
      <c r="L10" s="64"/>
      <c r="M10" s="56" t="str">
        <f>IF(OR(K10="",L10=""),"",L10-K10)</f>
        <v/>
      </c>
      <c r="N10" s="57">
        <f>$O$6</f>
        <v>2</v>
      </c>
      <c r="O10" s="58" t="str">
        <f>IF(AND(C10&lt;&gt;"",K10&lt;&gt;"",K10&lt;C10),"⚠ Arrival &lt; Loaded",IF(AND(K10&lt;&gt;"",L10&lt;&gt;"",L10&lt;K10),"⚠ Offloaded &lt; Arrival",IF(M10="","",IF(M10&gt;N10,"DEMURRAGE","OK"))))</f>
        <v/>
      </c>
      <c r="P10" s="59" t="str">
        <f>IF(M10="","",MAX(0,M10-N10)*$O$7)</f>
        <v/>
      </c>
    </row>
    <row r="11" spans="1:16" ht="21.95" customHeight="1" x14ac:dyDescent="0.25">
      <c r="A11" s="54">
        <f t="shared" ref="A11:A33" si="0">$O$5</f>
        <v>190778</v>
      </c>
      <c r="B11" s="55" t="str">
        <f>IFERROR(_xlfn.XLOOKUP($O$5,DealsMaster[Deal No.],DealsMaster[Consignee]),"")</f>
        <v>Lake Petroleum Zambia</v>
      </c>
      <c r="C11" s="64"/>
      <c r="D11" s="70" t="str">
        <f>IFERROR(_xlfn.XLOOKUP($O$5,DealsMaster[Deal No.],DealsMaster[Loading Port]),"")</f>
        <v>Beira</v>
      </c>
      <c r="E11" s="65"/>
      <c r="F11" s="65"/>
      <c r="G11" s="66"/>
      <c r="H11" s="66"/>
      <c r="I11" s="71" t="str">
        <f>IFERROR(_xlfn.XLOOKUP($O$5,DealsMaster[Deal No.],DealsMaster[Destination]),"")</f>
        <v>Lusaka</v>
      </c>
      <c r="J11" s="71" t="str">
        <f>IFERROR(_xlfn.XLOOKUP($O$5,DealsMaster[Deal No.],DealsMaster[Product]),"")</f>
        <v>AGO</v>
      </c>
      <c r="K11" s="64"/>
      <c r="L11" s="64"/>
      <c r="M11" s="56" t="str">
        <f t="shared" ref="M11:M22" si="1">IF(OR(K11="",L11=""),"",L11-K11)</f>
        <v/>
      </c>
      <c r="N11" s="57">
        <f t="shared" ref="N11:N33" si="2">$O$6</f>
        <v>2</v>
      </c>
      <c r="O11" s="58" t="str">
        <f t="shared" ref="O11:O22" si="3">IF(AND(C11&lt;&gt;"",K11&lt;&gt;"",K11&lt;C11),"⚠ Arrival &lt; Loaded",IF(AND(K11&lt;&gt;"",L11&lt;&gt;"",L11&lt;K11),"⚠ Offloaded &lt; Arrival",IF(M11="","",IF(M11&gt;N11,"DEMURRAGE","OK"))))</f>
        <v/>
      </c>
      <c r="P11" s="59" t="str">
        <f t="shared" ref="P11:P22" si="4">IF(M11="","",MAX(0,M11-N11)*$O$7)</f>
        <v/>
      </c>
    </row>
    <row r="12" spans="1:16" ht="21.95" customHeight="1" x14ac:dyDescent="0.25">
      <c r="A12" s="54">
        <f t="shared" si="0"/>
        <v>190778</v>
      </c>
      <c r="B12" s="55" t="str">
        <f>IFERROR(_xlfn.XLOOKUP($O$5,DealsMaster[Deal No.],DealsMaster[Consignee]),"")</f>
        <v>Lake Petroleum Zambia</v>
      </c>
      <c r="C12" s="64"/>
      <c r="D12" s="70" t="str">
        <f>IFERROR(_xlfn.XLOOKUP($O$5,DealsMaster[Deal No.],DealsMaster[Loading Port]),"")</f>
        <v>Beira</v>
      </c>
      <c r="E12" s="65"/>
      <c r="F12" s="65"/>
      <c r="G12" s="66"/>
      <c r="H12" s="66"/>
      <c r="I12" s="71" t="str">
        <f>IFERROR(_xlfn.XLOOKUP($O$5,DealsMaster[Deal No.],DealsMaster[Destination]),"")</f>
        <v>Lusaka</v>
      </c>
      <c r="J12" s="71" t="str">
        <f>IFERROR(_xlfn.XLOOKUP($O$5,DealsMaster[Deal No.],DealsMaster[Product]),"")</f>
        <v>AGO</v>
      </c>
      <c r="K12" s="64"/>
      <c r="L12" s="64"/>
      <c r="M12" s="56" t="str">
        <f t="shared" si="1"/>
        <v/>
      </c>
      <c r="N12" s="57">
        <f t="shared" si="2"/>
        <v>2</v>
      </c>
      <c r="O12" s="58" t="str">
        <f t="shared" si="3"/>
        <v/>
      </c>
      <c r="P12" s="59" t="str">
        <f t="shared" si="4"/>
        <v/>
      </c>
    </row>
    <row r="13" spans="1:16" ht="21.95" customHeight="1" x14ac:dyDescent="0.25">
      <c r="A13" s="54">
        <f t="shared" si="0"/>
        <v>190778</v>
      </c>
      <c r="B13" s="55" t="str">
        <f>IFERROR(_xlfn.XLOOKUP($O$5,DealsMaster[Deal No.],DealsMaster[Consignee]),"")</f>
        <v>Lake Petroleum Zambia</v>
      </c>
      <c r="C13" s="64"/>
      <c r="D13" s="70" t="str">
        <f>IFERROR(_xlfn.XLOOKUP($O$5,DealsMaster[Deal No.],DealsMaster[Loading Port]),"")</f>
        <v>Beira</v>
      </c>
      <c r="E13" s="65"/>
      <c r="F13" s="65"/>
      <c r="G13" s="66"/>
      <c r="H13" s="66"/>
      <c r="I13" s="71" t="str">
        <f>IFERROR(_xlfn.XLOOKUP($O$5,DealsMaster[Deal No.],DealsMaster[Destination]),"")</f>
        <v>Lusaka</v>
      </c>
      <c r="J13" s="71" t="str">
        <f>IFERROR(_xlfn.XLOOKUP($O$5,DealsMaster[Deal No.],DealsMaster[Product]),"")</f>
        <v>AGO</v>
      </c>
      <c r="K13" s="64"/>
      <c r="L13" s="64"/>
      <c r="M13" s="56" t="str">
        <f t="shared" si="1"/>
        <v/>
      </c>
      <c r="N13" s="57">
        <f t="shared" si="2"/>
        <v>2</v>
      </c>
      <c r="O13" s="58" t="str">
        <f t="shared" si="3"/>
        <v/>
      </c>
      <c r="P13" s="59" t="str">
        <f t="shared" si="4"/>
        <v/>
      </c>
    </row>
    <row r="14" spans="1:16" ht="21.95" customHeight="1" x14ac:dyDescent="0.25">
      <c r="A14" s="54">
        <f t="shared" si="0"/>
        <v>190778</v>
      </c>
      <c r="B14" s="55" t="str">
        <f>IFERROR(_xlfn.XLOOKUP($O$5,DealsMaster[Deal No.],DealsMaster[Consignee]),"")</f>
        <v>Lake Petroleum Zambia</v>
      </c>
      <c r="C14" s="64"/>
      <c r="D14" s="70" t="str">
        <f>IFERROR(_xlfn.XLOOKUP($O$5,DealsMaster[Deal No.],DealsMaster[Loading Port]),"")</f>
        <v>Beira</v>
      </c>
      <c r="E14" s="65"/>
      <c r="F14" s="65"/>
      <c r="G14" s="66"/>
      <c r="H14" s="66"/>
      <c r="I14" s="71" t="str">
        <f>IFERROR(_xlfn.XLOOKUP($O$5,DealsMaster[Deal No.],DealsMaster[Destination]),"")</f>
        <v>Lusaka</v>
      </c>
      <c r="J14" s="71" t="str">
        <f>IFERROR(_xlfn.XLOOKUP($O$5,DealsMaster[Deal No.],DealsMaster[Product]),"")</f>
        <v>AGO</v>
      </c>
      <c r="K14" s="64"/>
      <c r="L14" s="64"/>
      <c r="M14" s="56" t="str">
        <f t="shared" si="1"/>
        <v/>
      </c>
      <c r="N14" s="57">
        <f t="shared" si="2"/>
        <v>2</v>
      </c>
      <c r="O14" s="58" t="str">
        <f t="shared" si="3"/>
        <v/>
      </c>
      <c r="P14" s="59" t="str">
        <f t="shared" si="4"/>
        <v/>
      </c>
    </row>
    <row r="15" spans="1:16" ht="21.95" customHeight="1" x14ac:dyDescent="0.25">
      <c r="A15" s="54">
        <f t="shared" si="0"/>
        <v>190778</v>
      </c>
      <c r="B15" s="55" t="str">
        <f>IFERROR(_xlfn.XLOOKUP($O$5,DealsMaster[Deal No.],DealsMaster[Consignee]),"")</f>
        <v>Lake Petroleum Zambia</v>
      </c>
      <c r="C15" s="64"/>
      <c r="D15" s="70" t="str">
        <f>IFERROR(_xlfn.XLOOKUP($O$5,DealsMaster[Deal No.],DealsMaster[Loading Port]),"")</f>
        <v>Beira</v>
      </c>
      <c r="E15" s="65"/>
      <c r="F15" s="65"/>
      <c r="G15" s="66"/>
      <c r="H15" s="66"/>
      <c r="I15" s="71" t="str">
        <f>IFERROR(_xlfn.XLOOKUP($O$5,DealsMaster[Deal No.],DealsMaster[Destination]),"")</f>
        <v>Lusaka</v>
      </c>
      <c r="J15" s="71" t="str">
        <f>IFERROR(_xlfn.XLOOKUP($O$5,DealsMaster[Deal No.],DealsMaster[Product]),"")</f>
        <v>AGO</v>
      </c>
      <c r="K15" s="64"/>
      <c r="L15" s="64"/>
      <c r="M15" s="56" t="str">
        <f t="shared" si="1"/>
        <v/>
      </c>
      <c r="N15" s="57">
        <f t="shared" si="2"/>
        <v>2</v>
      </c>
      <c r="O15" s="58" t="str">
        <f t="shared" si="3"/>
        <v/>
      </c>
      <c r="P15" s="59" t="str">
        <f t="shared" si="4"/>
        <v/>
      </c>
    </row>
    <row r="16" spans="1:16" ht="21.95" customHeight="1" x14ac:dyDescent="0.25">
      <c r="A16" s="54">
        <f t="shared" si="0"/>
        <v>190778</v>
      </c>
      <c r="B16" s="55" t="str">
        <f>IFERROR(_xlfn.XLOOKUP($O$5,DealsMaster[Deal No.],DealsMaster[Consignee]),"")</f>
        <v>Lake Petroleum Zambia</v>
      </c>
      <c r="C16" s="64"/>
      <c r="D16" s="70" t="str">
        <f>IFERROR(_xlfn.XLOOKUP($O$5,DealsMaster[Deal No.],DealsMaster[Loading Port]),"")</f>
        <v>Beira</v>
      </c>
      <c r="E16" s="65"/>
      <c r="F16" s="65"/>
      <c r="G16" s="66"/>
      <c r="H16" s="66"/>
      <c r="I16" s="71" t="str">
        <f>IFERROR(_xlfn.XLOOKUP($O$5,DealsMaster[Deal No.],DealsMaster[Destination]),"")</f>
        <v>Lusaka</v>
      </c>
      <c r="J16" s="71" t="str">
        <f>IFERROR(_xlfn.XLOOKUP($O$5,DealsMaster[Deal No.],DealsMaster[Product]),"")</f>
        <v>AGO</v>
      </c>
      <c r="K16" s="64"/>
      <c r="L16" s="64"/>
      <c r="M16" s="56" t="str">
        <f t="shared" si="1"/>
        <v/>
      </c>
      <c r="N16" s="57">
        <f t="shared" si="2"/>
        <v>2</v>
      </c>
      <c r="O16" s="58" t="str">
        <f t="shared" si="3"/>
        <v/>
      </c>
      <c r="P16" s="59" t="str">
        <f t="shared" si="4"/>
        <v/>
      </c>
    </row>
    <row r="17" spans="1:16" ht="21.95" customHeight="1" x14ac:dyDescent="0.25">
      <c r="A17" s="54">
        <f t="shared" si="0"/>
        <v>190778</v>
      </c>
      <c r="B17" s="55" t="str">
        <f>IFERROR(_xlfn.XLOOKUP($O$5,DealsMaster[Deal No.],DealsMaster[Consignee]),"")</f>
        <v>Lake Petroleum Zambia</v>
      </c>
      <c r="C17" s="64"/>
      <c r="D17" s="70" t="str">
        <f>IFERROR(_xlfn.XLOOKUP($O$5,DealsMaster[Deal No.],DealsMaster[Loading Port]),"")</f>
        <v>Beira</v>
      </c>
      <c r="E17" s="65"/>
      <c r="F17" s="65"/>
      <c r="G17" s="66"/>
      <c r="H17" s="66"/>
      <c r="I17" s="71" t="str">
        <f>IFERROR(_xlfn.XLOOKUP($O$5,DealsMaster[Deal No.],DealsMaster[Destination]),"")</f>
        <v>Lusaka</v>
      </c>
      <c r="J17" s="71" t="str">
        <f>IFERROR(_xlfn.XLOOKUP($O$5,DealsMaster[Deal No.],DealsMaster[Product]),"")</f>
        <v>AGO</v>
      </c>
      <c r="K17" s="64"/>
      <c r="L17" s="64"/>
      <c r="M17" s="56" t="str">
        <f t="shared" si="1"/>
        <v/>
      </c>
      <c r="N17" s="57">
        <f t="shared" si="2"/>
        <v>2</v>
      </c>
      <c r="O17" s="58" t="str">
        <f t="shared" si="3"/>
        <v/>
      </c>
      <c r="P17" s="59" t="str">
        <f t="shared" si="4"/>
        <v/>
      </c>
    </row>
    <row r="18" spans="1:16" ht="21.95" customHeight="1" x14ac:dyDescent="0.25">
      <c r="A18" s="54">
        <f t="shared" si="0"/>
        <v>190778</v>
      </c>
      <c r="B18" s="55" t="str">
        <f>IFERROR(_xlfn.XLOOKUP($O$5,DealsMaster[Deal No.],DealsMaster[Consignee]),"")</f>
        <v>Lake Petroleum Zambia</v>
      </c>
      <c r="C18" s="64"/>
      <c r="D18" s="70" t="str">
        <f>IFERROR(_xlfn.XLOOKUP($O$5,DealsMaster[Deal No.],DealsMaster[Loading Port]),"")</f>
        <v>Beira</v>
      </c>
      <c r="E18" s="65"/>
      <c r="F18" s="65"/>
      <c r="G18" s="66"/>
      <c r="H18" s="66"/>
      <c r="I18" s="71" t="str">
        <f>IFERROR(_xlfn.XLOOKUP($O$5,DealsMaster[Deal No.],DealsMaster[Destination]),"")</f>
        <v>Lusaka</v>
      </c>
      <c r="J18" s="71" t="str">
        <f>IFERROR(_xlfn.XLOOKUP($O$5,DealsMaster[Deal No.],DealsMaster[Product]),"")</f>
        <v>AGO</v>
      </c>
      <c r="K18" s="64"/>
      <c r="L18" s="64"/>
      <c r="M18" s="56" t="str">
        <f t="shared" si="1"/>
        <v/>
      </c>
      <c r="N18" s="57">
        <f t="shared" si="2"/>
        <v>2</v>
      </c>
      <c r="O18" s="58" t="str">
        <f t="shared" si="3"/>
        <v/>
      </c>
      <c r="P18" s="59" t="str">
        <f t="shared" si="4"/>
        <v/>
      </c>
    </row>
    <row r="19" spans="1:16" ht="21.95" customHeight="1" x14ac:dyDescent="0.25">
      <c r="A19" s="54">
        <f t="shared" si="0"/>
        <v>190778</v>
      </c>
      <c r="B19" s="55" t="str">
        <f>IFERROR(_xlfn.XLOOKUP($O$5,DealsMaster[Deal No.],DealsMaster[Consignee]),"")</f>
        <v>Lake Petroleum Zambia</v>
      </c>
      <c r="C19" s="64"/>
      <c r="D19" s="70" t="str">
        <f>IFERROR(_xlfn.XLOOKUP($O$5,DealsMaster[Deal No.],DealsMaster[Loading Port]),"")</f>
        <v>Beira</v>
      </c>
      <c r="E19" s="65"/>
      <c r="F19" s="65"/>
      <c r="G19" s="66"/>
      <c r="H19" s="66"/>
      <c r="I19" s="71" t="str">
        <f>IFERROR(_xlfn.XLOOKUP($O$5,DealsMaster[Deal No.],DealsMaster[Destination]),"")</f>
        <v>Lusaka</v>
      </c>
      <c r="J19" s="71" t="str">
        <f>IFERROR(_xlfn.XLOOKUP($O$5,DealsMaster[Deal No.],DealsMaster[Product]),"")</f>
        <v>AGO</v>
      </c>
      <c r="K19" s="64"/>
      <c r="L19" s="64"/>
      <c r="M19" s="56" t="str">
        <f t="shared" si="1"/>
        <v/>
      </c>
      <c r="N19" s="57">
        <f t="shared" si="2"/>
        <v>2</v>
      </c>
      <c r="O19" s="58" t="str">
        <f t="shared" si="3"/>
        <v/>
      </c>
      <c r="P19" s="59" t="str">
        <f t="shared" si="4"/>
        <v/>
      </c>
    </row>
    <row r="20" spans="1:16" ht="21.95" customHeight="1" x14ac:dyDescent="0.25">
      <c r="A20" s="54">
        <f t="shared" si="0"/>
        <v>190778</v>
      </c>
      <c r="B20" s="55" t="str">
        <f>IFERROR(_xlfn.XLOOKUP($O$5,DealsMaster[Deal No.],DealsMaster[Consignee]),"")</f>
        <v>Lake Petroleum Zambia</v>
      </c>
      <c r="C20" s="64"/>
      <c r="D20" s="70" t="str">
        <f>IFERROR(_xlfn.XLOOKUP($O$5,DealsMaster[Deal No.],DealsMaster[Loading Port]),"")</f>
        <v>Beira</v>
      </c>
      <c r="E20" s="65"/>
      <c r="F20" s="65"/>
      <c r="G20" s="66"/>
      <c r="H20" s="66"/>
      <c r="I20" s="71" t="str">
        <f>IFERROR(_xlfn.XLOOKUP($O$5,DealsMaster[Deal No.],DealsMaster[Destination]),"")</f>
        <v>Lusaka</v>
      </c>
      <c r="J20" s="71" t="str">
        <f>IFERROR(_xlfn.XLOOKUP($O$5,DealsMaster[Deal No.],DealsMaster[Product]),"")</f>
        <v>AGO</v>
      </c>
      <c r="K20" s="64"/>
      <c r="L20" s="64"/>
      <c r="M20" s="56" t="str">
        <f t="shared" si="1"/>
        <v/>
      </c>
      <c r="N20" s="57">
        <f t="shared" si="2"/>
        <v>2</v>
      </c>
      <c r="O20" s="58" t="str">
        <f t="shared" si="3"/>
        <v/>
      </c>
      <c r="P20" s="59" t="str">
        <f t="shared" si="4"/>
        <v/>
      </c>
    </row>
    <row r="21" spans="1:16" ht="21.95" customHeight="1" x14ac:dyDescent="0.25">
      <c r="A21" s="54">
        <f t="shared" si="0"/>
        <v>190778</v>
      </c>
      <c r="B21" s="55" t="str">
        <f>IFERROR(_xlfn.XLOOKUP($O$5,DealsMaster[Deal No.],DealsMaster[Consignee]),"")</f>
        <v>Lake Petroleum Zambia</v>
      </c>
      <c r="C21" s="64"/>
      <c r="D21" s="70" t="str">
        <f>IFERROR(_xlfn.XLOOKUP($O$5,DealsMaster[Deal No.],DealsMaster[Loading Port]),"")</f>
        <v>Beira</v>
      </c>
      <c r="E21" s="65"/>
      <c r="F21" s="65"/>
      <c r="G21" s="66"/>
      <c r="H21" s="66"/>
      <c r="I21" s="71" t="str">
        <f>IFERROR(_xlfn.XLOOKUP($O$5,DealsMaster[Deal No.],DealsMaster[Destination]),"")</f>
        <v>Lusaka</v>
      </c>
      <c r="J21" s="71" t="str">
        <f>IFERROR(_xlfn.XLOOKUP($O$5,DealsMaster[Deal No.],DealsMaster[Product]),"")</f>
        <v>AGO</v>
      </c>
      <c r="K21" s="64"/>
      <c r="L21" s="64"/>
      <c r="M21" s="56" t="str">
        <f t="shared" si="1"/>
        <v/>
      </c>
      <c r="N21" s="57">
        <f t="shared" si="2"/>
        <v>2</v>
      </c>
      <c r="O21" s="58" t="str">
        <f t="shared" si="3"/>
        <v/>
      </c>
      <c r="P21" s="59" t="str">
        <f t="shared" si="4"/>
        <v/>
      </c>
    </row>
    <row r="22" spans="1:16" ht="21.95" customHeight="1" x14ac:dyDescent="0.25">
      <c r="A22" s="54">
        <f t="shared" si="0"/>
        <v>190778</v>
      </c>
      <c r="B22" s="55" t="str">
        <f>IFERROR(_xlfn.XLOOKUP($O$5,DealsMaster[Deal No.],DealsMaster[Consignee]),"")</f>
        <v>Lake Petroleum Zambia</v>
      </c>
      <c r="C22" s="64"/>
      <c r="D22" s="70" t="str">
        <f>IFERROR(_xlfn.XLOOKUP($O$5,DealsMaster[Deal No.],DealsMaster[Loading Port]),"")</f>
        <v>Beira</v>
      </c>
      <c r="E22" s="65"/>
      <c r="F22" s="65"/>
      <c r="G22" s="66"/>
      <c r="H22" s="66"/>
      <c r="I22" s="71" t="str">
        <f>IFERROR(_xlfn.XLOOKUP($O$5,DealsMaster[Deal No.],DealsMaster[Destination]),"")</f>
        <v>Lusaka</v>
      </c>
      <c r="J22" s="71" t="str">
        <f>IFERROR(_xlfn.XLOOKUP($O$5,DealsMaster[Deal No.],DealsMaster[Product]),"")</f>
        <v>AGO</v>
      </c>
      <c r="K22" s="64"/>
      <c r="L22" s="64"/>
      <c r="M22" s="56" t="str">
        <f t="shared" si="1"/>
        <v/>
      </c>
      <c r="N22" s="57">
        <f t="shared" si="2"/>
        <v>2</v>
      </c>
      <c r="O22" s="58" t="str">
        <f t="shared" si="3"/>
        <v/>
      </c>
      <c r="P22" s="59" t="str">
        <f t="shared" si="4"/>
        <v/>
      </c>
    </row>
    <row r="23" spans="1:16" ht="21.95" customHeight="1" x14ac:dyDescent="0.25">
      <c r="A23" s="54">
        <f t="shared" si="0"/>
        <v>190778</v>
      </c>
      <c r="B23" s="55" t="str">
        <f>IFERROR(_xlfn.XLOOKUP($O$5,DealsMaster[Deal No.],DealsMaster[Consignee]),"")</f>
        <v>Lake Petroleum Zambia</v>
      </c>
      <c r="C23" s="64"/>
      <c r="D23" s="70" t="str">
        <f>IFERROR(_xlfn.XLOOKUP($O$5,DealsMaster[Deal No.],DealsMaster[Loading Port]),"")</f>
        <v>Beira</v>
      </c>
      <c r="E23" s="65"/>
      <c r="F23" s="65"/>
      <c r="G23" s="66"/>
      <c r="H23" s="66"/>
      <c r="I23" s="71" t="str">
        <f>IFERROR(_xlfn.XLOOKUP($O$5,DealsMaster[Deal No.],DealsMaster[Destination]),"")</f>
        <v>Lusaka</v>
      </c>
      <c r="J23" s="71" t="str">
        <f>IFERROR(_xlfn.XLOOKUP($O$5,DealsMaster[Deal No.],DealsMaster[Product]),"")</f>
        <v>AGO</v>
      </c>
      <c r="K23" s="64"/>
      <c r="L23" s="64"/>
      <c r="M23" s="56" t="str">
        <f t="shared" ref="M23:M33" si="5">IF(OR(K23="",L23=""),"",L23-K23)</f>
        <v/>
      </c>
      <c r="N23" s="57">
        <f t="shared" si="2"/>
        <v>2</v>
      </c>
      <c r="O23" s="58" t="str">
        <f t="shared" ref="O23:O33" si="6">IF(AND(C23&lt;&gt;"",K23&lt;&gt;"",K23&lt;C23),"⚠ Arrival &lt; Loaded",IF(AND(K23&lt;&gt;"",L23&lt;&gt;"",L23&lt;K23),"⚠ Offloaded &lt; Arrival",IF(M23="","",IF(M23&gt;N23,"DEMURRAGE","OK"))))</f>
        <v/>
      </c>
      <c r="P23" s="59" t="str">
        <f t="shared" ref="P23:P33" si="7">IF(M23="","",MAX(0,M23-N23)*$O$7)</f>
        <v/>
      </c>
    </row>
    <row r="24" spans="1:16" ht="21.95" customHeight="1" x14ac:dyDescent="0.25">
      <c r="A24" s="54">
        <f t="shared" si="0"/>
        <v>190778</v>
      </c>
      <c r="B24" s="55" t="str">
        <f>IFERROR(_xlfn.XLOOKUP($O$5,DealsMaster[Deal No.],DealsMaster[Consignee]),"")</f>
        <v>Lake Petroleum Zambia</v>
      </c>
      <c r="C24" s="64"/>
      <c r="D24" s="70" t="str">
        <f>IFERROR(_xlfn.XLOOKUP($O$5,DealsMaster[Deal No.],DealsMaster[Loading Port]),"")</f>
        <v>Beira</v>
      </c>
      <c r="E24" s="65"/>
      <c r="F24" s="65"/>
      <c r="G24" s="66"/>
      <c r="H24" s="66"/>
      <c r="I24" s="71" t="str">
        <f>IFERROR(_xlfn.XLOOKUP($O$5,DealsMaster[Deal No.],DealsMaster[Destination]),"")</f>
        <v>Lusaka</v>
      </c>
      <c r="J24" s="71" t="str">
        <f>IFERROR(_xlfn.XLOOKUP($O$5,DealsMaster[Deal No.],DealsMaster[Product]),"")</f>
        <v>AGO</v>
      </c>
      <c r="K24" s="64"/>
      <c r="L24" s="64"/>
      <c r="M24" s="56" t="str">
        <f t="shared" si="5"/>
        <v/>
      </c>
      <c r="N24" s="57">
        <f t="shared" si="2"/>
        <v>2</v>
      </c>
      <c r="O24" s="58" t="str">
        <f t="shared" si="6"/>
        <v/>
      </c>
      <c r="P24" s="59" t="str">
        <f t="shared" si="7"/>
        <v/>
      </c>
    </row>
    <row r="25" spans="1:16" ht="21.95" customHeight="1" x14ac:dyDescent="0.25">
      <c r="A25" s="54">
        <f t="shared" si="0"/>
        <v>190778</v>
      </c>
      <c r="B25" s="55" t="str">
        <f>IFERROR(_xlfn.XLOOKUP($O$5,DealsMaster[Deal No.],DealsMaster[Consignee]),"")</f>
        <v>Lake Petroleum Zambia</v>
      </c>
      <c r="C25" s="64"/>
      <c r="D25" s="70" t="str">
        <f>IFERROR(_xlfn.XLOOKUP($O$5,DealsMaster[Deal No.],DealsMaster[Loading Port]),"")</f>
        <v>Beira</v>
      </c>
      <c r="E25" s="65"/>
      <c r="F25" s="65"/>
      <c r="G25" s="66"/>
      <c r="H25" s="66"/>
      <c r="I25" s="71" t="str">
        <f>IFERROR(_xlfn.XLOOKUP($O$5,DealsMaster[Deal No.],DealsMaster[Destination]),"")</f>
        <v>Lusaka</v>
      </c>
      <c r="J25" s="71" t="str">
        <f>IFERROR(_xlfn.XLOOKUP($O$5,DealsMaster[Deal No.],DealsMaster[Product]),"")</f>
        <v>AGO</v>
      </c>
      <c r="K25" s="64"/>
      <c r="L25" s="64"/>
      <c r="M25" s="56" t="str">
        <f t="shared" si="5"/>
        <v/>
      </c>
      <c r="N25" s="57">
        <f t="shared" si="2"/>
        <v>2</v>
      </c>
      <c r="O25" s="58" t="str">
        <f t="shared" si="6"/>
        <v/>
      </c>
      <c r="P25" s="59" t="str">
        <f t="shared" si="7"/>
        <v/>
      </c>
    </row>
    <row r="26" spans="1:16" ht="21.95" customHeight="1" x14ac:dyDescent="0.25">
      <c r="A26" s="54">
        <f t="shared" si="0"/>
        <v>190778</v>
      </c>
      <c r="B26" s="55" t="str">
        <f>IFERROR(_xlfn.XLOOKUP($O$5,DealsMaster[Deal No.],DealsMaster[Consignee]),"")</f>
        <v>Lake Petroleum Zambia</v>
      </c>
      <c r="C26" s="64"/>
      <c r="D26" s="70" t="str">
        <f>IFERROR(_xlfn.XLOOKUP($O$5,DealsMaster[Deal No.],DealsMaster[Loading Port]),"")</f>
        <v>Beira</v>
      </c>
      <c r="E26" s="65"/>
      <c r="F26" s="65"/>
      <c r="G26" s="66"/>
      <c r="H26" s="66"/>
      <c r="I26" s="71" t="str">
        <f>IFERROR(_xlfn.XLOOKUP($O$5,DealsMaster[Deal No.],DealsMaster[Destination]),"")</f>
        <v>Lusaka</v>
      </c>
      <c r="J26" s="71" t="str">
        <f>IFERROR(_xlfn.XLOOKUP($O$5,DealsMaster[Deal No.],DealsMaster[Product]),"")</f>
        <v>AGO</v>
      </c>
      <c r="K26" s="64"/>
      <c r="L26" s="64"/>
      <c r="M26" s="56" t="str">
        <f t="shared" si="5"/>
        <v/>
      </c>
      <c r="N26" s="57">
        <f t="shared" si="2"/>
        <v>2</v>
      </c>
      <c r="O26" s="58" t="str">
        <f t="shared" si="6"/>
        <v/>
      </c>
      <c r="P26" s="59" t="str">
        <f t="shared" si="7"/>
        <v/>
      </c>
    </row>
    <row r="27" spans="1:16" ht="21.95" customHeight="1" x14ac:dyDescent="0.25">
      <c r="A27" s="54">
        <f t="shared" si="0"/>
        <v>190778</v>
      </c>
      <c r="B27" s="55" t="str">
        <f>IFERROR(_xlfn.XLOOKUP($O$5,DealsMaster[Deal No.],DealsMaster[Consignee]),"")</f>
        <v>Lake Petroleum Zambia</v>
      </c>
      <c r="C27" s="64"/>
      <c r="D27" s="70" t="str">
        <f>IFERROR(_xlfn.XLOOKUP($O$5,DealsMaster[Deal No.],DealsMaster[Loading Port]),"")</f>
        <v>Beira</v>
      </c>
      <c r="E27" s="65"/>
      <c r="F27" s="65"/>
      <c r="G27" s="66"/>
      <c r="H27" s="66"/>
      <c r="I27" s="71" t="str">
        <f>IFERROR(_xlfn.XLOOKUP($O$5,DealsMaster[Deal No.],DealsMaster[Destination]),"")</f>
        <v>Lusaka</v>
      </c>
      <c r="J27" s="71" t="str">
        <f>IFERROR(_xlfn.XLOOKUP($O$5,DealsMaster[Deal No.],DealsMaster[Product]),"")</f>
        <v>AGO</v>
      </c>
      <c r="K27" s="64"/>
      <c r="L27" s="64"/>
      <c r="M27" s="56" t="str">
        <f t="shared" si="5"/>
        <v/>
      </c>
      <c r="N27" s="57">
        <f t="shared" si="2"/>
        <v>2</v>
      </c>
      <c r="O27" s="58" t="str">
        <f t="shared" si="6"/>
        <v/>
      </c>
      <c r="P27" s="59" t="str">
        <f t="shared" si="7"/>
        <v/>
      </c>
    </row>
    <row r="28" spans="1:16" ht="21.95" customHeight="1" x14ac:dyDescent="0.25">
      <c r="A28" s="54">
        <f t="shared" si="0"/>
        <v>190778</v>
      </c>
      <c r="B28" s="55" t="str">
        <f>IFERROR(_xlfn.XLOOKUP($O$5,DealsMaster[Deal No.],DealsMaster[Consignee]),"")</f>
        <v>Lake Petroleum Zambia</v>
      </c>
      <c r="C28" s="64"/>
      <c r="D28" s="70" t="str">
        <f>IFERROR(_xlfn.XLOOKUP($O$5,DealsMaster[Deal No.],DealsMaster[Loading Port]),"")</f>
        <v>Beira</v>
      </c>
      <c r="E28" s="65"/>
      <c r="F28" s="65"/>
      <c r="G28" s="66"/>
      <c r="H28" s="66"/>
      <c r="I28" s="71" t="str">
        <f>IFERROR(_xlfn.XLOOKUP($O$5,DealsMaster[Deal No.],DealsMaster[Destination]),"")</f>
        <v>Lusaka</v>
      </c>
      <c r="J28" s="71" t="str">
        <f>IFERROR(_xlfn.XLOOKUP($O$5,DealsMaster[Deal No.],DealsMaster[Product]),"")</f>
        <v>AGO</v>
      </c>
      <c r="K28" s="64"/>
      <c r="L28" s="64"/>
      <c r="M28" s="56" t="str">
        <f t="shared" si="5"/>
        <v/>
      </c>
      <c r="N28" s="57">
        <f t="shared" si="2"/>
        <v>2</v>
      </c>
      <c r="O28" s="58" t="str">
        <f t="shared" si="6"/>
        <v/>
      </c>
      <c r="P28" s="59" t="str">
        <f t="shared" si="7"/>
        <v/>
      </c>
    </row>
    <row r="29" spans="1:16" ht="21.95" customHeight="1" x14ac:dyDescent="0.25">
      <c r="A29" s="54">
        <f t="shared" si="0"/>
        <v>190778</v>
      </c>
      <c r="B29" s="55" t="str">
        <f>IFERROR(_xlfn.XLOOKUP($O$5,DealsMaster[Deal No.],DealsMaster[Consignee]),"")</f>
        <v>Lake Petroleum Zambia</v>
      </c>
      <c r="C29" s="64"/>
      <c r="D29" s="70" t="str">
        <f>IFERROR(_xlfn.XLOOKUP($O$5,DealsMaster[Deal No.],DealsMaster[Loading Port]),"")</f>
        <v>Beira</v>
      </c>
      <c r="E29" s="65"/>
      <c r="F29" s="65"/>
      <c r="G29" s="66"/>
      <c r="H29" s="66"/>
      <c r="I29" s="71" t="str">
        <f>IFERROR(_xlfn.XLOOKUP($O$5,DealsMaster[Deal No.],DealsMaster[Destination]),"")</f>
        <v>Lusaka</v>
      </c>
      <c r="J29" s="71" t="str">
        <f>IFERROR(_xlfn.XLOOKUP($O$5,DealsMaster[Deal No.],DealsMaster[Product]),"")</f>
        <v>AGO</v>
      </c>
      <c r="K29" s="64"/>
      <c r="L29" s="64"/>
      <c r="M29" s="56" t="str">
        <f t="shared" si="5"/>
        <v/>
      </c>
      <c r="N29" s="57">
        <f t="shared" si="2"/>
        <v>2</v>
      </c>
      <c r="O29" s="58" t="str">
        <f t="shared" si="6"/>
        <v/>
      </c>
      <c r="P29" s="59" t="str">
        <f t="shared" si="7"/>
        <v/>
      </c>
    </row>
    <row r="30" spans="1:16" ht="21.95" customHeight="1" x14ac:dyDescent="0.25">
      <c r="A30" s="54">
        <f t="shared" si="0"/>
        <v>190778</v>
      </c>
      <c r="B30" s="55" t="str">
        <f>IFERROR(_xlfn.XLOOKUP($O$5,DealsMaster[Deal No.],DealsMaster[Consignee]),"")</f>
        <v>Lake Petroleum Zambia</v>
      </c>
      <c r="C30" s="64"/>
      <c r="D30" s="70" t="str">
        <f>IFERROR(_xlfn.XLOOKUP($O$5,DealsMaster[Deal No.],DealsMaster[Loading Port]),"")</f>
        <v>Beira</v>
      </c>
      <c r="E30" s="65"/>
      <c r="F30" s="65"/>
      <c r="G30" s="66"/>
      <c r="H30" s="66"/>
      <c r="I30" s="71" t="str">
        <f>IFERROR(_xlfn.XLOOKUP($O$5,DealsMaster[Deal No.],DealsMaster[Destination]),"")</f>
        <v>Lusaka</v>
      </c>
      <c r="J30" s="71" t="str">
        <f>IFERROR(_xlfn.XLOOKUP($O$5,DealsMaster[Deal No.],DealsMaster[Product]),"")</f>
        <v>AGO</v>
      </c>
      <c r="K30" s="64"/>
      <c r="L30" s="64"/>
      <c r="M30" s="56" t="str">
        <f t="shared" si="5"/>
        <v/>
      </c>
      <c r="N30" s="57">
        <f t="shared" si="2"/>
        <v>2</v>
      </c>
      <c r="O30" s="58" t="str">
        <f t="shared" si="6"/>
        <v/>
      </c>
      <c r="P30" s="59" t="str">
        <f t="shared" si="7"/>
        <v/>
      </c>
    </row>
    <row r="31" spans="1:16" ht="21.95" customHeight="1" x14ac:dyDescent="0.25">
      <c r="A31" s="54">
        <f t="shared" si="0"/>
        <v>190778</v>
      </c>
      <c r="B31" s="55" t="str">
        <f>IFERROR(_xlfn.XLOOKUP($O$5,DealsMaster[Deal No.],DealsMaster[Consignee]),"")</f>
        <v>Lake Petroleum Zambia</v>
      </c>
      <c r="C31" s="64"/>
      <c r="D31" s="70" t="str">
        <f>IFERROR(_xlfn.XLOOKUP($O$5,DealsMaster[Deal No.],DealsMaster[Loading Port]),"")</f>
        <v>Beira</v>
      </c>
      <c r="E31" s="65"/>
      <c r="F31" s="65"/>
      <c r="G31" s="66"/>
      <c r="H31" s="66"/>
      <c r="I31" s="71" t="str">
        <f>IFERROR(_xlfn.XLOOKUP($O$5,DealsMaster[Deal No.],DealsMaster[Destination]),"")</f>
        <v>Lusaka</v>
      </c>
      <c r="J31" s="71" t="str">
        <f>IFERROR(_xlfn.XLOOKUP($O$5,DealsMaster[Deal No.],DealsMaster[Product]),"")</f>
        <v>AGO</v>
      </c>
      <c r="K31" s="64"/>
      <c r="L31" s="64"/>
      <c r="M31" s="56" t="str">
        <f t="shared" si="5"/>
        <v/>
      </c>
      <c r="N31" s="57">
        <f t="shared" si="2"/>
        <v>2</v>
      </c>
      <c r="O31" s="58" t="str">
        <f t="shared" si="6"/>
        <v/>
      </c>
      <c r="P31" s="59" t="str">
        <f t="shared" si="7"/>
        <v/>
      </c>
    </row>
    <row r="32" spans="1:16" ht="21.95" customHeight="1" x14ac:dyDescent="0.25">
      <c r="A32" s="54">
        <f t="shared" si="0"/>
        <v>190778</v>
      </c>
      <c r="B32" s="55" t="str">
        <f>IFERROR(_xlfn.XLOOKUP($O$5,DealsMaster[Deal No.],DealsMaster[Consignee]),"")</f>
        <v>Lake Petroleum Zambia</v>
      </c>
      <c r="C32" s="64"/>
      <c r="D32" s="70" t="str">
        <f>IFERROR(_xlfn.XLOOKUP($O$5,DealsMaster[Deal No.],DealsMaster[Loading Port]),"")</f>
        <v>Beira</v>
      </c>
      <c r="E32" s="65"/>
      <c r="F32" s="65"/>
      <c r="G32" s="66"/>
      <c r="H32" s="66"/>
      <c r="I32" s="71" t="str">
        <f>IFERROR(_xlfn.XLOOKUP($O$5,DealsMaster[Deal No.],DealsMaster[Destination]),"")</f>
        <v>Lusaka</v>
      </c>
      <c r="J32" s="71" t="str">
        <f>IFERROR(_xlfn.XLOOKUP($O$5,DealsMaster[Deal No.],DealsMaster[Product]),"")</f>
        <v>AGO</v>
      </c>
      <c r="K32" s="64"/>
      <c r="L32" s="64"/>
      <c r="M32" s="56" t="str">
        <f t="shared" si="5"/>
        <v/>
      </c>
      <c r="N32" s="57">
        <f t="shared" si="2"/>
        <v>2</v>
      </c>
      <c r="O32" s="58" t="str">
        <f t="shared" si="6"/>
        <v/>
      </c>
      <c r="P32" s="59" t="str">
        <f t="shared" si="7"/>
        <v/>
      </c>
    </row>
    <row r="33" spans="1:16" ht="21.95" customHeight="1" x14ac:dyDescent="0.25">
      <c r="A33" s="54">
        <f t="shared" si="0"/>
        <v>190778</v>
      </c>
      <c r="B33" s="55" t="str">
        <f>IFERROR(_xlfn.XLOOKUP($O$5,DealsMaster[Deal No.],DealsMaster[Consignee]),"")</f>
        <v>Lake Petroleum Zambia</v>
      </c>
      <c r="C33" s="64"/>
      <c r="D33" s="70" t="str">
        <f>IFERROR(_xlfn.XLOOKUP($O$5,DealsMaster[Deal No.],DealsMaster[Loading Port]),"")</f>
        <v>Beira</v>
      </c>
      <c r="E33" s="65"/>
      <c r="F33" s="65"/>
      <c r="G33" s="66"/>
      <c r="H33" s="66"/>
      <c r="I33" s="71" t="str">
        <f>IFERROR(_xlfn.XLOOKUP($O$5,DealsMaster[Deal No.],DealsMaster[Destination]),"")</f>
        <v>Lusaka</v>
      </c>
      <c r="J33" s="71" t="str">
        <f>IFERROR(_xlfn.XLOOKUP($O$5,DealsMaster[Deal No.],DealsMaster[Product]),"")</f>
        <v>AGO</v>
      </c>
      <c r="K33" s="64"/>
      <c r="L33" s="64"/>
      <c r="M33" s="56" t="str">
        <f t="shared" si="5"/>
        <v/>
      </c>
      <c r="N33" s="57">
        <f t="shared" si="2"/>
        <v>2</v>
      </c>
      <c r="O33" s="58" t="str">
        <f t="shared" si="6"/>
        <v/>
      </c>
      <c r="P33" s="59" t="str">
        <f t="shared" si="7"/>
        <v/>
      </c>
    </row>
    <row r="34" spans="1:16" ht="15.75" thickBot="1" x14ac:dyDescent="0.3">
      <c r="A34" s="60" t="s">
        <v>14</v>
      </c>
      <c r="B34" s="61"/>
      <c r="C34" s="62"/>
      <c r="D34" s="62"/>
      <c r="E34" s="62"/>
      <c r="F34" s="62"/>
      <c r="G34" s="61"/>
      <c r="H34" s="61"/>
      <c r="I34" s="61"/>
      <c r="J34" s="61"/>
      <c r="K34" s="62"/>
      <c r="L34" s="62"/>
      <c r="M34" s="62"/>
      <c r="N34" s="62"/>
      <c r="O34" s="62"/>
      <c r="P34" s="63">
        <f>SUBTOTAL(109,P10:P22)</f>
        <v>0</v>
      </c>
    </row>
    <row r="35" spans="1:16" x14ac:dyDescent="0.25">
      <c r="N35" s="1"/>
    </row>
    <row r="36" spans="1:16" x14ac:dyDescent="0.25">
      <c r="N36" s="1"/>
    </row>
    <row r="37" spans="1:16" x14ac:dyDescent="0.25">
      <c r="N37" s="1"/>
    </row>
    <row r="38" spans="1:16" x14ac:dyDescent="0.25">
      <c r="N38" s="1"/>
    </row>
    <row r="39" spans="1:16" x14ac:dyDescent="0.25">
      <c r="N39" s="1"/>
    </row>
    <row r="40" spans="1:16" x14ac:dyDescent="0.25">
      <c r="N40" s="1"/>
    </row>
    <row r="41" spans="1:16" x14ac:dyDescent="0.25">
      <c r="N41" s="1"/>
    </row>
    <row r="42" spans="1:16" x14ac:dyDescent="0.25">
      <c r="N42" s="1"/>
    </row>
    <row r="43" spans="1:16" x14ac:dyDescent="0.25">
      <c r="N43" s="1"/>
    </row>
    <row r="44" spans="1:16" x14ac:dyDescent="0.25">
      <c r="N44" s="1"/>
    </row>
    <row r="45" spans="1:16" x14ac:dyDescent="0.25">
      <c r="N45" s="1"/>
    </row>
    <row r="46" spans="1:16" x14ac:dyDescent="0.25">
      <c r="N46" s="1"/>
    </row>
    <row r="47" spans="1:16" x14ac:dyDescent="0.25">
      <c r="N47" s="1"/>
    </row>
    <row r="48" spans="1:16" x14ac:dyDescent="0.25">
      <c r="N48" s="1"/>
    </row>
    <row r="49" spans="14:14" x14ac:dyDescent="0.25">
      <c r="N49" s="1"/>
    </row>
    <row r="50" spans="14:14" x14ac:dyDescent="0.25">
      <c r="N50" s="1"/>
    </row>
    <row r="51" spans="14:14" x14ac:dyDescent="0.25">
      <c r="N51" s="1"/>
    </row>
    <row r="52" spans="14:14" x14ac:dyDescent="0.25">
      <c r="N52" s="1"/>
    </row>
    <row r="53" spans="14:14" x14ac:dyDescent="0.25">
      <c r="N53" s="1"/>
    </row>
    <row r="54" spans="14:14" x14ac:dyDescent="0.25">
      <c r="N54" s="1"/>
    </row>
    <row r="55" spans="14:14" x14ac:dyDescent="0.25">
      <c r="N55" s="1"/>
    </row>
    <row r="56" spans="14:14" x14ac:dyDescent="0.25">
      <c r="N56" s="1"/>
    </row>
    <row r="57" spans="14:14" x14ac:dyDescent="0.25">
      <c r="N57" s="1"/>
    </row>
  </sheetData>
  <sheetProtection autoFilter="0"/>
  <mergeCells count="9">
    <mergeCell ref="C5:E7"/>
    <mergeCell ref="F5:H7"/>
    <mergeCell ref="A1:B1"/>
    <mergeCell ref="C1:P1"/>
    <mergeCell ref="A2:P2"/>
    <mergeCell ref="C3:O3"/>
    <mergeCell ref="C4:E4"/>
    <mergeCell ref="F4:H4"/>
    <mergeCell ref="N4:O4"/>
  </mergeCells>
  <dataValidations count="6">
    <dataValidation type="date" allowBlank="1" showInputMessage="1" showErrorMessage="1" errorTitle="Invalid date" error="Please enter a valid date (e.g. 15-Jan-2025). Text entries are not allowed." promptTitle="Offloaded Date" prompt="Enter a date between 2020 and 2030." sqref="L10:L33" xr:uid="{92CA867A-59E2-43E7-861C-764F7AD38748}">
      <formula1>43831</formula1>
      <formula2>47848</formula2>
    </dataValidation>
    <dataValidation type="date" allowBlank="1" showInputMessage="1" showErrorMessage="1" errorTitle="Invalid date" error="Please enter a valid date (e.g. 15-Jan-2025). Text entries are not allowed." promptTitle="Arrival Date" prompt="Enter a date between 2020 and 2030." sqref="K10:K33" xr:uid="{E78B3F1F-7053-49AA-B76A-66644BCC05E9}">
      <formula1>43831</formula1>
      <formula2>47848</formula2>
    </dataValidation>
    <dataValidation type="date" allowBlank="1" showInputMessage="1" showErrorMessage="1" errorTitle="Invalid date" error="Please enter a valid date (e.g. 15-Jan-2025). Text entries are not allowed." promptTitle="Date Loaded" prompt="Enter a date between 2020 and 2030." sqref="C10:C33" xr:uid="{7269A201-66AD-4EC1-8FE8-1F34C177FA43}">
      <formula1>43831</formula1>
      <formula2>47848</formula2>
    </dataValidation>
    <dataValidation type="list" allowBlank="1" showInputMessage="1" showErrorMessage="1" errorTitle="Invalid entry" error="Please pick a value from the list." sqref="D10:D33" xr:uid="{C02A032E-4B90-4FCE-9E1B-F1C6A137F6A0}">
      <formula1>"Dar Es Salaam,Beira"</formula1>
    </dataValidation>
    <dataValidation type="list" allowBlank="1" showInputMessage="1" showErrorMessage="1" errorTitle="Invalid entry" error="Please pick a value from the list." sqref="I10:I33" xr:uid="{AE61A751-C02D-4E0E-9334-11999B118603}">
      <formula1>"Lusaka,Lubumbashi,Chipata"</formula1>
    </dataValidation>
    <dataValidation type="list" allowBlank="1" showInputMessage="1" showErrorMessage="1" errorTitle="Invalid entry" error="Please pick a value from the list." sqref="J10:J33" xr:uid="{95EE0F8A-1C09-4D89-BF65-8C466498DBE3}">
      <formula1>"PMS,AGO"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354DC-5D8A-41C8-96FB-7F8E01598DD7}">
  <sheetPr>
    <tabColor rgb="FFF2B233"/>
  </sheetPr>
  <dimension ref="A1:P54"/>
  <sheetViews>
    <sheetView showGridLines="0" zoomScaleNormal="100" workbookViewId="0">
      <pane ySplit="9" topLeftCell="A10" activePane="bottomLeft" state="frozen"/>
      <selection activeCell="M1" sqref="M1"/>
      <selection pane="bottomLeft" activeCell="A14" sqref="A14"/>
    </sheetView>
  </sheetViews>
  <sheetFormatPr defaultRowHeight="15" x14ac:dyDescent="0.25"/>
  <cols>
    <col min="1" max="1" width="21" customWidth="1"/>
    <col min="2" max="2" width="31.42578125" customWidth="1"/>
    <col min="3" max="3" width="19" customWidth="1"/>
    <col min="4" max="4" width="24.7109375" customWidth="1"/>
    <col min="5" max="5" width="18.140625" customWidth="1"/>
    <col min="6" max="6" width="19" customWidth="1"/>
    <col min="7" max="8" width="26.7109375" customWidth="1"/>
    <col min="9" max="9" width="21.85546875" customWidth="1"/>
    <col min="10" max="10" width="15.28515625" customWidth="1"/>
    <col min="11" max="12" width="21.85546875" customWidth="1"/>
    <col min="13" max="13" width="17.140625" customWidth="1"/>
    <col min="14" max="14" width="18.140625" customWidth="1"/>
    <col min="15" max="15" width="21.85546875" customWidth="1"/>
    <col min="16" max="16" width="27.5703125" customWidth="1"/>
  </cols>
  <sheetData>
    <row r="1" spans="1:16" ht="60" customHeight="1" x14ac:dyDescent="0.25">
      <c r="A1" s="88"/>
      <c r="B1" s="89"/>
      <c r="C1" s="90" t="str">
        <f>IF(O5=0,"DEMURRAGE CALCULATION  —  [ENTER DEAL NO. ABOVE]","DEMURRAGE CALCULATION  —  "&amp;TEXT(O5,"0")&amp;" - "&amp;UPPER(IFERROR(_xlfn.XLOOKUP(O5,DealsMaster[Deal No.],DealsMaster[Consignee]),""))&amp;" - "&amp;UPPER(IFERROR(_xlfn.XLOOKUP(O5,DealsMaster[Deal No.],DealsMaster[Route]),"")))</f>
        <v>DEMURRAGE CALCULATION  —  [ENTER DEAL NO. ABOVE]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</row>
    <row r="2" spans="1:16" ht="6" customHeight="1" x14ac:dyDescent="0.25">
      <c r="A2" s="91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</row>
    <row r="3" spans="1:16" ht="20.100000000000001" customHeight="1" x14ac:dyDescent="0.25">
      <c r="C3" s="92" t="s">
        <v>27</v>
      </c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</row>
    <row r="4" spans="1:16" ht="20.100000000000001" customHeight="1" x14ac:dyDescent="0.25">
      <c r="C4" s="93" t="s">
        <v>28</v>
      </c>
      <c r="D4" s="94"/>
      <c r="E4" s="94"/>
      <c r="F4" s="95" t="s">
        <v>29</v>
      </c>
      <c r="G4" s="94"/>
      <c r="H4" s="94"/>
      <c r="I4" s="49"/>
      <c r="J4" s="49"/>
      <c r="K4" s="49"/>
      <c r="L4" s="49"/>
      <c r="M4" s="49"/>
      <c r="N4" s="93" t="s">
        <v>30</v>
      </c>
      <c r="O4" s="94"/>
    </row>
    <row r="5" spans="1:16" ht="18" customHeight="1" x14ac:dyDescent="0.25">
      <c r="C5" s="78">
        <f>SUM(TEMPLATE!$P$10:$P$22)</f>
        <v>0</v>
      </c>
      <c r="D5" s="79"/>
      <c r="E5" s="79"/>
      <c r="F5" s="83" t="s">
        <v>313</v>
      </c>
      <c r="G5" s="84"/>
      <c r="H5" s="84"/>
      <c r="I5" s="49"/>
      <c r="J5" s="49"/>
      <c r="K5" s="49"/>
      <c r="L5" s="49"/>
      <c r="M5" s="49"/>
      <c r="N5" s="5" t="s">
        <v>21</v>
      </c>
      <c r="O5" s="75"/>
    </row>
    <row r="6" spans="1:16" ht="18" customHeight="1" x14ac:dyDescent="0.25">
      <c r="C6" s="80"/>
      <c r="D6" s="79"/>
      <c r="E6" s="79"/>
      <c r="F6" s="85"/>
      <c r="G6" s="84"/>
      <c r="H6" s="84"/>
      <c r="I6" s="49"/>
      <c r="J6" s="49"/>
      <c r="K6" s="49"/>
      <c r="L6" s="49"/>
      <c r="M6" s="49"/>
      <c r="N6" s="5" t="s">
        <v>31</v>
      </c>
      <c r="O6" s="36">
        <f>IFERROR(_xlfn.XLOOKUP($O$5,DealsMaster[Deal No.],DealsMaster[Laytime Allowance (days)]),0)</f>
        <v>0</v>
      </c>
    </row>
    <row r="7" spans="1:16" ht="18" customHeight="1" x14ac:dyDescent="0.25">
      <c r="C7" s="81"/>
      <c r="D7" s="82"/>
      <c r="E7" s="82"/>
      <c r="F7" s="86"/>
      <c r="G7" s="87"/>
      <c r="H7" s="87"/>
      <c r="I7" s="49"/>
      <c r="J7" s="49"/>
      <c r="K7" s="49"/>
      <c r="L7" s="49"/>
      <c r="M7" s="49"/>
      <c r="N7" s="6" t="s">
        <v>32</v>
      </c>
      <c r="O7" s="74">
        <f>IFERROR(_xlfn.XLOOKUP($O$5,DealsMaster[Deal No.],DealsMaster[Demurrage Rate (USD/day)]),0)</f>
        <v>0</v>
      </c>
    </row>
    <row r="8" spans="1:16" ht="15.75" thickBot="1" x14ac:dyDescent="0.3">
      <c r="A8" s="48" t="s">
        <v>53</v>
      </c>
      <c r="B8" s="12" t="s">
        <v>54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6" ht="44.1" customHeight="1" x14ac:dyDescent="0.25">
      <c r="A9" s="50" t="s">
        <v>0</v>
      </c>
      <c r="B9" s="51" t="s">
        <v>1</v>
      </c>
      <c r="C9" s="51" t="s">
        <v>2</v>
      </c>
      <c r="D9" s="51" t="s">
        <v>19</v>
      </c>
      <c r="E9" s="51" t="s">
        <v>3</v>
      </c>
      <c r="F9" s="51" t="s">
        <v>4</v>
      </c>
      <c r="G9" s="51" t="s">
        <v>5</v>
      </c>
      <c r="H9" s="51" t="s">
        <v>6</v>
      </c>
      <c r="I9" s="51" t="s">
        <v>7</v>
      </c>
      <c r="J9" s="51" t="s">
        <v>8</v>
      </c>
      <c r="K9" s="51" t="s">
        <v>9</v>
      </c>
      <c r="L9" s="51" t="s">
        <v>10</v>
      </c>
      <c r="M9" s="51" t="s">
        <v>11</v>
      </c>
      <c r="N9" s="52" t="s">
        <v>25</v>
      </c>
      <c r="O9" s="52" t="s">
        <v>26</v>
      </c>
      <c r="P9" s="53" t="s">
        <v>13</v>
      </c>
    </row>
    <row r="10" spans="1:16" ht="21.95" customHeight="1" x14ac:dyDescent="0.25">
      <c r="A10" s="54">
        <f>$O$5</f>
        <v>0</v>
      </c>
      <c r="B10" s="55" t="str">
        <f>IFERROR(_xlfn.XLOOKUP($O$5,DealsMaster[Deal No.],DealsMaster[Consignee]),"")</f>
        <v/>
      </c>
      <c r="C10" s="64"/>
      <c r="D10" s="70" t="str">
        <f>IFERROR(_xlfn.XLOOKUP($O$5,DealsMaster[Deal No.],DealsMaster[Loading Port]),"")</f>
        <v/>
      </c>
      <c r="E10" s="65"/>
      <c r="F10" s="65"/>
      <c r="G10" s="66"/>
      <c r="H10" s="66"/>
      <c r="I10" s="71" t="str">
        <f>IFERROR(_xlfn.XLOOKUP($O$5,DealsMaster[Deal No.],DealsMaster[Destination]),"")</f>
        <v/>
      </c>
      <c r="J10" s="71" t="str">
        <f>IFERROR(_xlfn.XLOOKUP($O$5,DealsMaster[Deal No.],DealsMaster[Product]),"")</f>
        <v/>
      </c>
      <c r="K10" s="64"/>
      <c r="L10" s="64"/>
      <c r="M10" s="56" t="str">
        <f>IF(OR(K10="",L10=""),"",L10-K10)</f>
        <v/>
      </c>
      <c r="N10" s="57">
        <f>$O$6</f>
        <v>0</v>
      </c>
      <c r="O10" s="58" t="str">
        <f>IF(AND(C10&lt;&gt;"",K10&lt;&gt;"",K10&lt;C10),"⚠ Arrival &lt; Loaded",IF(AND(K10&lt;&gt;"",L10&lt;&gt;"",L10&lt;K10),"⚠ Offloaded &lt; Arrival",IF(M10="","",IF(M10&gt;N10,"DEMURRAGE","OK"))))</f>
        <v/>
      </c>
      <c r="P10" s="59" t="str">
        <f>IF(M10="","",MAX(0,M10-N10)*$O$7)</f>
        <v/>
      </c>
    </row>
    <row r="11" spans="1:16" ht="21.95" customHeight="1" x14ac:dyDescent="0.25">
      <c r="A11" s="54">
        <f t="shared" ref="A11:A30" si="0">$O$5</f>
        <v>0</v>
      </c>
      <c r="B11" s="55" t="str">
        <f>IFERROR(_xlfn.XLOOKUP($O$5,DealsMaster[Deal No.],DealsMaster[Consignee]),"")</f>
        <v/>
      </c>
      <c r="C11" s="64"/>
      <c r="D11" s="70" t="str">
        <f>IFERROR(_xlfn.XLOOKUP($O$5,DealsMaster[Deal No.],DealsMaster[Loading Port]),"")</f>
        <v/>
      </c>
      <c r="E11" s="65"/>
      <c r="F11" s="65"/>
      <c r="G11" s="66"/>
      <c r="H11" s="66"/>
      <c r="I11" s="71" t="str">
        <f>IFERROR(_xlfn.XLOOKUP($O$5,DealsMaster[Deal No.],DealsMaster[Destination]),"")</f>
        <v/>
      </c>
      <c r="J11" s="71" t="str">
        <f>IFERROR(_xlfn.XLOOKUP($O$5,DealsMaster[Deal No.],DealsMaster[Product]),"")</f>
        <v/>
      </c>
      <c r="K11" s="64"/>
      <c r="L11" s="64"/>
      <c r="M11" s="56" t="str">
        <f t="shared" ref="M11:M22" si="1">IF(OR(K11="",L11=""),"",L11-K11)</f>
        <v/>
      </c>
      <c r="N11" s="57">
        <f t="shared" ref="N11:N30" si="2">$O$6</f>
        <v>0</v>
      </c>
      <c r="O11" s="58" t="str">
        <f t="shared" ref="O11:O22" si="3">IF(AND(C11&lt;&gt;"",K11&lt;&gt;"",K11&lt;C11),"⚠ Arrival &lt; Loaded",IF(AND(K11&lt;&gt;"",L11&lt;&gt;"",L11&lt;K11),"⚠ Offloaded &lt; Arrival",IF(M11="","",IF(M11&gt;N11,"DEMURRAGE","OK"))))</f>
        <v/>
      </c>
      <c r="P11" s="59" t="str">
        <f t="shared" ref="P11:P22" si="4">IF(M11="","",MAX(0,M11-N11)*$O$7)</f>
        <v/>
      </c>
    </row>
    <row r="12" spans="1:16" ht="21.95" customHeight="1" x14ac:dyDescent="0.25">
      <c r="A12" s="54">
        <f t="shared" si="0"/>
        <v>0</v>
      </c>
      <c r="B12" s="55" t="str">
        <f>IFERROR(_xlfn.XLOOKUP($O$5,DealsMaster[Deal No.],DealsMaster[Consignee]),"")</f>
        <v/>
      </c>
      <c r="C12" s="64"/>
      <c r="D12" s="70" t="str">
        <f>IFERROR(_xlfn.XLOOKUP($O$5,DealsMaster[Deal No.],DealsMaster[Loading Port]),"")</f>
        <v/>
      </c>
      <c r="E12" s="65"/>
      <c r="F12" s="65"/>
      <c r="G12" s="66"/>
      <c r="H12" s="66"/>
      <c r="I12" s="71" t="str">
        <f>IFERROR(_xlfn.XLOOKUP($O$5,DealsMaster[Deal No.],DealsMaster[Destination]),"")</f>
        <v/>
      </c>
      <c r="J12" s="71" t="str">
        <f>IFERROR(_xlfn.XLOOKUP($O$5,DealsMaster[Deal No.],DealsMaster[Product]),"")</f>
        <v/>
      </c>
      <c r="K12" s="64"/>
      <c r="L12" s="64"/>
      <c r="M12" s="56" t="str">
        <f t="shared" si="1"/>
        <v/>
      </c>
      <c r="N12" s="57">
        <f t="shared" si="2"/>
        <v>0</v>
      </c>
      <c r="O12" s="58" t="str">
        <f t="shared" si="3"/>
        <v/>
      </c>
      <c r="P12" s="59" t="str">
        <f t="shared" si="4"/>
        <v/>
      </c>
    </row>
    <row r="13" spans="1:16" ht="21.95" customHeight="1" x14ac:dyDescent="0.25">
      <c r="A13" s="54">
        <f t="shared" si="0"/>
        <v>0</v>
      </c>
      <c r="B13" s="55" t="str">
        <f>IFERROR(_xlfn.XLOOKUP($O$5,DealsMaster[Deal No.],DealsMaster[Consignee]),"")</f>
        <v/>
      </c>
      <c r="C13" s="64"/>
      <c r="D13" s="70" t="str">
        <f>IFERROR(_xlfn.XLOOKUP($O$5,DealsMaster[Deal No.],DealsMaster[Loading Port]),"")</f>
        <v/>
      </c>
      <c r="E13" s="65"/>
      <c r="F13" s="65"/>
      <c r="G13" s="66"/>
      <c r="H13" s="66"/>
      <c r="I13" s="71" t="str">
        <f>IFERROR(_xlfn.XLOOKUP($O$5,DealsMaster[Deal No.],DealsMaster[Destination]),"")</f>
        <v/>
      </c>
      <c r="J13" s="71" t="str">
        <f>IFERROR(_xlfn.XLOOKUP($O$5,DealsMaster[Deal No.],DealsMaster[Product]),"")</f>
        <v/>
      </c>
      <c r="K13" s="64"/>
      <c r="L13" s="64"/>
      <c r="M13" s="56" t="str">
        <f t="shared" si="1"/>
        <v/>
      </c>
      <c r="N13" s="57">
        <f t="shared" si="2"/>
        <v>0</v>
      </c>
      <c r="O13" s="58" t="str">
        <f t="shared" si="3"/>
        <v/>
      </c>
      <c r="P13" s="59" t="str">
        <f t="shared" si="4"/>
        <v/>
      </c>
    </row>
    <row r="14" spans="1:16" ht="21.95" customHeight="1" x14ac:dyDescent="0.25">
      <c r="A14" s="54">
        <f t="shared" si="0"/>
        <v>0</v>
      </c>
      <c r="B14" s="55" t="str">
        <f>IFERROR(_xlfn.XLOOKUP($O$5,DealsMaster[Deal No.],DealsMaster[Consignee]),"")</f>
        <v/>
      </c>
      <c r="C14" s="64"/>
      <c r="D14" s="70" t="str">
        <f>IFERROR(_xlfn.XLOOKUP($O$5,DealsMaster[Deal No.],DealsMaster[Loading Port]),"")</f>
        <v/>
      </c>
      <c r="E14" s="65"/>
      <c r="F14" s="65"/>
      <c r="G14" s="66"/>
      <c r="H14" s="66"/>
      <c r="I14" s="71" t="str">
        <f>IFERROR(_xlfn.XLOOKUP($O$5,DealsMaster[Deal No.],DealsMaster[Destination]),"")</f>
        <v/>
      </c>
      <c r="J14" s="71" t="str">
        <f>IFERROR(_xlfn.XLOOKUP($O$5,DealsMaster[Deal No.],DealsMaster[Product]),"")</f>
        <v/>
      </c>
      <c r="K14" s="64"/>
      <c r="L14" s="64"/>
      <c r="M14" s="56" t="str">
        <f t="shared" si="1"/>
        <v/>
      </c>
      <c r="N14" s="57">
        <f t="shared" si="2"/>
        <v>0</v>
      </c>
      <c r="O14" s="58" t="str">
        <f t="shared" si="3"/>
        <v/>
      </c>
      <c r="P14" s="59" t="str">
        <f t="shared" si="4"/>
        <v/>
      </c>
    </row>
    <row r="15" spans="1:16" ht="21.95" customHeight="1" x14ac:dyDescent="0.25">
      <c r="A15" s="54">
        <f t="shared" si="0"/>
        <v>0</v>
      </c>
      <c r="B15" s="55" t="str">
        <f>IFERROR(_xlfn.XLOOKUP($O$5,DealsMaster[Deal No.],DealsMaster[Consignee]),"")</f>
        <v/>
      </c>
      <c r="C15" s="64"/>
      <c r="D15" s="70" t="str">
        <f>IFERROR(_xlfn.XLOOKUP($O$5,DealsMaster[Deal No.],DealsMaster[Loading Port]),"")</f>
        <v/>
      </c>
      <c r="E15" s="65"/>
      <c r="F15" s="65"/>
      <c r="G15" s="66"/>
      <c r="H15" s="66"/>
      <c r="I15" s="71" t="str">
        <f>IFERROR(_xlfn.XLOOKUP($O$5,DealsMaster[Deal No.],DealsMaster[Destination]),"")</f>
        <v/>
      </c>
      <c r="J15" s="71" t="str">
        <f>IFERROR(_xlfn.XLOOKUP($O$5,DealsMaster[Deal No.],DealsMaster[Product]),"")</f>
        <v/>
      </c>
      <c r="K15" s="64"/>
      <c r="L15" s="64"/>
      <c r="M15" s="56" t="str">
        <f t="shared" si="1"/>
        <v/>
      </c>
      <c r="N15" s="57">
        <f t="shared" si="2"/>
        <v>0</v>
      </c>
      <c r="O15" s="58" t="str">
        <f t="shared" si="3"/>
        <v/>
      </c>
      <c r="P15" s="59" t="str">
        <f t="shared" si="4"/>
        <v/>
      </c>
    </row>
    <row r="16" spans="1:16" ht="21.95" customHeight="1" x14ac:dyDescent="0.25">
      <c r="A16" s="54">
        <f t="shared" si="0"/>
        <v>0</v>
      </c>
      <c r="B16" s="55" t="str">
        <f>IFERROR(_xlfn.XLOOKUP($O$5,DealsMaster[Deal No.],DealsMaster[Consignee]),"")</f>
        <v/>
      </c>
      <c r="C16" s="64"/>
      <c r="D16" s="70" t="str">
        <f>IFERROR(_xlfn.XLOOKUP($O$5,DealsMaster[Deal No.],DealsMaster[Loading Port]),"")</f>
        <v/>
      </c>
      <c r="E16" s="65"/>
      <c r="F16" s="65"/>
      <c r="G16" s="66"/>
      <c r="H16" s="66"/>
      <c r="I16" s="71" t="str">
        <f>IFERROR(_xlfn.XLOOKUP($O$5,DealsMaster[Deal No.],DealsMaster[Destination]),"")</f>
        <v/>
      </c>
      <c r="J16" s="71" t="str">
        <f>IFERROR(_xlfn.XLOOKUP($O$5,DealsMaster[Deal No.],DealsMaster[Product]),"")</f>
        <v/>
      </c>
      <c r="K16" s="64"/>
      <c r="L16" s="64"/>
      <c r="M16" s="56" t="str">
        <f t="shared" si="1"/>
        <v/>
      </c>
      <c r="N16" s="57">
        <f t="shared" si="2"/>
        <v>0</v>
      </c>
      <c r="O16" s="58" t="str">
        <f t="shared" si="3"/>
        <v/>
      </c>
      <c r="P16" s="59" t="str">
        <f t="shared" si="4"/>
        <v/>
      </c>
    </row>
    <row r="17" spans="1:16" ht="21.95" customHeight="1" x14ac:dyDescent="0.25">
      <c r="A17" s="54">
        <f t="shared" si="0"/>
        <v>0</v>
      </c>
      <c r="B17" s="55" t="str">
        <f>IFERROR(_xlfn.XLOOKUP($O$5,DealsMaster[Deal No.],DealsMaster[Consignee]),"")</f>
        <v/>
      </c>
      <c r="C17" s="64"/>
      <c r="D17" s="70" t="str">
        <f>IFERROR(_xlfn.XLOOKUP($O$5,DealsMaster[Deal No.],DealsMaster[Loading Port]),"")</f>
        <v/>
      </c>
      <c r="E17" s="65"/>
      <c r="F17" s="65"/>
      <c r="G17" s="66"/>
      <c r="H17" s="66"/>
      <c r="I17" s="71" t="str">
        <f>IFERROR(_xlfn.XLOOKUP($O$5,DealsMaster[Deal No.],DealsMaster[Destination]),"")</f>
        <v/>
      </c>
      <c r="J17" s="71" t="str">
        <f>IFERROR(_xlfn.XLOOKUP($O$5,DealsMaster[Deal No.],DealsMaster[Product]),"")</f>
        <v/>
      </c>
      <c r="K17" s="64"/>
      <c r="L17" s="64"/>
      <c r="M17" s="56" t="str">
        <f t="shared" si="1"/>
        <v/>
      </c>
      <c r="N17" s="57">
        <f t="shared" si="2"/>
        <v>0</v>
      </c>
      <c r="O17" s="58" t="str">
        <f t="shared" si="3"/>
        <v/>
      </c>
      <c r="P17" s="59" t="str">
        <f t="shared" si="4"/>
        <v/>
      </c>
    </row>
    <row r="18" spans="1:16" ht="21.95" customHeight="1" x14ac:dyDescent="0.25">
      <c r="A18" s="54">
        <f t="shared" si="0"/>
        <v>0</v>
      </c>
      <c r="B18" s="55" t="str">
        <f>IFERROR(_xlfn.XLOOKUP($O$5,DealsMaster[Deal No.],DealsMaster[Consignee]),"")</f>
        <v/>
      </c>
      <c r="C18" s="64"/>
      <c r="D18" s="70" t="str">
        <f>IFERROR(_xlfn.XLOOKUP($O$5,DealsMaster[Deal No.],DealsMaster[Loading Port]),"")</f>
        <v/>
      </c>
      <c r="E18" s="65"/>
      <c r="F18" s="65"/>
      <c r="G18" s="66"/>
      <c r="H18" s="66"/>
      <c r="I18" s="71" t="str">
        <f>IFERROR(_xlfn.XLOOKUP($O$5,DealsMaster[Deal No.],DealsMaster[Destination]),"")</f>
        <v/>
      </c>
      <c r="J18" s="71" t="str">
        <f>IFERROR(_xlfn.XLOOKUP($O$5,DealsMaster[Deal No.],DealsMaster[Product]),"")</f>
        <v/>
      </c>
      <c r="K18" s="64"/>
      <c r="L18" s="64"/>
      <c r="M18" s="56" t="str">
        <f t="shared" si="1"/>
        <v/>
      </c>
      <c r="N18" s="57">
        <f t="shared" si="2"/>
        <v>0</v>
      </c>
      <c r="O18" s="58" t="str">
        <f t="shared" si="3"/>
        <v/>
      </c>
      <c r="P18" s="59" t="str">
        <f t="shared" si="4"/>
        <v/>
      </c>
    </row>
    <row r="19" spans="1:16" ht="21.95" customHeight="1" x14ac:dyDescent="0.25">
      <c r="A19" s="54">
        <f t="shared" si="0"/>
        <v>0</v>
      </c>
      <c r="B19" s="55" t="str">
        <f>IFERROR(_xlfn.XLOOKUP($O$5,DealsMaster[Deal No.],DealsMaster[Consignee]),"")</f>
        <v/>
      </c>
      <c r="C19" s="64"/>
      <c r="D19" s="70" t="str">
        <f>IFERROR(_xlfn.XLOOKUP($O$5,DealsMaster[Deal No.],DealsMaster[Loading Port]),"")</f>
        <v/>
      </c>
      <c r="E19" s="65"/>
      <c r="F19" s="65"/>
      <c r="G19" s="66"/>
      <c r="H19" s="66"/>
      <c r="I19" s="71" t="str">
        <f>IFERROR(_xlfn.XLOOKUP($O$5,DealsMaster[Deal No.],DealsMaster[Destination]),"")</f>
        <v/>
      </c>
      <c r="J19" s="71" t="str">
        <f>IFERROR(_xlfn.XLOOKUP($O$5,DealsMaster[Deal No.],DealsMaster[Product]),"")</f>
        <v/>
      </c>
      <c r="K19" s="64"/>
      <c r="L19" s="64"/>
      <c r="M19" s="56" t="str">
        <f t="shared" si="1"/>
        <v/>
      </c>
      <c r="N19" s="57">
        <f t="shared" si="2"/>
        <v>0</v>
      </c>
      <c r="O19" s="58" t="str">
        <f t="shared" si="3"/>
        <v/>
      </c>
      <c r="P19" s="59" t="str">
        <f t="shared" si="4"/>
        <v/>
      </c>
    </row>
    <row r="20" spans="1:16" ht="21.95" customHeight="1" x14ac:dyDescent="0.25">
      <c r="A20" s="54">
        <f t="shared" si="0"/>
        <v>0</v>
      </c>
      <c r="B20" s="55" t="str">
        <f>IFERROR(_xlfn.XLOOKUP($O$5,DealsMaster[Deal No.],DealsMaster[Consignee]),"")</f>
        <v/>
      </c>
      <c r="C20" s="64"/>
      <c r="D20" s="70" t="str">
        <f>IFERROR(_xlfn.XLOOKUP($O$5,DealsMaster[Deal No.],DealsMaster[Loading Port]),"")</f>
        <v/>
      </c>
      <c r="E20" s="65"/>
      <c r="F20" s="65"/>
      <c r="G20" s="66"/>
      <c r="H20" s="66"/>
      <c r="I20" s="71" t="str">
        <f>IFERROR(_xlfn.XLOOKUP($O$5,DealsMaster[Deal No.],DealsMaster[Destination]),"")</f>
        <v/>
      </c>
      <c r="J20" s="71" t="str">
        <f>IFERROR(_xlfn.XLOOKUP($O$5,DealsMaster[Deal No.],DealsMaster[Product]),"")</f>
        <v/>
      </c>
      <c r="K20" s="64"/>
      <c r="L20" s="64"/>
      <c r="M20" s="56" t="str">
        <f t="shared" si="1"/>
        <v/>
      </c>
      <c r="N20" s="57">
        <f t="shared" si="2"/>
        <v>0</v>
      </c>
      <c r="O20" s="58" t="str">
        <f t="shared" si="3"/>
        <v/>
      </c>
      <c r="P20" s="59" t="str">
        <f t="shared" si="4"/>
        <v/>
      </c>
    </row>
    <row r="21" spans="1:16" ht="21.95" customHeight="1" x14ac:dyDescent="0.25">
      <c r="A21" s="54">
        <f t="shared" si="0"/>
        <v>0</v>
      </c>
      <c r="B21" s="55" t="str">
        <f>IFERROR(_xlfn.XLOOKUP($O$5,DealsMaster[Deal No.],DealsMaster[Consignee]),"")</f>
        <v/>
      </c>
      <c r="C21" s="64"/>
      <c r="D21" s="70" t="str">
        <f>IFERROR(_xlfn.XLOOKUP($O$5,DealsMaster[Deal No.],DealsMaster[Loading Port]),"")</f>
        <v/>
      </c>
      <c r="E21" s="65"/>
      <c r="F21" s="65"/>
      <c r="G21" s="66"/>
      <c r="H21" s="66"/>
      <c r="I21" s="71" t="str">
        <f>IFERROR(_xlfn.XLOOKUP($O$5,DealsMaster[Deal No.],DealsMaster[Destination]),"")</f>
        <v/>
      </c>
      <c r="J21" s="71" t="str">
        <f>IFERROR(_xlfn.XLOOKUP($O$5,DealsMaster[Deal No.],DealsMaster[Product]),"")</f>
        <v/>
      </c>
      <c r="K21" s="64"/>
      <c r="L21" s="64"/>
      <c r="M21" s="56" t="str">
        <f t="shared" si="1"/>
        <v/>
      </c>
      <c r="N21" s="57">
        <f t="shared" si="2"/>
        <v>0</v>
      </c>
      <c r="O21" s="58" t="str">
        <f t="shared" si="3"/>
        <v/>
      </c>
      <c r="P21" s="59" t="str">
        <f t="shared" si="4"/>
        <v/>
      </c>
    </row>
    <row r="22" spans="1:16" ht="21.95" customHeight="1" x14ac:dyDescent="0.25">
      <c r="A22" s="54">
        <f t="shared" si="0"/>
        <v>0</v>
      </c>
      <c r="B22" s="55" t="str">
        <f>IFERROR(_xlfn.XLOOKUP($O$5,DealsMaster[Deal No.],DealsMaster[Consignee]),"")</f>
        <v/>
      </c>
      <c r="C22" s="64"/>
      <c r="D22" s="70" t="str">
        <f>IFERROR(_xlfn.XLOOKUP($O$5,DealsMaster[Deal No.],DealsMaster[Loading Port]),"")</f>
        <v/>
      </c>
      <c r="E22" s="65"/>
      <c r="F22" s="65"/>
      <c r="G22" s="66"/>
      <c r="H22" s="66"/>
      <c r="I22" s="71" t="str">
        <f>IFERROR(_xlfn.XLOOKUP($O$5,DealsMaster[Deal No.],DealsMaster[Destination]),"")</f>
        <v/>
      </c>
      <c r="J22" s="71" t="str">
        <f>IFERROR(_xlfn.XLOOKUP($O$5,DealsMaster[Deal No.],DealsMaster[Product]),"")</f>
        <v/>
      </c>
      <c r="K22" s="64"/>
      <c r="L22" s="64"/>
      <c r="M22" s="56" t="str">
        <f t="shared" si="1"/>
        <v/>
      </c>
      <c r="N22" s="57">
        <f t="shared" si="2"/>
        <v>0</v>
      </c>
      <c r="O22" s="58" t="str">
        <f t="shared" si="3"/>
        <v/>
      </c>
      <c r="P22" s="59" t="str">
        <f t="shared" si="4"/>
        <v/>
      </c>
    </row>
    <row r="23" spans="1:16" ht="21.95" customHeight="1" x14ac:dyDescent="0.25">
      <c r="A23" s="54">
        <f t="shared" si="0"/>
        <v>0</v>
      </c>
      <c r="B23" s="55" t="str">
        <f>IFERROR(_xlfn.XLOOKUP($O$5,DealsMaster[Deal No.],DealsMaster[Consignee]),"")</f>
        <v/>
      </c>
      <c r="C23" s="64"/>
      <c r="D23" s="70" t="str">
        <f>IFERROR(_xlfn.XLOOKUP($O$5,DealsMaster[Deal No.],DealsMaster[Loading Port]),"")</f>
        <v/>
      </c>
      <c r="E23" s="65"/>
      <c r="F23" s="65"/>
      <c r="G23" s="66"/>
      <c r="H23" s="66"/>
      <c r="I23" s="71" t="str">
        <f>IFERROR(_xlfn.XLOOKUP($O$5,DealsMaster[Deal No.],DealsMaster[Destination]),"")</f>
        <v/>
      </c>
      <c r="J23" s="71" t="str">
        <f>IFERROR(_xlfn.XLOOKUP($O$5,DealsMaster[Deal No.],DealsMaster[Product]),"")</f>
        <v/>
      </c>
      <c r="K23" s="64"/>
      <c r="L23" s="64"/>
      <c r="M23" s="56" t="str">
        <f t="shared" ref="M23:M30" si="5">IF(OR(K23="",L23=""),"",L23-K23)</f>
        <v/>
      </c>
      <c r="N23" s="57">
        <f t="shared" si="2"/>
        <v>0</v>
      </c>
      <c r="O23" s="58" t="str">
        <f t="shared" ref="O23:O30" si="6">IF(AND(C23&lt;&gt;"",K23&lt;&gt;"",K23&lt;C23),"⚠ Arrival &lt; Loaded",IF(AND(K23&lt;&gt;"",L23&lt;&gt;"",L23&lt;K23),"⚠ Offloaded &lt; Arrival",IF(M23="","",IF(M23&gt;N23,"DEMURRAGE","OK"))))</f>
        <v/>
      </c>
      <c r="P23" s="59" t="str">
        <f t="shared" ref="P23:P30" si="7">IF(M23="","",MAX(0,M23-N23)*$O$7)</f>
        <v/>
      </c>
    </row>
    <row r="24" spans="1:16" ht="21.95" customHeight="1" x14ac:dyDescent="0.25">
      <c r="A24" s="54">
        <f t="shared" si="0"/>
        <v>0</v>
      </c>
      <c r="B24" s="55" t="str">
        <f>IFERROR(_xlfn.XLOOKUP($O$5,DealsMaster[Deal No.],DealsMaster[Consignee]),"")</f>
        <v/>
      </c>
      <c r="C24" s="64"/>
      <c r="D24" s="70" t="str">
        <f>IFERROR(_xlfn.XLOOKUP($O$5,DealsMaster[Deal No.],DealsMaster[Loading Port]),"")</f>
        <v/>
      </c>
      <c r="E24" s="65"/>
      <c r="F24" s="65"/>
      <c r="G24" s="66"/>
      <c r="H24" s="66"/>
      <c r="I24" s="71" t="str">
        <f>IFERROR(_xlfn.XLOOKUP($O$5,DealsMaster[Deal No.],DealsMaster[Destination]),"")</f>
        <v/>
      </c>
      <c r="J24" s="71" t="str">
        <f>IFERROR(_xlfn.XLOOKUP($O$5,DealsMaster[Deal No.],DealsMaster[Product]),"")</f>
        <v/>
      </c>
      <c r="K24" s="64"/>
      <c r="L24" s="64"/>
      <c r="M24" s="56" t="str">
        <f t="shared" si="5"/>
        <v/>
      </c>
      <c r="N24" s="57">
        <f t="shared" si="2"/>
        <v>0</v>
      </c>
      <c r="O24" s="58" t="str">
        <f t="shared" si="6"/>
        <v/>
      </c>
      <c r="P24" s="59" t="str">
        <f t="shared" si="7"/>
        <v/>
      </c>
    </row>
    <row r="25" spans="1:16" ht="21.95" customHeight="1" x14ac:dyDescent="0.25">
      <c r="A25" s="54">
        <f t="shared" si="0"/>
        <v>0</v>
      </c>
      <c r="B25" s="55" t="str">
        <f>IFERROR(_xlfn.XLOOKUP($O$5,DealsMaster[Deal No.],DealsMaster[Consignee]),"")</f>
        <v/>
      </c>
      <c r="C25" s="64"/>
      <c r="D25" s="70" t="str">
        <f>IFERROR(_xlfn.XLOOKUP($O$5,DealsMaster[Deal No.],DealsMaster[Loading Port]),"")</f>
        <v/>
      </c>
      <c r="E25" s="65"/>
      <c r="F25" s="65"/>
      <c r="G25" s="66"/>
      <c r="H25" s="66"/>
      <c r="I25" s="71" t="str">
        <f>IFERROR(_xlfn.XLOOKUP($O$5,DealsMaster[Deal No.],DealsMaster[Destination]),"")</f>
        <v/>
      </c>
      <c r="J25" s="71" t="str">
        <f>IFERROR(_xlfn.XLOOKUP($O$5,DealsMaster[Deal No.],DealsMaster[Product]),"")</f>
        <v/>
      </c>
      <c r="K25" s="64"/>
      <c r="L25" s="64"/>
      <c r="M25" s="56" t="str">
        <f t="shared" si="5"/>
        <v/>
      </c>
      <c r="N25" s="57">
        <f t="shared" si="2"/>
        <v>0</v>
      </c>
      <c r="O25" s="58" t="str">
        <f t="shared" si="6"/>
        <v/>
      </c>
      <c r="P25" s="59" t="str">
        <f t="shared" si="7"/>
        <v/>
      </c>
    </row>
    <row r="26" spans="1:16" ht="21.95" customHeight="1" x14ac:dyDescent="0.25">
      <c r="A26" s="54">
        <f t="shared" si="0"/>
        <v>0</v>
      </c>
      <c r="B26" s="55" t="str">
        <f>IFERROR(_xlfn.XLOOKUP($O$5,DealsMaster[Deal No.],DealsMaster[Consignee]),"")</f>
        <v/>
      </c>
      <c r="C26" s="64"/>
      <c r="D26" s="70" t="str">
        <f>IFERROR(_xlfn.XLOOKUP($O$5,DealsMaster[Deal No.],DealsMaster[Loading Port]),"")</f>
        <v/>
      </c>
      <c r="E26" s="65"/>
      <c r="F26" s="65"/>
      <c r="G26" s="66"/>
      <c r="H26" s="66"/>
      <c r="I26" s="71" t="str">
        <f>IFERROR(_xlfn.XLOOKUP($O$5,DealsMaster[Deal No.],DealsMaster[Destination]),"")</f>
        <v/>
      </c>
      <c r="J26" s="71" t="str">
        <f>IFERROR(_xlfn.XLOOKUP($O$5,DealsMaster[Deal No.],DealsMaster[Product]),"")</f>
        <v/>
      </c>
      <c r="K26" s="64"/>
      <c r="L26" s="64"/>
      <c r="M26" s="56" t="str">
        <f t="shared" si="5"/>
        <v/>
      </c>
      <c r="N26" s="57">
        <f t="shared" si="2"/>
        <v>0</v>
      </c>
      <c r="O26" s="58" t="str">
        <f t="shared" si="6"/>
        <v/>
      </c>
      <c r="P26" s="59" t="str">
        <f t="shared" si="7"/>
        <v/>
      </c>
    </row>
    <row r="27" spans="1:16" ht="21.95" customHeight="1" x14ac:dyDescent="0.25">
      <c r="A27" s="54">
        <f t="shared" si="0"/>
        <v>0</v>
      </c>
      <c r="B27" s="55" t="str">
        <f>IFERROR(_xlfn.XLOOKUP($O$5,DealsMaster[Deal No.],DealsMaster[Consignee]),"")</f>
        <v/>
      </c>
      <c r="C27" s="64"/>
      <c r="D27" s="70" t="str">
        <f>IFERROR(_xlfn.XLOOKUP($O$5,DealsMaster[Deal No.],DealsMaster[Loading Port]),"")</f>
        <v/>
      </c>
      <c r="E27" s="65"/>
      <c r="F27" s="65"/>
      <c r="G27" s="66"/>
      <c r="H27" s="66"/>
      <c r="I27" s="71" t="str">
        <f>IFERROR(_xlfn.XLOOKUP($O$5,DealsMaster[Deal No.],DealsMaster[Destination]),"")</f>
        <v/>
      </c>
      <c r="J27" s="71" t="str">
        <f>IFERROR(_xlfn.XLOOKUP($O$5,DealsMaster[Deal No.],DealsMaster[Product]),"")</f>
        <v/>
      </c>
      <c r="K27" s="64"/>
      <c r="L27" s="64"/>
      <c r="M27" s="56" t="str">
        <f t="shared" si="5"/>
        <v/>
      </c>
      <c r="N27" s="57">
        <f t="shared" si="2"/>
        <v>0</v>
      </c>
      <c r="O27" s="58" t="str">
        <f t="shared" si="6"/>
        <v/>
      </c>
      <c r="P27" s="59" t="str">
        <f t="shared" si="7"/>
        <v/>
      </c>
    </row>
    <row r="28" spans="1:16" ht="21.95" customHeight="1" x14ac:dyDescent="0.25">
      <c r="A28" s="54">
        <f t="shared" si="0"/>
        <v>0</v>
      </c>
      <c r="B28" s="55" t="str">
        <f>IFERROR(_xlfn.XLOOKUP($O$5,DealsMaster[Deal No.],DealsMaster[Consignee]),"")</f>
        <v/>
      </c>
      <c r="C28" s="64"/>
      <c r="D28" s="70" t="str">
        <f>IFERROR(_xlfn.XLOOKUP($O$5,DealsMaster[Deal No.],DealsMaster[Loading Port]),"")</f>
        <v/>
      </c>
      <c r="E28" s="65"/>
      <c r="F28" s="65"/>
      <c r="G28" s="66"/>
      <c r="H28" s="66"/>
      <c r="I28" s="71" t="str">
        <f>IFERROR(_xlfn.XLOOKUP($O$5,DealsMaster[Deal No.],DealsMaster[Destination]),"")</f>
        <v/>
      </c>
      <c r="J28" s="71" t="str">
        <f>IFERROR(_xlfn.XLOOKUP($O$5,DealsMaster[Deal No.],DealsMaster[Product]),"")</f>
        <v/>
      </c>
      <c r="K28" s="64"/>
      <c r="L28" s="64"/>
      <c r="M28" s="56" t="str">
        <f t="shared" si="5"/>
        <v/>
      </c>
      <c r="N28" s="57">
        <f t="shared" si="2"/>
        <v>0</v>
      </c>
      <c r="O28" s="58" t="str">
        <f t="shared" si="6"/>
        <v/>
      </c>
      <c r="P28" s="59" t="str">
        <f t="shared" si="7"/>
        <v/>
      </c>
    </row>
    <row r="29" spans="1:16" ht="21.95" customHeight="1" x14ac:dyDescent="0.25">
      <c r="A29" s="54">
        <f t="shared" si="0"/>
        <v>0</v>
      </c>
      <c r="B29" s="55" t="str">
        <f>IFERROR(_xlfn.XLOOKUP($O$5,DealsMaster[Deal No.],DealsMaster[Consignee]),"")</f>
        <v/>
      </c>
      <c r="C29" s="64"/>
      <c r="D29" s="70" t="str">
        <f>IFERROR(_xlfn.XLOOKUP($O$5,DealsMaster[Deal No.],DealsMaster[Loading Port]),"")</f>
        <v/>
      </c>
      <c r="E29" s="65"/>
      <c r="F29" s="65"/>
      <c r="G29" s="66"/>
      <c r="H29" s="66"/>
      <c r="I29" s="71" t="str">
        <f>IFERROR(_xlfn.XLOOKUP($O$5,DealsMaster[Deal No.],DealsMaster[Destination]),"")</f>
        <v/>
      </c>
      <c r="J29" s="71" t="str">
        <f>IFERROR(_xlfn.XLOOKUP($O$5,DealsMaster[Deal No.],DealsMaster[Product]),"")</f>
        <v/>
      </c>
      <c r="K29" s="64"/>
      <c r="L29" s="64"/>
      <c r="M29" s="56" t="str">
        <f t="shared" si="5"/>
        <v/>
      </c>
      <c r="N29" s="57">
        <f t="shared" si="2"/>
        <v>0</v>
      </c>
      <c r="O29" s="58" t="str">
        <f t="shared" si="6"/>
        <v/>
      </c>
      <c r="P29" s="59" t="str">
        <f t="shared" si="7"/>
        <v/>
      </c>
    </row>
    <row r="30" spans="1:16" ht="21.95" customHeight="1" x14ac:dyDescent="0.25">
      <c r="A30" s="54">
        <f t="shared" si="0"/>
        <v>0</v>
      </c>
      <c r="B30" s="55" t="str">
        <f>IFERROR(_xlfn.XLOOKUP($O$5,DealsMaster[Deal No.],DealsMaster[Consignee]),"")</f>
        <v/>
      </c>
      <c r="C30" s="64"/>
      <c r="D30" s="70" t="str">
        <f>IFERROR(_xlfn.XLOOKUP($O$5,DealsMaster[Deal No.],DealsMaster[Loading Port]),"")</f>
        <v/>
      </c>
      <c r="E30" s="65"/>
      <c r="F30" s="65"/>
      <c r="G30" s="66"/>
      <c r="H30" s="66"/>
      <c r="I30" s="71" t="str">
        <f>IFERROR(_xlfn.XLOOKUP($O$5,DealsMaster[Deal No.],DealsMaster[Destination]),"")</f>
        <v/>
      </c>
      <c r="J30" s="71" t="str">
        <f>IFERROR(_xlfn.XLOOKUP($O$5,DealsMaster[Deal No.],DealsMaster[Product]),"")</f>
        <v/>
      </c>
      <c r="K30" s="64"/>
      <c r="L30" s="64"/>
      <c r="M30" s="56" t="str">
        <f t="shared" si="5"/>
        <v/>
      </c>
      <c r="N30" s="57">
        <f t="shared" si="2"/>
        <v>0</v>
      </c>
      <c r="O30" s="58" t="str">
        <f t="shared" si="6"/>
        <v/>
      </c>
      <c r="P30" s="59" t="str">
        <f t="shared" si="7"/>
        <v/>
      </c>
    </row>
    <row r="31" spans="1:16" ht="15.75" thickBot="1" x14ac:dyDescent="0.3">
      <c r="A31" s="60" t="s">
        <v>14</v>
      </c>
      <c r="B31" s="61"/>
      <c r="C31" s="62"/>
      <c r="D31" s="62"/>
      <c r="E31" s="62"/>
      <c r="F31" s="62"/>
      <c r="G31" s="61"/>
      <c r="H31" s="61"/>
      <c r="I31" s="61"/>
      <c r="J31" s="61"/>
      <c r="K31" s="62"/>
      <c r="L31" s="62"/>
      <c r="M31" s="62"/>
      <c r="N31" s="62"/>
      <c r="O31" s="62"/>
      <c r="P31" s="63">
        <f>SUBTOTAL(109,P10:P22)</f>
        <v>0</v>
      </c>
    </row>
    <row r="32" spans="1:16" x14ac:dyDescent="0.25">
      <c r="N32" s="1"/>
    </row>
    <row r="33" spans="14:14" x14ac:dyDescent="0.25">
      <c r="N33" s="1"/>
    </row>
    <row r="34" spans="14:14" x14ac:dyDescent="0.25">
      <c r="N34" s="1"/>
    </row>
    <row r="35" spans="14:14" x14ac:dyDescent="0.25">
      <c r="N35" s="1"/>
    </row>
    <row r="36" spans="14:14" x14ac:dyDescent="0.25">
      <c r="N36" s="1"/>
    </row>
    <row r="37" spans="14:14" x14ac:dyDescent="0.25">
      <c r="N37" s="1"/>
    </row>
    <row r="38" spans="14:14" x14ac:dyDescent="0.25">
      <c r="N38" s="1"/>
    </row>
    <row r="39" spans="14:14" x14ac:dyDescent="0.25">
      <c r="N39" s="1"/>
    </row>
    <row r="40" spans="14:14" x14ac:dyDescent="0.25">
      <c r="N40" s="1"/>
    </row>
    <row r="41" spans="14:14" x14ac:dyDescent="0.25">
      <c r="N41" s="1"/>
    </row>
    <row r="42" spans="14:14" x14ac:dyDescent="0.25">
      <c r="N42" s="1"/>
    </row>
    <row r="43" spans="14:14" x14ac:dyDescent="0.25">
      <c r="N43" s="1"/>
    </row>
    <row r="44" spans="14:14" x14ac:dyDescent="0.25">
      <c r="N44" s="1"/>
    </row>
    <row r="45" spans="14:14" x14ac:dyDescent="0.25">
      <c r="N45" s="1"/>
    </row>
    <row r="46" spans="14:14" x14ac:dyDescent="0.25">
      <c r="N46" s="1"/>
    </row>
    <row r="47" spans="14:14" x14ac:dyDescent="0.25">
      <c r="N47" s="1"/>
    </row>
    <row r="48" spans="14:14" x14ac:dyDescent="0.25">
      <c r="N48" s="1"/>
    </row>
    <row r="49" spans="14:14" x14ac:dyDescent="0.25">
      <c r="N49" s="1"/>
    </row>
    <row r="50" spans="14:14" x14ac:dyDescent="0.25">
      <c r="N50" s="1"/>
    </row>
    <row r="51" spans="14:14" x14ac:dyDescent="0.25">
      <c r="N51" s="1"/>
    </row>
    <row r="52" spans="14:14" x14ac:dyDescent="0.25">
      <c r="N52" s="1"/>
    </row>
    <row r="53" spans="14:14" x14ac:dyDescent="0.25">
      <c r="N53" s="1"/>
    </row>
    <row r="54" spans="14:14" x14ac:dyDescent="0.25">
      <c r="N54" s="1"/>
    </row>
  </sheetData>
  <sheetProtection autoFilter="0"/>
  <mergeCells count="9">
    <mergeCell ref="C5:E7"/>
    <mergeCell ref="F5:H7"/>
    <mergeCell ref="A1:B1"/>
    <mergeCell ref="C1:P1"/>
    <mergeCell ref="A2:P2"/>
    <mergeCell ref="C3:O3"/>
    <mergeCell ref="C4:E4"/>
    <mergeCell ref="F4:H4"/>
    <mergeCell ref="N4:O4"/>
  </mergeCells>
  <dataValidations count="6">
    <dataValidation type="list" allowBlank="1" showInputMessage="1" showErrorMessage="1" errorTitle="Invalid entry" error="Please pick a value from the list." sqref="J10:J30" xr:uid="{A8BE8F7E-DA95-409F-A523-D78CEC9CB485}">
      <formula1>"PMS,AGO"</formula1>
    </dataValidation>
    <dataValidation type="list" allowBlank="1" showInputMessage="1" showErrorMessage="1" errorTitle="Invalid entry" error="Please pick a value from the list." sqref="I10:I30" xr:uid="{2DAF958E-80C1-4EC0-8006-D488F76D82C6}">
      <formula1>"Lusaka,Lubumbashi,Chipata"</formula1>
    </dataValidation>
    <dataValidation type="list" allowBlank="1" showInputMessage="1" showErrorMessage="1" errorTitle="Invalid entry" error="Please pick a value from the list." sqref="D10:D30" xr:uid="{8CF44D00-E6E1-4187-920D-D1910B59E196}">
      <formula1>"Dar Es Salaam,Beira"</formula1>
    </dataValidation>
    <dataValidation type="date" allowBlank="1" showInputMessage="1" showErrorMessage="1" errorTitle="Invalid date" error="Please enter a valid date (e.g. 15-Jan-2025). Text entries are not allowed." promptTitle="Date Loaded" prompt="Enter a date between 2020 and 2030." sqref="C10:C30" xr:uid="{2DDFF799-477E-4EA3-B4B5-E04839565725}">
      <formula1>43831</formula1>
      <formula2>47848</formula2>
    </dataValidation>
    <dataValidation type="date" allowBlank="1" showInputMessage="1" showErrorMessage="1" errorTitle="Invalid date" error="Please enter a valid date (e.g. 15-Jan-2025). Text entries are not allowed." promptTitle="Arrival Date" prompt="Enter a date between 2020 and 2030." sqref="K10:K30" xr:uid="{FA4B3C2B-ECEA-403D-AD9D-0C63EDEA7594}">
      <formula1>43831</formula1>
      <formula2>47848</formula2>
    </dataValidation>
    <dataValidation type="date" allowBlank="1" showInputMessage="1" showErrorMessage="1" errorTitle="Invalid date" error="Please enter a valid date (e.g. 15-Jan-2025). Text entries are not allowed." promptTitle="Offloaded Date" prompt="Enter a date between 2020 and 2030." sqref="L10:L30" xr:uid="{6DDF03F2-99A2-4A6F-864A-A616279A2343}">
      <formula1>43831</formula1>
      <formula2>47848</formula2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CP xmlns="2e9c9ace-2350-4619-888a-fd5062be5619">true</BCP>
    <Risk xmlns="2e9c9ace-2350-4619-888a-fd5062be5619" xsi:nil="true"/>
    <lcf76f155ced4ddcb4097134ff3c332f xmlns="2e9c9ace-2350-4619-888a-fd5062be5619">
      <Terms xmlns="http://schemas.microsoft.com/office/infopath/2007/PartnerControls"/>
    </lcf76f155ced4ddcb4097134ff3c332f>
    <TaxCatchAll xmlns="b8facd62-3cf9-41f9-b1cd-1f3d0c7a1f1a" xsi:nil="true"/>
    <Person xmlns="2e9c9ace-2350-4619-888a-fd5062be5619">
      <UserInfo>
        <DisplayName/>
        <AccountId xsi:nil="true"/>
        <AccountType/>
      </UserInfo>
    </Person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09F52A13578C429F4FB8007F37E0C0" ma:contentTypeVersion="22" ma:contentTypeDescription="Create a new document." ma:contentTypeScope="" ma:versionID="bc8266f0327991cd2d069ae213e479c0">
  <xsd:schema xmlns:xsd="http://www.w3.org/2001/XMLSchema" xmlns:xs="http://www.w3.org/2001/XMLSchema" xmlns:p="http://schemas.microsoft.com/office/2006/metadata/properties" xmlns:ns2="b8facd62-3cf9-41f9-b1cd-1f3d0c7a1f1a" xmlns:ns3="2e9c9ace-2350-4619-888a-fd5062be5619" targetNamespace="http://schemas.microsoft.com/office/2006/metadata/properties" ma:root="true" ma:fieldsID="05f1f53971e164932eb30e5718e4c974" ns2:_="" ns3:_="">
    <xsd:import namespace="b8facd62-3cf9-41f9-b1cd-1f3d0c7a1f1a"/>
    <xsd:import namespace="2e9c9ace-2350-4619-888a-fd5062be561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BCP" minOccurs="0"/>
                <xsd:element ref="ns3:MediaServiceSearchProperties" minOccurs="0"/>
                <xsd:element ref="ns3:MediaServiceObjectDetectorVersions" minOccurs="0"/>
                <xsd:element ref="ns3:Person" minOccurs="0"/>
                <xsd:element ref="ns3:Risk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facd62-3cf9-41f9-b1cd-1f3d0c7a1f1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aa67677-f646-43e4-93aa-0a03d06fe80b}" ma:internalName="TaxCatchAll" ma:showField="CatchAllData" ma:web="b8facd62-3cf9-41f9-b1cd-1f3d0c7a1f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9c9ace-2350-4619-888a-fd5062be56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57418bb-50d0-4e55-9c07-fc1187023d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BCP" ma:index="24" nillable="true" ma:displayName="BCP" ma:default="1" ma:format="Dropdown" ma:internalName="BCP">
      <xsd:simpleType>
        <xsd:restriction base="dms:Boolea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Person" ma:index="27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isk" ma:index="28" nillable="true" ma:displayName="Risk" ma:format="Dropdown" ma:internalName="Risk">
      <xsd:simpleType>
        <xsd:restriction base="dms:Text">
          <xsd:maxLength value="255"/>
        </xsd:restriction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9FE11F-D097-4409-ADE4-6519F41FC1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A007BF-622E-4062-A1C1-BBBABA4FB606}">
  <ds:schemaRefs>
    <ds:schemaRef ds:uri="http://schemas.microsoft.com/office/2006/metadata/properties"/>
    <ds:schemaRef ds:uri="http://schemas.microsoft.com/office/infopath/2007/PartnerControls"/>
    <ds:schemaRef ds:uri="2e9c9ace-2350-4619-888a-fd5062be5619"/>
    <ds:schemaRef ds:uri="b8facd62-3cf9-41f9-b1cd-1f3d0c7a1f1a"/>
  </ds:schemaRefs>
</ds:datastoreItem>
</file>

<file path=customXml/itemProps3.xml><?xml version="1.0" encoding="utf-8"?>
<ds:datastoreItem xmlns:ds="http://schemas.openxmlformats.org/officeDocument/2006/customXml" ds:itemID="{081CE397-4FED-4635-8E57-059C451FA5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facd62-3cf9-41f9-b1cd-1f3d0c7a1f1a"/>
    <ds:schemaRef ds:uri="2e9c9ace-2350-4619-888a-fd5062be56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44</vt:i4>
      </vt:variant>
    </vt:vector>
  </HeadingPairs>
  <TitlesOfParts>
    <vt:vector size="60" baseType="lpstr">
      <vt:lpstr>Deals Master</vt:lpstr>
      <vt:lpstr>Dashboard</vt:lpstr>
      <vt:lpstr>184119 - RUBIS - BEIRA-LSK</vt:lpstr>
      <vt:lpstr>184752 - RUBIS - BEIRA-LSK</vt:lpstr>
      <vt:lpstr>184834 - RELIANCE - BEIRA-LSK</vt:lpstr>
      <vt:lpstr>186216-RUBIS-BEIRA-LSK</vt:lpstr>
      <vt:lpstr>187293-LAKE-BEIRA-LSK</vt:lpstr>
      <vt:lpstr>187296-RUBIS-BEIRA-LSK</vt:lpstr>
      <vt:lpstr>189084-RUBIS-BEIRA-LSK</vt:lpstr>
      <vt:lpstr>190261-LAKE-BEIRA-LSK</vt:lpstr>
      <vt:lpstr>190664-RUBIS-BEIRA-LSK</vt:lpstr>
      <vt:lpstr>191609-RUBIS-BEIRA-LSK</vt:lpstr>
      <vt:lpstr>191610-RUBIS-BEIRA-LSK</vt:lpstr>
      <vt:lpstr>184182-RUBIS-BEIRA-LSK</vt:lpstr>
      <vt:lpstr>190778-LAKE-BEIRA-LSK</vt:lpstr>
      <vt:lpstr>TEMPLATE</vt:lpstr>
      <vt:lpstr>'184119 - RUBIS - BEIRA-LSK'!DealNoDefault</vt:lpstr>
      <vt:lpstr>'184182-RUBIS-BEIRA-LSK'!DealNoDefault</vt:lpstr>
      <vt:lpstr>'184752 - RUBIS - BEIRA-LSK'!DealNoDefault</vt:lpstr>
      <vt:lpstr>'184834 - RELIANCE - BEIRA-LSK'!DealNoDefault</vt:lpstr>
      <vt:lpstr>'186216-RUBIS-BEIRA-LSK'!DealNoDefault</vt:lpstr>
      <vt:lpstr>'187293-LAKE-BEIRA-LSK'!DealNoDefault</vt:lpstr>
      <vt:lpstr>'187296-RUBIS-BEIRA-LSK'!DealNoDefault</vt:lpstr>
      <vt:lpstr>'189084-RUBIS-BEIRA-LSK'!DealNoDefault</vt:lpstr>
      <vt:lpstr>'190261-LAKE-BEIRA-LSK'!DealNoDefault</vt:lpstr>
      <vt:lpstr>'190664-RUBIS-BEIRA-LSK'!DealNoDefault</vt:lpstr>
      <vt:lpstr>'190778-LAKE-BEIRA-LSK'!DealNoDefault</vt:lpstr>
      <vt:lpstr>'191609-RUBIS-BEIRA-LSK'!DealNoDefault</vt:lpstr>
      <vt:lpstr>'191610-RUBIS-BEIRA-LSK'!DealNoDefault</vt:lpstr>
      <vt:lpstr>TEMPLATE!DealNoDefault</vt:lpstr>
      <vt:lpstr>'184119 - RUBIS - BEIRA-LSK'!LaytimeDefault</vt:lpstr>
      <vt:lpstr>'184182-RUBIS-BEIRA-LSK'!LaytimeDefault</vt:lpstr>
      <vt:lpstr>'184752 - RUBIS - BEIRA-LSK'!LaytimeDefault</vt:lpstr>
      <vt:lpstr>'184834 - RELIANCE - BEIRA-LSK'!LaytimeDefault</vt:lpstr>
      <vt:lpstr>'186216-RUBIS-BEIRA-LSK'!LaytimeDefault</vt:lpstr>
      <vt:lpstr>'187293-LAKE-BEIRA-LSK'!LaytimeDefault</vt:lpstr>
      <vt:lpstr>'187296-RUBIS-BEIRA-LSK'!LaytimeDefault</vt:lpstr>
      <vt:lpstr>'189084-RUBIS-BEIRA-LSK'!LaytimeDefault</vt:lpstr>
      <vt:lpstr>'190261-LAKE-BEIRA-LSK'!LaytimeDefault</vt:lpstr>
      <vt:lpstr>'190664-RUBIS-BEIRA-LSK'!LaytimeDefault</vt:lpstr>
      <vt:lpstr>'190778-LAKE-BEIRA-LSK'!LaytimeDefault</vt:lpstr>
      <vt:lpstr>'191609-RUBIS-BEIRA-LSK'!LaytimeDefault</vt:lpstr>
      <vt:lpstr>'191610-RUBIS-BEIRA-LSK'!LaytimeDefault</vt:lpstr>
      <vt:lpstr>TEMPLATE!LaytimeDefault</vt:lpstr>
      <vt:lpstr>'184119 - RUBIS - BEIRA-LSK'!Print_Area</vt:lpstr>
      <vt:lpstr>'184119 - RUBIS - BEIRA-LSK'!Print_Titles</vt:lpstr>
      <vt:lpstr>'184119 - RUBIS - BEIRA-LSK'!RateDefault</vt:lpstr>
      <vt:lpstr>'184182-RUBIS-BEIRA-LSK'!RateDefault</vt:lpstr>
      <vt:lpstr>'184752 - RUBIS - BEIRA-LSK'!RateDefault</vt:lpstr>
      <vt:lpstr>'184834 - RELIANCE - BEIRA-LSK'!RateDefault</vt:lpstr>
      <vt:lpstr>'186216-RUBIS-BEIRA-LSK'!RateDefault</vt:lpstr>
      <vt:lpstr>'187293-LAKE-BEIRA-LSK'!RateDefault</vt:lpstr>
      <vt:lpstr>'187296-RUBIS-BEIRA-LSK'!RateDefault</vt:lpstr>
      <vt:lpstr>'189084-RUBIS-BEIRA-LSK'!RateDefault</vt:lpstr>
      <vt:lpstr>'190261-LAKE-BEIRA-LSK'!RateDefault</vt:lpstr>
      <vt:lpstr>'190664-RUBIS-BEIRA-LSK'!RateDefault</vt:lpstr>
      <vt:lpstr>'190778-LAKE-BEIRA-LSK'!RateDefault</vt:lpstr>
      <vt:lpstr>'191609-RUBIS-BEIRA-LSK'!RateDefault</vt:lpstr>
      <vt:lpstr>'191610-RUBIS-BEIRA-LSK'!RateDefault</vt:lpstr>
      <vt:lpstr>TEMPLATE!RateDefault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Tasset</dc:creator>
  <cp:lastModifiedBy>Theo Tasset</cp:lastModifiedBy>
  <cp:lastPrinted>2026-05-13T13:18:49Z</cp:lastPrinted>
  <dcterms:created xsi:type="dcterms:W3CDTF">2026-05-12T05:55:37Z</dcterms:created>
  <dcterms:modified xsi:type="dcterms:W3CDTF">2026-05-13T14:52:55Z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0x0101009009F52A13578C429F4FB8007F37E0C0</vt:lpwstr>
  </property>
  <property fmtid="{D5CDD505-2E9C-101B-9397-08002B2CF9AE}" pid="3" name="MediaServiceImageTags">
    <vt:lpwstr/>
  </property>
</Properties>
</file>